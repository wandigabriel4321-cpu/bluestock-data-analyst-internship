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05caa8c00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17764909fd40ee"/>
    <x:sheet xmlns:r="http://schemas.openxmlformats.org/officeDocument/2006/relationships" name="Raw Data" sheetId="2" r:id="Rbacd9bb1ca3d459d"/>
    <x:sheet xmlns:r="http://schemas.openxmlformats.org/officeDocument/2006/relationships" name="Clean Data" sheetId="3" r:id="R66e0de3a98c542c3"/>
    <x:sheet xmlns:r="http://schemas.openxmlformats.org/officeDocument/2006/relationships" name="Cleaning Summary" sheetId="4" r:id="Red8bed4234fa4a83"/>
    <x:sheet xmlns:r="http://schemas.openxmlformats.org/officeDocument/2006/relationships" name="Pivot Analysis" sheetId="5" r:id="R1cf08b939e80443f"/>
    <x:sheet xmlns:r="http://schemas.openxmlformats.org/officeDocument/2006/relationships" name="Lookup Tables" sheetId="6" r:id="R9f4debe536274a22"/>
  </x:sheets>
</x:workbook>
</file>

<file path=xl/comments1.xml><?xml version="1.0" encoding="utf-8"?>
<x:comments xmlns:x="http://schemas.openxmlformats.org/spreadsheetml/2006/main">
  <x:authors>
    <x:author>tc={5BA1126E-5E52-4E01-83BE-4430F9E8CF5B}</x:author>
  </x:authors>
  <x:commentList>
    <x:comment ref="A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Dataset disclosure: simulated training data created for the internship assignment; no confidential company information is included.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"/>
    <x:numFmt numFmtId="201" formatCode="yyyy-mm-dd"/>
    <x:numFmt numFmtId="202" formatCode="0%"/>
    <x:numFmt numFmtId="203" formatCode="0.0%"/>
    <x:numFmt numFmtId="204" formatCode="#,##0"/>
  </x:numFmts>
  <x:fonts count="11">
    <x:font>
      <x:sz val="11"/>
      <x:name val="Carlito"/>
    </x:font>
    <x:font>
      <x:b/>
      <x:sz val="22"/>
      <x:color rgb="FFFFFFFF"/>
      <x:name val="Aptos Display"/>
    </x:font>
    <x:font>
      <x:i/>
      <x:sz val="10"/>
      <x:color rgb="FFC8D8F0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i/>
      <x:sz val="9"/>
      <x:color rgb="FF0B1F3A"/>
      <x:name val="Aptos"/>
    </x:font>
    <x:font>
      <x:b/>
      <x:sz val="11"/>
      <x:color rgb="FF0B1F3A"/>
      <x:name val="Aptos"/>
    </x:font>
    <x:font>
      <x:b/>
      <x:sz val="11"/>
      <x:color rgb="FF172033"/>
      <x:name val="Aptos"/>
    </x:font>
    <x:font>
      <x:b/>
      <x:sz val="9"/>
      <x:color rgb="FFFFFFFF"/>
      <x:name val="Aptos"/>
    </x:font>
    <x:font>
      <x:b/>
      <x:sz val="18"/>
      <x:color rgb="FF0B1F3A"/>
      <x:name val="Aptos Display"/>
    </x:font>
    <x:font>
      <x:i/>
      <x:sz val="9"/>
      <x:color rgb="FF64748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563EB"/>
      </x:patternFill>
    </x:fill>
    <x:fill>
      <x:patternFill patternType="solid">
        <x:fgColor rgb="FF10B981"/>
      </x:patternFill>
    </x:fill>
    <x:fill>
      <x:patternFill patternType="solid">
        <x:fgColor rgb="FFEAF2FF"/>
      </x:patternFill>
    </x:fill>
    <x:fill>
      <x:patternFill patternType="solid">
        <x:fgColor rgb="FFF4F7FB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D9E2F2"/>
      </x:left>
      <x:top style="thin">
        <x:color rgb="FFD9E2F2"/>
      </x:top>
    </x:border>
    <x:border>
      <x:top style="thin">
        <x:color rgb="FFD9E2F2"/>
      </x:top>
    </x:border>
    <x:border>
      <x:right style="thin">
        <x:color rgb="FFD9E2F2"/>
      </x:right>
      <x:top style="thin">
        <x:color rgb="FFD9E2F2"/>
      </x:top>
    </x:border>
    <x:border>
      <x:left style="thin">
        <x:color rgb="FFD9E2F2"/>
      </x:left>
    </x:border>
    <x:border>
      <x:right style="thin">
        <x:color rgb="FFD9E2F2"/>
      </x:right>
    </x:border>
    <x:border>
      <x:left style="thin">
        <x:color rgb="FFD9E2F2"/>
      </x:left>
      <x:bottom style="thin">
        <x:color rgb="FFD9E2F2"/>
      </x:bottom>
    </x:border>
    <x:border>
      <x:bottom style="thin">
        <x:color rgb="FFD9E2F2"/>
      </x:bottom>
    </x:border>
    <x:border>
      <x:right style="thin">
        <x:color rgb="FFD9E2F2"/>
      </x:right>
      <x:bottom style="thin">
        <x:color rgb="FFD9E2F2"/>
      </x:bottom>
    </x:border>
    <x:border>
      <x:left style="thin">
        <x:color rgb="FFD9E2F2"/>
      </x:left>
      <x:top style="thin">
        <x:color rgb="FFD9E2F2"/>
      </x:top>
      <x:bottom style="thin">
        <x:color rgb="FFD9E2F2"/>
      </x:bottom>
    </x:border>
    <x:border>
      <x:right style="thin">
        <x:color rgb="FFD9E2F2"/>
      </x:right>
      <x:top style="thin">
        <x:color rgb="FFD9E2F2"/>
      </x:top>
      <x:bottom style="thin">
        <x:color rgb="FFD9E2F2"/>
      </x:bottom>
    </x:border>
    <x:border>
      <x:top style="thin">
        <x:color rgb="FFD9E2F2"/>
      </x:top>
      <x:bottom style="thin">
        <x:color rgb="FFD9E2F2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200" fontId="4" fillId="0" borderId="5" xfId="0" applyNumberFormat="1" applyFont="1" applyFill="1" applyBorder="1"/>
    <x:xf numFmtId="200" fontId="4" fillId="0" borderId="7" xfId="0" applyNumberFormat="1" applyFont="1" applyFill="1" applyBorder="1"/>
    <x:xf numFmtId="200" fontId="4" fillId="0" borderId="8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9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11" xfId="0" applyNumberFormat="1" applyFont="1" applyFill="1" applyBorder="1"/>
    <x:xf numFmtId="0" fontId="7" fillId="7" borderId="1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2" xfId="0" applyNumberFormat="1" applyFont="1" applyFill="1" applyBorder="1" applyAlignment="1">
      <x:alignment horizontal="center"/>
    </x:xf>
    <x:xf numFmtId="0" fontId="9" fillId="7" borderId="3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/>
    </x:xf>
    <x:xf numFmtId="0" fontId="9" fillId="7" borderId="7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0" fontId="9" fillId="7" borderId="3" xfId="0" applyNumberFormat="1" applyFont="1" applyFill="1" applyBorder="1" applyAlignment="1">
      <x:alignment horizontal="center" vertic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200" fontId="9" fillId="7" borderId="1" xfId="0" applyNumberFormat="1" applyFont="1" applyFill="1" applyBorder="1" applyAlignment="1">
      <x:alignment horizontal="center" vertical="center"/>
    </x:xf>
    <x:xf numFmtId="200" fontId="9" fillId="7" borderId="2" xfId="0" applyNumberFormat="1" applyFont="1" applyFill="1" applyBorder="1" applyAlignment="1">
      <x:alignment horizontal="center" vertical="center"/>
    </x:xf>
    <x:xf numFmtId="200" fontId="9" fillId="7" borderId="3" xfId="0" applyNumberFormat="1" applyFont="1" applyFill="1" applyBorder="1" applyAlignment="1">
      <x:alignment horizontal="center" vertical="center"/>
    </x:xf>
    <x:xf numFmtId="200" fontId="9" fillId="7" borderId="6" xfId="0" applyNumberFormat="1" applyFont="1" applyFill="1" applyBorder="1" applyAlignment="1">
      <x:alignment horizontal="center" vertical="center"/>
    </x:xf>
    <x:xf numFmtId="200" fontId="9" fillId="7" borderId="7" xfId="0" applyNumberFormat="1" applyFont="1" applyFill="1" applyBorder="1" applyAlignment="1">
      <x:alignment horizontal="center" vertical="center"/>
    </x:xf>
    <x:xf numFmtId="200" fontId="9" fillId="7" borderId="8" xfId="0" applyNumberFormat="1" applyFont="1" applyFill="1" applyBorder="1" applyAlignment="1">
      <x:alignment horizontal="center" vertical="center"/>
    </x:xf>
    <x:xf numFmtId="203" fontId="9" fillId="7" borderId="1" xfId="0" applyNumberFormat="1" applyFont="1" applyFill="1" applyBorder="1" applyAlignment="1">
      <x:alignment horizontal="center" vertical="center"/>
    </x:xf>
    <x:xf numFmtId="203" fontId="9" fillId="7" borderId="2" xfId="0" applyNumberFormat="1" applyFont="1" applyFill="1" applyBorder="1" applyAlignment="1">
      <x:alignment horizontal="center" vertical="center"/>
    </x:xf>
    <x:xf numFmtId="203" fontId="9" fillId="7" borderId="3" xfId="0" applyNumberFormat="1" applyFont="1" applyFill="1" applyBorder="1" applyAlignment="1">
      <x:alignment horizontal="center" vertical="center"/>
    </x:xf>
    <x:xf numFmtId="203" fontId="9" fillId="7" borderId="6" xfId="0" applyNumberFormat="1" applyFont="1" applyFill="1" applyBorder="1" applyAlignment="1">
      <x:alignment horizontal="center" vertical="center"/>
    </x:xf>
    <x:xf numFmtId="203" fontId="9" fillId="7" borderId="7" xfId="0" applyNumberFormat="1" applyFont="1" applyFill="1" applyBorder="1" applyAlignment="1">
      <x:alignment horizontal="center" vertical="center"/>
    </x:xf>
    <x:xf numFmtId="203" fontId="9" fillId="7" borderId="8" xfId="0" applyNumberFormat="1" applyFont="1" applyFill="1" applyBorder="1" applyAlignment="1">
      <x:alignment horizontal="center" vertical="center"/>
    </x:xf>
    <x:xf numFmtId="204" fontId="9" fillId="7" borderId="1" xfId="0" applyNumberFormat="1" applyFont="1" applyFill="1" applyBorder="1" applyAlignment="1">
      <x:alignment horizontal="center" vertical="center"/>
    </x:xf>
    <x:xf numFmtId="204" fontId="9" fillId="7" borderId="2" xfId="0" applyNumberFormat="1" applyFont="1" applyFill="1" applyBorder="1" applyAlignment="1">
      <x:alignment horizontal="center" vertical="center"/>
    </x:xf>
    <x:xf numFmtId="204" fontId="9" fillId="7" borderId="3" xfId="0" applyNumberFormat="1" applyFont="1" applyFill="1" applyBorder="1" applyAlignment="1">
      <x:alignment horizontal="center" vertical="center"/>
    </x:xf>
    <x:xf numFmtId="204" fontId="9" fillId="7" borderId="6" xfId="0" applyNumberFormat="1" applyFont="1" applyFill="1" applyBorder="1" applyAlignment="1">
      <x:alignment horizontal="center" vertical="center"/>
    </x:xf>
    <x:xf numFmtId="204" fontId="9" fillId="7" borderId="7" xfId="0" applyNumberFormat="1" applyFont="1" applyFill="1" applyBorder="1" applyAlignment="1">
      <x:alignment horizontal="center" vertical="center"/>
    </x:xf>
    <x:xf numFmtId="204" fontId="9" fillId="7" borderId="8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6">
    <x:dxf>
      <x:font>
        <x:color rgb="FFDC2626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DC2626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461b4c7844902" /><Relationship Type="http://schemas.openxmlformats.org/officeDocument/2006/relationships/theme" Target="/xl/theme/theme1.xml" Id="R02fd61562c6f4a58" /><Relationship Type="http://schemas.openxmlformats.org/officeDocument/2006/relationships/sharedStrings" Target="/xl/sharedStrings.xml" Id="R0f81e89b41fb4fe7" /><Relationship Type="http://schemas.openxmlformats.org/officeDocument/2006/relationships/worksheet" Target="/xl/worksheets/sheet1.xml" Id="Rc717764909fd40ee" /><Relationship Type="http://schemas.openxmlformats.org/officeDocument/2006/relationships/worksheet" Target="/xl/worksheets/sheet2.xml" Id="Rbacd9bb1ca3d459d" /><Relationship Type="http://schemas.openxmlformats.org/officeDocument/2006/relationships/worksheet" Target="/xl/worksheets/sheet3.xml" Id="R66e0de3a98c542c3" /><Relationship Type="http://schemas.openxmlformats.org/officeDocument/2006/relationships/worksheet" Target="/xl/worksheets/sheet4.xml" Id="Red8bed4234fa4a83" /><Relationship Type="http://schemas.openxmlformats.org/officeDocument/2006/relationships/worksheet" Target="/xl/worksheets/sheet5.xml" Id="R1cf08b939e80443f" /><Relationship Type="http://schemas.openxmlformats.org/officeDocument/2006/relationships/worksheet" Target="/xl/worksheets/sheet6.xml" Id="R9f4debe536274a22" /><Relationship Type="http://schemas.microsoft.com/office/2017/10/relationships/person" Target="/xl/persons/person.xml" Id="Rba9737bb70e0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d75ecbc0fe47dd" /><Relationship Type="http://schemas.openxmlformats.org/officeDocument/2006/relationships/chart" Target="/xl/drawings/charts/chart2.xml" Id="Rad3852fee8004e71" /><Relationship Type="http://schemas.openxmlformats.org/officeDocument/2006/relationships/chart" Target="/xl/drawings/charts/chart3.xml" Id="Rfb806eeef5f24f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Profit Trend (₹)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'Pivot Analysis'!$A$5:$A$16</c:f>
              <c:strCache>
                <c:ptCount val="0"/>
              </c:strCache>
            </c:strRef>
          </c:cat>
          <c:val>
            <c:numRef>
              <c:f>'Pivot Analysis'!$B$5:$B$16</c:f>
              <c:numCache>
                <c:formatCode>₹#,##0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'Pivot Analysis'!$A$5:$A$16</c:f>
              <c:strCache>
                <c:ptCount val="0"/>
              </c:strCache>
            </c:strRef>
          </c:cat>
          <c:val>
            <c:numRef>
              <c:f>'Pivot Analysis'!$C$5:$C$16</c:f>
              <c:numCache>
                <c:formatCode>₹#,##0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Profit by Category (₹)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 Analysis'!$E$5:$E$9</c:f>
              <c:strCache>
                <c:ptCount val="0"/>
              </c:strCache>
            </c:strRef>
          </c:cat>
          <c:val>
            <c:numRef>
              <c:f>'Pivot Analysis'!$F$5:$F$9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'Pivot Analysis'!$E$5:$E$9</c:f>
              <c:strCache>
                <c:ptCount val="0"/>
              </c:strCache>
            </c:strRef>
          </c:cat>
          <c:val>
            <c:numRef>
              <c:f>'Pivot Analysis'!$G$5:$G$9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Performance (₹)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 Analysis'!$I$5:$I$8</c:f>
              <c:strCache>
                <c:ptCount val="0"/>
              </c:strCache>
            </c:strRef>
          </c:cat>
          <c:val>
            <c:numRef>
              <c:f>'Pivot Analysis'!$J$5:$J$8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'Pivot Analysis'!$I$5:$I$8</c:f>
              <c:strCache>
                <c:ptCount val="0"/>
              </c:strCache>
            </c:strRef>
          </c:cat>
          <c:val>
            <c:numRef>
              <c:f>'Pivot Analysis'!$K$5:$K$8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d75ecbc0fe47dd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3852fee8004e7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806eeef5f24f7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figénia Wandi Filipe Gabriel" id="{8C5549CE-9BA6-414A-A79B-5D932243169E}"/>
</xltc:personList>
</file>

<file path=xl/tables/table1.xml><?xml version="1.0" encoding="utf-8"?>
<x:table xmlns:x="http://schemas.openxmlformats.org/spreadsheetml/2006/main" id="1" name="RawSalesTable" displayName="RawSalesTable" ref="A4:O510" headerRowCount="1" totalsRowCount="0" totalsRowShown="0">
  <x:tableColumns count="15">
    <x:tableColumn id="1" name="Order ID"/>
    <x:tableColumn id="2" name="Order Date"/>
    <x:tableColumn id="3" name="Customer ID"/>
    <x:tableColumn id="4" name="Customer Name"/>
    <x:tableColumn id="5" name="Segment"/>
    <x:tableColumn id="6" name="City"/>
    <x:tableColumn id="7" name="Region"/>
    <x:tableColumn id="8" name="Product ID"/>
    <x:tableColumn id="9" name="Product Name"/>
    <x:tableColumn id="10" name="Category"/>
    <x:tableColumn id="11" name="Quantity"/>
    <x:tableColumn id="12" name="Unit Price"/>
    <x:tableColumn id="13" name="Discount"/>
    <x:tableColumn id="14" name="Payment Method"/>
    <x:tableColumn id="15" name="Order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SalesTable" displayName="CleanSalesTable" ref="A4:U504" headerRowCount="1" totalsRowCount="0" totalsRowShown="0">
  <x:tableColumns count="21">
    <x:tableColumn id="1" name="Order ID"/>
    <x:tableColumn id="2" name="Order Date"/>
    <x:tableColumn id="3" name="Customer ID"/>
    <x:tableColumn id="4" name="Customer Name"/>
    <x:tableColumn id="5" name="Segment"/>
    <x:tableColumn id="6" name="City"/>
    <x:tableColumn id="7" name="Region"/>
    <x:tableColumn id="8" name="Product ID"/>
    <x:tableColumn id="9" name="Product Name"/>
    <x:tableColumn id="10" name="Category"/>
    <x:tableColumn id="11" name="Quantity"/>
    <x:tableColumn id="12" name="Unit Price"/>
    <x:tableColumn id="13" name="Discount"/>
    <x:tableColumn id="14" name="Revenue"/>
    <x:tableColumn id="15" name="Unit Cost"/>
    <x:tableColumn id="16" name="Total Cost"/>
    <x:tableColumn id="17" name="Profit"/>
    <x:tableColumn id="18" name="Payment Method"/>
    <x:tableColumn id="19" name="Order Status"/>
    <x:tableColumn id="20" name="Month"/>
    <x:tableColumn id="21" name="Yea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2" dT="2026-09-08T17:20:58.85" personId="{8C5549CE-9BA6-414A-A79B-5D932243169E}" id="{5BA1126E-5E52-4E01-83BE-4430F9E8CF5B}">
    <xltc:text>Dataset disclosure: simulated training data created for the internship assignment; no confidential company information is included.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93e855ea9c49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ab80d1e5c3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077025b52f4c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c838edd74d374747" /><Relationship Type="http://schemas.openxmlformats.org/officeDocument/2006/relationships/vmlDrawing" Target="/xl/drawings/vmldrawing.vml" Id="R996cced28f104bb0" /><Relationship Type="http://schemas.microsoft.com/office/2017/10/relationships/threadedComment" Target="/xl/threadedcomments/threadedcomment.xml" Id="Re9f2e885ea364c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0" customHeight="1">
      <x:c r="A1" s="41" t="str">
        <x:v>RETAIL SALES ANALYTICS DASHBOARD</x:v>
      </x:c>
      <x:c r="B1" s="41" t="str">
        <x:v>RETAIL SALES ANALYTICS DASHBOARD</x:v>
      </x:c>
      <x:c r="C1" s="41" t="str">
        <x:v>RETAIL SALES ANALYTICS DASHBOARD</x:v>
      </x:c>
      <x:c r="D1" s="41" t="str">
        <x:v>RETAIL SALES ANALYTICS DASHBOARD</x:v>
      </x:c>
      <x:c r="E1" s="41" t="str">
        <x:v>RETAIL SALES ANALYTICS DASHBOARD</x:v>
      </x:c>
      <x:c r="F1" s="41" t="str">
        <x:v>RETAIL SALES ANALYTICS DASHBOARD</x:v>
      </x:c>
      <x:c r="G1" s="41" t="str">
        <x:v>RETAIL SALES ANALYTICS DASHBOARD</x:v>
      </x:c>
      <x:c r="H1" s="41" t="str">
        <x:v>RETAIL SALES ANALYTICS DASHBOARD</x:v>
      </x:c>
      <x:c r="I1" s="41" t="str">
        <x:v>RETAIL SALES ANALYTICS DASHBOARD</x:v>
      </x:c>
      <x:c r="J1" s="41" t="str">
        <x:v>RETAIL SALES ANALYTICS DASHBOARD</x:v>
      </x:c>
      <x:c r="K1" s="41" t="str">
        <x:v>RETAIL SALES ANALYTICS DASHBOARD</x:v>
      </x:c>
      <x:c r="L1" s="41" t="str">
        <x:v>RETAIL SALES ANALYTICS DASHBOARD</x:v>
      </x:c>
      <x:c r="M1" s="41" t="str">
        <x:v>RETAIL SALES ANALYTICS DASHBOARD</x:v>
      </x:c>
      <x:c r="N1" s="41" t="str">
        <x:v>RETAIL SALES ANALYTICS DASHBOARD</x:v>
      </x:c>
      <x:c r="O1" s="41" t="str">
        <x:v>RETAIL SALES ANALYTICS DASHBOARD</x:v>
      </x:c>
      <x:c r="P1" s="41" t="str">
        <x:v>RETAIL SALES ANALYTICS DASHBOARD</x:v>
      </x:c>
      <x:c r="Z1" t="n">
        <x:f>ROUND(IF(AND($C$5="All",$H$5="All"),SUM('Clean Data'!$N$5:$N$504),IF($C$5="All",SUMIFS('Clean Data'!$N$5:$N$504,'Clean Data'!$J$5:$J$504,$H$5),IF($H$5="All",SUMIFS('Clean Data'!$N$5:$N$504,'Clean Data'!$G$5:$G$504,$C$5),SUMIFS('Clean Data'!$N$5:$N$504,'Clean Data'!$G$5:$G$504,$C$5,'Clean Data'!$J$5:$J$504,$H$5)))),0)</x:f>
        <x:v>1164271</x:v>
      </x:c>
    </x:row>
    <x:row r="2" ht="30" customHeight="1">
      <x:c r="A2" s="41" t="str">
        <x:v>RETAIL SALES ANALYTICS DASHBOARD</x:v>
      </x:c>
      <x:c r="B2" s="41" t="str">
        <x:v>RETAIL SALES ANALYTICS DASHBOARD</x:v>
      </x:c>
      <x:c r="C2" s="41" t="str">
        <x:v>RETAIL SALES ANALYTICS DASHBOARD</x:v>
      </x:c>
      <x:c r="D2" s="41" t="str">
        <x:v>RETAIL SALES ANALYTICS DASHBOARD</x:v>
      </x:c>
      <x:c r="E2" s="41" t="str">
        <x:v>RETAIL SALES ANALYTICS DASHBOARD</x:v>
      </x:c>
      <x:c r="F2" s="41" t="str">
        <x:v>RETAIL SALES ANALYTICS DASHBOARD</x:v>
      </x:c>
      <x:c r="G2" s="41" t="str">
        <x:v>RETAIL SALES ANALYTICS DASHBOARD</x:v>
      </x:c>
      <x:c r="H2" s="41" t="str">
        <x:v>RETAIL SALES ANALYTICS DASHBOARD</x:v>
      </x:c>
      <x:c r="I2" s="41" t="str">
        <x:v>RETAIL SALES ANALYTICS DASHBOARD</x:v>
      </x:c>
      <x:c r="J2" s="41" t="str">
        <x:v>RETAIL SALES ANALYTICS DASHBOARD</x:v>
      </x:c>
      <x:c r="K2" s="41" t="str">
        <x:v>RETAIL SALES ANALYTICS DASHBOARD</x:v>
      </x:c>
      <x:c r="L2" s="41" t="str">
        <x:v>RETAIL SALES ANALYTICS DASHBOARD</x:v>
      </x:c>
      <x:c r="M2" s="41" t="str">
        <x:v>RETAIL SALES ANALYTICS DASHBOARD</x:v>
      </x:c>
      <x:c r="N2" s="41" t="str">
        <x:v>RETAIL SALES ANALYTICS DASHBOARD</x:v>
      </x:c>
      <x:c r="O2" s="41" t="str">
        <x:v>RETAIL SALES ANALYTICS DASHBOARD</x:v>
      </x:c>
      <x:c r="P2" s="41" t="str">
        <x:v>RETAIL SALES ANALYTICS DASHBOARD</x:v>
      </x:c>
      <x:c r="Z2" t="n">
        <x:f>ROUND(IF(AND($C$5="All",$H$5="All"),SUM('Clean Data'!$Q$5:$Q$504),IF($C$5="All",SUMIFS('Clean Data'!$Q$5:$Q$504,'Clean Data'!$J$5:$J$504,$H$5),IF($H$5="All",SUMIFS('Clean Data'!$Q$5:$Q$504,'Clean Data'!$G$5:$G$504,$C$5),SUMIFS('Clean Data'!$Q$5:$Q$504,'Clean Data'!$G$5:$G$504,$C$5,'Clean Data'!$J$5:$J$504,$H$5)))),0)</x:f>
        <x:v>397041</x:v>
      </x:c>
    </x:row>
    <x:row r="3" ht="22" customHeight="1">
      <x:c r="A3" s="4" t="str">
        <x:v>Bluestock Fintech Internship • Week 1 Core Data Analytics Foundation • Training Dataset</x:v>
      </x:c>
      <x:c r="B3" s="4" t="str">
        <x:v>Bluestock Fintech Internship • Week 1 Core Data Analytics Foundation • Training Dataset</x:v>
      </x:c>
      <x:c r="C3" s="4" t="str">
        <x:v>Bluestock Fintech Internship • Week 1 Core Data Analytics Foundation • Training Dataset</x:v>
      </x:c>
      <x:c r="D3" s="4" t="str">
        <x:v>Bluestock Fintech Internship • Week 1 Core Data Analytics Foundation • Training Dataset</x:v>
      </x:c>
      <x:c r="E3" s="4" t="str">
        <x:v>Bluestock Fintech Internship • Week 1 Core Data Analytics Foundation • Training Dataset</x:v>
      </x:c>
      <x:c r="F3" s="4" t="str">
        <x:v>Bluestock Fintech Internship • Week 1 Core Data Analytics Foundation • Training Dataset</x:v>
      </x:c>
      <x:c r="G3" s="4" t="str">
        <x:v>Bluestock Fintech Internship • Week 1 Core Data Analytics Foundation • Training Dataset</x:v>
      </x:c>
      <x:c r="H3" s="4" t="str">
        <x:v>Bluestock Fintech Internship • Week 1 Core Data Analytics Foundation • Training Dataset</x:v>
      </x:c>
      <x:c r="I3" s="4" t="str">
        <x:v>Bluestock Fintech Internship • Week 1 Core Data Analytics Foundation • Training Dataset</x:v>
      </x:c>
      <x:c r="J3" s="4" t="str">
        <x:v>Bluestock Fintech Internship • Week 1 Core Data Analytics Foundation • Training Dataset</x:v>
      </x:c>
      <x:c r="K3" s="4" t="str">
        <x:v>Bluestock Fintech Internship • Week 1 Core Data Analytics Foundation • Training Dataset</x:v>
      </x:c>
      <x:c r="L3" s="4" t="str">
        <x:v>Bluestock Fintech Internship • Week 1 Core Data Analytics Foundation • Training Dataset</x:v>
      </x:c>
      <x:c r="M3" s="4" t="str">
        <x:v>Bluestock Fintech Internship • Week 1 Core Data Analytics Foundation • Training Dataset</x:v>
      </x:c>
      <x:c r="N3" s="4" t="str">
        <x:v>Bluestock Fintech Internship • Week 1 Core Data Analytics Foundation • Training Dataset</x:v>
      </x:c>
      <x:c r="O3" s="4" t="str">
        <x:v>Bluestock Fintech Internship • Week 1 Core Data Analytics Foundation • Training Dataset</x:v>
      </x:c>
      <x:c r="P3" s="4" t="str">
        <x:v>Bluestock Fintech Internship • Week 1 Core Data Analytics Foundation • Training Dataset</x:v>
      </x:c>
      <x:c r="Z3" t="n">
        <x:f>IFERROR(Z2/Z1,0)</x:f>
        <x:v>0.34102111965341403</x:v>
      </x:c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Z4" t="n">
        <x:f>IF(AND($C$5="All",$H$5="All"),COUNTIF('Clean Data'!$S$5:$S$504,"Completed"),IF($C$5="All",COUNTIFS('Clean Data'!$J$5:$J$504,$H$5,'Clean Data'!$S$5:$S$504,"Completed"),IF($H$5="All",COUNTIFS('Clean Data'!$G$5:$G$504,$C$5,'Clean Data'!$S$5:$S$504,"Completed"),COUNTIFS('Clean Data'!$G$5:$G$504,$C$5,'Clean Data'!$J$5:$J$504,$H$5,'Clean Data'!$S$5:$S$504,"Completed"))))</x:f>
        <x:v>323</x:v>
      </x:c>
    </x:row>
    <x:row r="5" ht="24" customHeight="1">
      <x:c r="A5" s="42" t="str">
        <x:v>Region Filter</x:v>
      </x:c>
      <x:c r="B5" s="42" t="str">
        <x:v>Region Filter</x:v>
      </x:c>
      <x:c r="C5" s="47" t="str">
        <x:v>All</x:v>
      </x:c>
      <x:c r="D5" s="48" t="str">
        <x:v>All</x:v>
      </x:c>
      <x:c r="E5" s="39"/>
      <x:c r="F5" s="42" t="str">
        <x:v>Category Filter</x:v>
      </x:c>
      <x:c r="G5" s="42" t="str">
        <x:v>Category Filter</x:v>
      </x:c>
      <x:c r="H5" s="47" t="str">
        <x:v>All</x:v>
      </x:c>
      <x:c r="I5" s="50" t="str">
        <x:v>All</x:v>
      </x:c>
      <x:c r="J5" s="48" t="str">
        <x:v>All</x:v>
      </x:c>
      <x:c r="K5" s="39"/>
      <x:c r="L5" s="39"/>
      <x:c r="M5" s="39"/>
      <x:c r="N5" s="39"/>
      <x:c r="O5" s="39"/>
      <x:c r="P5" s="39"/>
      <x:c r="Z5" t="n">
        <x:f>IFERROR(Z1/Z4,0)</x:f>
        <x:v>3604.5541795665636</x:v>
      </x:c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</x:row>
    <x:row r="7" ht="22" customHeight="1">
      <x:c r="A7" s="53" t="str">
        <x:v>TOTAL REVENUE</x:v>
      </x:c>
      <x:c r="B7" s="53" t="str">
        <x:v>TOTAL REVENUE</x:v>
      </x:c>
      <x:c r="C7" s="53" t="str">
        <x:v>TOTAL REVENUE</x:v>
      </x:c>
      <x:c r="D7" s="53" t="str">
        <x:v>TOTAL PROFIT</x:v>
      </x:c>
      <x:c r="E7" s="53" t="str">
        <x:v>TOTAL PROFIT</x:v>
      </x:c>
      <x:c r="F7" s="53" t="str">
        <x:v>TOTAL PROFIT</x:v>
      </x:c>
      <x:c r="G7" s="53" t="str">
        <x:v>PROFIT MARGIN</x:v>
      </x:c>
      <x:c r="H7" s="53" t="str">
        <x:v>PROFIT MARGIN</x:v>
      </x:c>
      <x:c r="I7" s="53" t="str">
        <x:v>PROFIT MARGIN</x:v>
      </x:c>
      <x:c r="J7" s="53" t="str">
        <x:v>COMPLETED ORDERS</x:v>
      </x:c>
      <x:c r="K7" s="53" t="str">
        <x:v>COMPLETED ORDERS</x:v>
      </x:c>
      <x:c r="L7" s="53" t="str">
        <x:v>COMPLETED ORDERS</x:v>
      </x:c>
      <x:c r="M7" s="53" t="str">
        <x:v>AVG. ORDER VALUE</x:v>
      </x:c>
      <x:c r="N7" s="53" t="str">
        <x:v>AVG. ORDER VALUE</x:v>
      </x:c>
      <x:c r="O7" s="53" t="str">
        <x:v>AVG. ORDER VALUE</x:v>
      </x:c>
      <x:c r="P7" s="39"/>
    </x:row>
    <x:row r="8">
      <x:c r="A8" s="73" t="str">
        <x:f>"₹ "&amp;TEXT($Z$1,"#,##0")</x:f>
        <x:v>₹ 1,164,271</x:v>
      </x:c>
      <x:c r="B8" s="74"/>
      <x:c r="C8" s="75"/>
      <x:c r="D8" s="73" t="str">
        <x:f>"₹ "&amp;TEXT($Z$2,"#,##0")</x:f>
        <x:v>₹ 397,041</x:v>
      </x:c>
      <x:c r="E8" s="74"/>
      <x:c r="F8" s="75"/>
      <x:c r="G8" s="79" t="str">
        <x:f>TEXT($Z$3,"0.0%")</x:f>
        <x:v>34.1%</x:v>
      </x:c>
      <x:c r="H8" s="80"/>
      <x:c r="I8" s="81"/>
      <x:c r="J8" s="85" t="str">
        <x:f>TEXT($Z$4,"#,##0")</x:f>
        <x:v>323</x:v>
      </x:c>
      <x:c r="K8" s="86"/>
      <x:c r="L8" s="87"/>
      <x:c r="M8" s="73" t="str">
        <x:f>"₹ "&amp;TEXT($Z$5,"#,##0")</x:f>
        <x:v>₹ 3,605</x:v>
      </x:c>
      <x:c r="N8" s="74"/>
      <x:c r="O8" s="75"/>
      <x:c r="P8" s="39"/>
    </x:row>
    <x:row r="9">
      <x:c r="A9" s="76"/>
      <x:c r="B9" s="77"/>
      <x:c r="C9" s="78"/>
      <x:c r="D9" s="76"/>
      <x:c r="E9" s="77"/>
      <x:c r="F9" s="78"/>
      <x:c r="G9" s="82"/>
      <x:c r="H9" s="83"/>
      <x:c r="I9" s="84"/>
      <x:c r="J9" s="88"/>
      <x:c r="K9" s="89"/>
      <x:c r="L9" s="90"/>
      <x:c r="M9" s="76"/>
      <x:c r="N9" s="77"/>
      <x:c r="O9" s="78"/>
      <x:c r="P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</x:row>
    <x:row r="30" ht="24" customHeight="1">
      <x:c r="A30" s="39"/>
      <x:c r="B30" s="39"/>
      <x:c r="C30" s="39"/>
      <x:c r="D30" s="39"/>
      <x:c r="E30" s="39"/>
      <x:c r="F30" s="39"/>
      <x:c r="G30" s="39"/>
      <x:c r="H30" s="39"/>
      <x:c r="I30" s="91" t="str">
        <x:v>KEY BUSINESS INSIGHTS</x:v>
      </x:c>
      <x:c r="J30" s="91" t="str">
        <x:v>KEY BUSINESS INSIGHTS</x:v>
      </x:c>
      <x:c r="K30" s="91" t="str">
        <x:v>KEY BUSINESS INSIGHTS</x:v>
      </x:c>
      <x:c r="L30" s="91" t="str">
        <x:v>KEY BUSINESS INSIGHTS</x:v>
      </x:c>
      <x:c r="M30" s="91" t="str">
        <x:v>KEY BUSINESS INSIGHTS</x:v>
      </x:c>
      <x:c r="N30" s="91" t="str">
        <x:v>KEY BUSINESS INSIGHTS</x:v>
      </x:c>
      <x:c r="O30" s="91" t="str">
        <x:v>KEY BUSINESS INSIGHTS</x:v>
      </x:c>
      <x:c r="P30" s="91" t="str">
        <x:v>KEY BUSINESS INSIGHTS</x:v>
      </x:c>
    </x:row>
    <x:row r="31" ht="22" customHeight="1">
      <x:c r="A31" s="39"/>
      <x:c r="B31" s="39"/>
      <x:c r="C31" s="39"/>
      <x:c r="D31" s="39"/>
      <x:c r="E31" s="39"/>
      <x:c r="F31" s="39"/>
      <x:c r="G31" s="39"/>
      <x:c r="H31" s="39"/>
      <x:c r="I31" s="110" t="str">
        <x:f>"• Top category: "&amp;INDEX('Pivot Analysis'!$E$5:$E$9,MATCH(MAX('Pivot Analysis'!$F$5:$F$9),'Pivot Analysis'!$F$5:$F$9,0))</x:f>
        <x:v>• Top category: Electronics</x:v>
      </x:c>
      <x:c r="J31" s="111"/>
      <x:c r="K31" s="111"/>
      <x:c r="L31" s="111"/>
      <x:c r="M31" s="111"/>
      <x:c r="N31" s="111"/>
      <x:c r="O31" s="111"/>
      <x:c r="P31" s="112"/>
    </x:row>
    <x:row r="32" ht="22" customHeight="1">
      <x:c r="A32" s="39"/>
      <x:c r="B32" s="39"/>
      <x:c r="C32" s="39"/>
      <x:c r="D32" s="39"/>
      <x:c r="E32" s="39"/>
      <x:c r="F32" s="39"/>
      <x:c r="G32" s="39"/>
      <x:c r="H32" s="39"/>
      <x:c r="I32" s="113" t="str">
        <x:f>"• Top region: "&amp;INDEX('Pivot Analysis'!$I$5:$I$8,MATCH(MAX('Pivot Analysis'!$J$5:$J$8),'Pivot Analysis'!$J$5:$J$8,0))</x:f>
        <x:v>• Top region: North</x:v>
      </x:c>
      <x:c r="J32" s="114"/>
      <x:c r="K32" s="114"/>
      <x:c r="L32" s="114"/>
      <x:c r="M32" s="114"/>
      <x:c r="N32" s="114"/>
      <x:c r="O32" s="114"/>
      <x:c r="P32" s="115"/>
    </x:row>
    <x:row r="33" ht="22" customHeight="1">
      <x:c r="A33" s="39"/>
      <x:c r="B33" s="39"/>
      <x:c r="C33" s="39"/>
      <x:c r="D33" s="39"/>
      <x:c r="E33" s="39"/>
      <x:c r="F33" s="39"/>
      <x:c r="G33" s="39"/>
      <x:c r="H33" s="39"/>
      <x:c r="I33" s="113" t="str">
        <x:f>"• Peak month: "&amp;INDEX('Pivot Analysis'!$A$5:$A$16,MATCH(MAX('Pivot Analysis'!$B$5:$B$16),'Pivot Analysis'!$B$5:$B$16,0))</x:f>
        <x:v>• Peak month: Oct 2025</x:v>
      </x:c>
      <x:c r="J33" s="114"/>
      <x:c r="K33" s="114"/>
      <x:c r="L33" s="114"/>
      <x:c r="M33" s="114"/>
      <x:c r="N33" s="114"/>
      <x:c r="O33" s="114"/>
      <x:c r="P33" s="115"/>
    </x:row>
    <x:row r="34" ht="22" customHeight="1">
      <x:c r="A34" s="39"/>
      <x:c r="B34" s="39"/>
      <x:c r="C34" s="39"/>
      <x:c r="D34" s="39"/>
      <x:c r="E34" s="39"/>
      <x:c r="F34" s="39"/>
      <x:c r="G34" s="39"/>
      <x:c r="H34" s="39"/>
      <x:c r="I34" s="113" t="str">
        <x:f>"• Overall profit margin: "&amp;TEXT($Z$3,"0.0%")</x:f>
        <x:v>• Overall profit margin: 34.1%</x:v>
      </x:c>
      <x:c r="J34" s="114"/>
      <x:c r="K34" s="114"/>
      <x:c r="L34" s="114"/>
      <x:c r="M34" s="114"/>
      <x:c r="N34" s="114"/>
      <x:c r="O34" s="114"/>
      <x:c r="P34" s="115"/>
    </x:row>
    <x:row r="35" ht="22" customHeight="1">
      <x:c r="A35" s="39"/>
      <x:c r="B35" s="39"/>
      <x:c r="C35" s="39"/>
      <x:c r="D35" s="39"/>
      <x:c r="E35" s="39"/>
      <x:c r="F35" s="39"/>
      <x:c r="G35" s="39"/>
      <x:c r="H35" s="39"/>
      <x:c r="I35" s="116" t="str">
        <x:v>• All identified dataset quality issues were resolved before analysis.</x:v>
      </x:c>
      <x:c r="J35" s="117"/>
      <x:c r="K35" s="117"/>
      <x:c r="L35" s="117"/>
      <x:c r="M35" s="117"/>
      <x:c r="N35" s="117"/>
      <x:c r="O35" s="117"/>
      <x:c r="P35" s="118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120" t="str">
        <x:v>Prepared by Efigénia Wandi Filipe Gabriel • Updated 10 September 2026</x:v>
      </x:c>
      <x:c r="J37" s="120" t="str">
        <x:v>Prepared by Efigénia Wandi Filipe Gabriel • Updated 10 September 2026</x:v>
      </x:c>
      <x:c r="K37" s="120" t="str">
        <x:v>Prepared by Efigénia Wandi Filipe Gabriel • Updated 10 September 2026</x:v>
      </x:c>
      <x:c r="L37" s="120" t="str">
        <x:v>Prepared by Efigénia Wandi Filipe Gabriel • Updated 10 September 2026</x:v>
      </x:c>
      <x:c r="M37" s="120" t="str">
        <x:v>Prepared by Efigénia Wandi Filipe Gabriel • Updated 10 September 2026</x:v>
      </x:c>
      <x:c r="N37" s="120" t="str">
        <x:v>Prepared by Efigénia Wandi Filipe Gabriel • Updated 10 September 2026</x:v>
      </x:c>
      <x:c r="O37" s="120" t="str">
        <x:v>Prepared by Efigénia Wandi Filipe Gabriel • Updated 10 September 2026</x:v>
      </x:c>
      <x:c r="P37" s="120" t="str">
        <x:v>Prepared by Efigénia Wandi Filipe Gabriel • Updated 10 September 2026</x:v>
      </x:c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</x:row>
  </x:sheetData>
  <x:mergeCells>
    <x:mergeCell ref="A1:P2"/>
    <x:mergeCell ref="A3:P3"/>
    <x:mergeCell ref="A5:B5"/>
    <x:mergeCell ref="C5:D5"/>
    <x:mergeCell ref="F5:G5"/>
    <x:mergeCell ref="H5:J5"/>
    <x:mergeCell ref="A7:C7"/>
    <x:mergeCell ref="A8:C9"/>
    <x:mergeCell ref="D7:F7"/>
    <x:mergeCell ref="D8:F9"/>
    <x:mergeCell ref="G7:I7"/>
    <x:mergeCell ref="G8:I9"/>
    <x:mergeCell ref="J7:L7"/>
    <x:mergeCell ref="J8:L9"/>
    <x:mergeCell ref="M7:O7"/>
    <x:mergeCell ref="M8:O9"/>
    <x:mergeCell ref="I30:P30"/>
    <x:mergeCell ref="I31:P31"/>
    <x:mergeCell ref="I32:P32"/>
    <x:mergeCell ref="I33:P33"/>
    <x:mergeCell ref="I34:P34"/>
    <x:mergeCell ref="I35:P35"/>
    <x:mergeCell ref="I37:P37"/>
  </x:mergeCells>
  <x:dataValidations count="2">
    <x:dataValidation type="list" sqref="C5">
      <x:formula1>"All,North,South,East,West"</x:formula1>
    </x:dataValidation>
    <x:dataValidation type="list" sqref="H5">
      <x:formula1>"All,Electronics,Office Supplies,Home &amp; Kitchen,Fashion,Lifestyle"</x:formula1>
    </x:dataValidation>
  </x:dataValidations>
  <x:pageMargins left="0.7" right="0.7" top="0.75" bottom="0.75" header="0.3" footer="0.3"/>
  <x:drawing xmlns:r="http://schemas.openxmlformats.org/officeDocument/2006/relationships" r:id="R9093e855ea9c49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" hidden="0" customWidth="1"/>
    <x:col min="2" max="2" width="57" hidden="0" customWidth="1"/>
    <x:col min="3" max="3" width="57" hidden="0" customWidth="1"/>
    <x:col min="4" max="4" width="22" hidden="0" customWidth="1"/>
    <x:col min="5" max="5" width="57" hidden="0" customWidth="1"/>
    <x:col min="6" max="6" width="57" hidden="0" customWidth="1"/>
    <x:col min="7" max="7" width="57" hidden="0" customWidth="1"/>
    <x:col min="8" max="8" width="57" hidden="0" customWidth="1"/>
    <x:col min="9" max="9" width="22" hidden="0" customWidth="1"/>
    <x:col min="10" max="10" width="57" hidden="0" customWidth="1"/>
    <x:col min="11" max="11" width="57" hidden="0" customWidth="1"/>
    <x:col min="12" max="12" width="57" hidden="0" customWidth="1"/>
    <x:col min="13" max="13" width="57" hidden="0" customWidth="1"/>
    <x:col min="14" max="14" width="22" hidden="0" customWidth="1"/>
    <x:col min="15" max="15" width="22" hidden="0" customWidth="1"/>
  </x:cols>
  <x:sheetData>
    <x:row r="1" ht="34" customHeight="1">
      <x:c r="A1" s="3" t="str">
        <x:v>RAW SALES DATA</x:v>
      </x:c>
      <x:c r="B1" s="3" t="str">
        <x:v>RAW SALES DATA</x:v>
      </x:c>
      <x:c r="C1" s="3" t="str">
        <x:v>RAW SALES DATA</x:v>
      </x:c>
      <x:c r="D1" s="3" t="str">
        <x:v>RAW SALES DATA</x:v>
      </x:c>
      <x:c r="E1" s="3" t="str">
        <x:v>RAW SALES DATA</x:v>
      </x:c>
      <x:c r="F1" s="3" t="str">
        <x:v>RAW SALES DATA</x:v>
      </x:c>
      <x:c r="G1" s="3" t="str">
        <x:v>RAW SALES DATA</x:v>
      </x:c>
      <x:c r="H1" s="3" t="str">
        <x:v>RAW SALES DATA</x:v>
      </x:c>
      <x:c r="I1" s="3" t="str">
        <x:v>RAW SALES DATA</x:v>
      </x:c>
      <x:c r="J1" s="3" t="str">
        <x:v>RAW SALES DATA</x:v>
      </x:c>
      <x:c r="K1" s="3" t="str">
        <x:v>RAW SALES DATA</x:v>
      </x:c>
      <x:c r="L1" s="3" t="str">
        <x:v>RAW SALES DATA</x:v>
      </x:c>
      <x:c r="M1" s="3" t="str">
        <x:v>RAW SALES DATA</x:v>
      </x:c>
      <x:c r="N1" s="3" t="str">
        <x:v>RAW SALES DATA</x:v>
      </x:c>
      <x:c r="O1" s="3" t="str">
        <x:v>RAW SALES DATA</x:v>
      </x:c>
    </x:row>
    <x:row r="2" ht="22" customHeight="1">
      <x:c r="A2" s="5" t="str">
        <x:v>Simulated training data with controlled quality issues — not Bluestock operational data</x:v>
      </x:c>
      <x:c r="B2" s="5" t="str">
        <x:v>Simulated training data with controlled quality issues — not Bluestock operational data</x:v>
      </x:c>
      <x:c r="C2" s="5" t="str">
        <x:v>Simulated training data with controlled quality issues — not Bluestock operational data</x:v>
      </x:c>
      <x:c r="D2" s="5" t="str">
        <x:v>Simulated training data with controlled quality issues — not Bluestock operational data</x:v>
      </x:c>
      <x:c r="E2" s="5" t="str">
        <x:v>Simulated training data with controlled quality issues — not Bluestock operational data</x:v>
      </x:c>
      <x:c r="F2" s="5" t="str">
        <x:v>Simulated training data with controlled quality issues — not Bluestock operational data</x:v>
      </x:c>
      <x:c r="G2" s="5" t="str">
        <x:v>Simulated training data with controlled quality issues — not Bluestock operational data</x:v>
      </x:c>
      <x:c r="H2" s="5" t="str">
        <x:v>Simulated training data with controlled quality issues — not Bluestock operational data</x:v>
      </x:c>
      <x:c r="I2" s="5" t="str">
        <x:v>Simulated training data with controlled quality issues — not Bluestock operational data</x:v>
      </x:c>
      <x:c r="J2" s="5" t="str">
        <x:v>Simulated training data with controlled quality issues — not Bluestock operational data</x:v>
      </x:c>
      <x:c r="K2" s="5" t="str">
        <x:v>Simulated training data with controlled quality issues — not Bluestock operational data</x:v>
      </x:c>
      <x:c r="L2" s="5" t="str">
        <x:v>Simulated training data with controlled quality issues — not Bluestock operational data</x:v>
      </x:c>
      <x:c r="M2" s="5" t="str">
        <x:v>Simulated training data with controlled quality issues — not Bluestock operational data</x:v>
      </x:c>
      <x:c r="N2" s="5" t="str">
        <x:v>Simulated training data with controlled quality issues — not Bluestock operational data</x:v>
      </x:c>
      <x:c r="O2" s="5" t="str">
        <x:v>Simulated training data with controlled quality issues — not Bluestock operational data</x:v>
      </x:c>
    </x:row>
    <x:row r="4" ht="24" customHeight="1">
      <x:c r="A4" s="21" t="str">
        <x:v>Order ID</x:v>
      </x:c>
      <x:c r="B4" s="21" t="str">
        <x:v>Order Date</x:v>
      </x:c>
      <x:c r="C4" s="21" t="str">
        <x:v>Customer ID</x:v>
      </x:c>
      <x:c r="D4" s="21" t="str">
        <x:v>Customer Name</x:v>
      </x:c>
      <x:c r="E4" s="21" t="str">
        <x:v>Segment</x:v>
      </x:c>
      <x:c r="F4" s="21" t="str">
        <x:v>City</x:v>
      </x:c>
      <x:c r="G4" s="21" t="str">
        <x:v>Region</x:v>
      </x:c>
      <x:c r="H4" s="21" t="str">
        <x:v>Product ID</x:v>
      </x:c>
      <x:c r="I4" s="21" t="str">
        <x:v>Product Name</x:v>
      </x:c>
      <x:c r="J4" s="21" t="str">
        <x:v>Category</x:v>
      </x:c>
      <x:c r="K4" s="21" t="str">
        <x:v>Quantity</x:v>
      </x:c>
      <x:c r="L4" s="21" t="str">
        <x:v>Unit Price</x:v>
      </x:c>
      <x:c r="M4" s="21" t="str">
        <x:v>Discount</x:v>
      </x:c>
      <x:c r="N4" s="21" t="str">
        <x:v>Payment Method</x:v>
      </x:c>
      <x:c r="O4" s="21" t="str">
        <x:v>Order Status</x:v>
      </x:c>
    </x:row>
    <x:row r="5">
      <x:c r="A5" s="8" t="str">
        <x:v>ORD-0001</x:v>
      </x:c>
      <x:c r="B5" s="22" t="n">
        <x:v>45944.87918481482</x:v>
      </x:c>
      <x:c r="C5" s="8" t="str">
        <x:v>CUS-027</x:v>
      </x:c>
      <x:c r="D5" s="8" t="str">
        <x:v>Kabir Khan 2</x:v>
      </x:c>
      <x:c r="E5" s="8" t="str">
        <x:v>Small Business</x:v>
      </x:c>
      <x:c r="F5" s="8" t="str">
        <x:v>Mumbai</x:v>
      </x:c>
      <x:c r="G5" s="8" t="str">
        <x:v>West</x:v>
      </x:c>
      <x:c r="H5" s="8" t="str">
        <x:v>PRD-003</x:v>
      </x:c>
      <x:c r="I5" s="8" t="str">
        <x:v>USB-C Hub</x:v>
      </x:c>
      <x:c r="J5" s="8" t="str">
        <x:v>Electronics</x:v>
      </x:c>
      <x:c r="K5" s="8" t="n">
        <x:v>1</x:v>
      </x:c>
      <x:c r="L5" s="9" t="n">
        <x:v>1899</x:v>
      </x:c>
      <x:c r="M5" s="23" t="n">
        <x:v>0.05</x:v>
      </x:c>
      <x:c r="N5" s="8" t="str">
        <x:v>Net Banking</x:v>
      </x:c>
      <x:c r="O5" s="8" t="str">
        <x:v>Completed</x:v>
      </x:c>
    </x:row>
    <x:row r="6">
      <x:c r="A6" s="8" t="str">
        <x:v>ORD-0002</x:v>
      </x:c>
      <x:c r="B6" s="22" t="n">
        <x:v>45903.671819421295</x:v>
      </x:c>
      <x:c r="C6" s="8" t="str">
        <x:v>CUS-026</x:v>
      </x:c>
      <x:c r="D6" s="8" t="str">
        <x:v>Isha Mehta 2</x:v>
      </x:c>
      <x:c r="E6" s="8" t="str">
        <x:v>Corporate</x:v>
      </x:c>
      <x:c r="F6" s="8" t="str">
        <x:v>Jaipur</x:v>
      </x:c>
      <x:c r="G6" s="8" t="str">
        <x:v>North</x:v>
      </x:c>
      <x:c r="H6" s="8" t="str">
        <x:v>PRD-008</x:v>
      </x:c>
      <x:c r="I6" s="8" t="str">
        <x:v>Storage Container Set</x:v>
      </x:c>
      <x:c r="J6" s="8" t="str">
        <x:v>Home &amp; Kitchen</x:v>
      </x:c>
      <x:c r="K6" s="8" t="n">
        <x:v>1</x:v>
      </x:c>
      <x:c r="L6" s="9" t="n">
        <x:v>999</x:v>
      </x:c>
      <x:c r="M6" s="23" t="n">
        <x:v>0</x:v>
      </x:c>
      <x:c r="N6" s="8" t="str">
        <x:v>Credit Card</x:v>
      </x:c>
      <x:c r="O6" s="8" t="str">
        <x:v>Returned</x:v>
      </x:c>
    </x:row>
    <x:row r="7">
      <x:c r="A7" s="8" t="str">
        <x:v>ORD-0003</x:v>
      </x:c>
      <x:c r="B7" s="22" t="n">
        <x:v>45751.392413842594</x:v>
      </x:c>
      <x:c r="C7" s="8" t="str">
        <x:v>CUS-079</x:v>
      </x:c>
      <x:c r="D7" s="8" t="str">
        <x:v>Siddharth Jain 4</x:v>
      </x:c>
      <x:c r="E7" s="8" t="str">
        <x:v>Consumer</x:v>
      </x:c>
      <x:c r="F7" s="8" t="str">
        <x:v>Kolkata</x:v>
      </x:c>
      <x:c r="G7" s="8" t="str">
        <x:v>East</x:v>
      </x:c>
      <x:c r="H7" s="8" t="str">
        <x:v>PRD-004</x:v>
      </x:c>
      <x:c r="I7" s="8" t="str">
        <x:v>Laptop Stand</x:v>
      </x:c>
      <x:c r="J7" s="8" t="str">
        <x:v>Office Supplies</x:v>
      </x:c>
      <x:c r="K7" s="8" t="n">
        <x:v>5</x:v>
      </x:c>
      <x:c r="L7" s="9" t="n">
        <x:v>1299</x:v>
      </x:c>
      <x:c r="M7" s="23" t="n">
        <x:v>0.2</x:v>
      </x:c>
      <x:c r="N7" s="8" t="str">
        <x:v>UPI</x:v>
      </x:c>
      <x:c r="O7" s="8" t="str">
        <x:v>Completed</x:v>
      </x:c>
    </x:row>
    <x:row r="8">
      <x:c r="A8" s="8" t="str">
        <x:v>ORD-0004</x:v>
      </x:c>
      <x:c r="B8" s="22" t="n">
        <x:v>45659.40601803241</x:v>
      </x:c>
      <x:c r="C8" s="8" t="str">
        <x:v>CUS-041</x:v>
      </x:c>
      <x:c r="D8" s="8" t="str">
        <x:v>Aarav Sharma 3</x:v>
      </x:c>
      <x:c r="E8" s="8" t="str">
        <x:v>Corporate</x:v>
      </x:c>
      <x:c r="F8" s="8" t="str">
        <x:v>Pune</x:v>
      </x:c>
      <x:c r="G8" s="8" t="str">
        <x:v>West</x:v>
      </x:c>
      <x:c r="H8" s="8" t="str">
        <x:v>PRD-011</x:v>
      </x:c>
      <x:c r="I8" s="8" t="str">
        <x:v>Classic Wallet</x:v>
      </x:c>
      <x:c r="J8" s="8" t="str">
        <x:v>Fashion</x:v>
      </x:c>
      <x:c r="K8" s="8" t="n">
        <x:v>1</x:v>
      </x:c>
      <x:c r="L8" s="9" t="n">
        <x:v>1199</x:v>
      </x:c>
      <x:c r="M8" s="23" t="n">
        <x:v>0.05</x:v>
      </x:c>
      <x:c r="N8" s="8" t="str">
        <x:v>Debit Card</x:v>
      </x:c>
      <x:c r="O8" s="8" t="str">
        <x:v>Completed</x:v>
      </x:c>
    </x:row>
    <x:row r="9">
      <x:c r="A9" s="8" t="str">
        <x:v>ORD-0005</x:v>
      </x:c>
      <x:c r="B9" s="22" t="n">
        <x:v>45713.21400211805</x:v>
      </x:c>
      <x:c r="C9" s="8" t="str">
        <x:v>CUS-078</x:v>
      </x:c>
      <x:c r="D9" s="8" t="str">
        <x:v>Nisha Bansal 4</x:v>
      </x:c>
      <x:c r="E9" s="8" t="str">
        <x:v>Small Business</x:v>
      </x:c>
      <x:c r="F9" s="8" t="str">
        <x:v>Jaipur</x:v>
      </x:c>
      <x:c r="G9" s="8" t="str">
        <x:v>North</x:v>
      </x:c>
      <x:c r="H9" s="8" t="str">
        <x:v>PRD-007</x:v>
      </x:c>
      <x:c r="I9" s="8" t="str">
        <x:v>Electric Kettle</x:v>
      </x:c>
      <x:c r="J9" s="8" t="str">
        <x:v>Home &amp; Kitchen</x:v>
      </x:c>
      <x:c r="K9" s="8" t="n">
        <x:v>4</x:v>
      </x:c>
      <x:c r="L9" s="9" t="n">
        <x:v>1699</x:v>
      </x:c>
      <x:c r="M9" s="23" t="n">
        <x:v>0</x:v>
      </x:c>
      <x:c r="N9" s="8" t="str">
        <x:v>Credit Card</x:v>
      </x:c>
      <x:c r="O9" s="8" t="str">
        <x:v>Cancelled</x:v>
      </x:c>
    </x:row>
    <x:row r="10">
      <x:c r="A10" s="8" t="str">
        <x:v>ORD-0006</x:v>
      </x:c>
      <x:c r="B10" s="22" t="n">
        <x:v>45790.34649454861</x:v>
      </x:c>
      <x:c r="C10" s="8" t="str">
        <x:v>CUS-044</x:v>
      </x:c>
      <x:c r="D10" s="8" t="str">
        <x:v>Ananya Gupta 3</x:v>
      </x:c>
      <x:c r="E10" s="8" t="str">
        <x:v>Corporate</x:v>
      </x:c>
      <x:c r="F10" s="8" t="str">
        <x:v>Jaipur</x:v>
      </x:c>
      <x:c r="G10" s="8" t="str">
        <x:v>North</x:v>
      </x:c>
      <x:c r="H10" s="8" t="str">
        <x:v>PRD-012</x:v>
      </x:c>
      <x:c r="I10" s="8" t="str">
        <x:v>Stainless Water Bottle</x:v>
      </x:c>
      <x:c r="J10" s="8" t="str">
        <x:v>Lifestyle</x:v>
      </x:c>
      <x:c r="K10" s="8" t="n">
        <x:v>4</x:v>
      </x:c>
      <x:c r="L10" s="9" t="n">
        <x:v>799</x:v>
      </x:c>
      <x:c r="M10" s="23" t="n">
        <x:v>0.1</x:v>
      </x:c>
      <x:c r="N10" s="8" t="str">
        <x:v>Net Banking</x:v>
      </x:c>
      <x:c r="O10" s="8" t="str">
        <x:v>Completed</x:v>
      </x:c>
    </x:row>
    <x:row r="11">
      <x:c r="A11" s="8" t="str">
        <x:v>ORD-0007</x:v>
      </x:c>
      <x:c r="B11" s="22" t="n">
        <x:v>45867.76678416667</x:v>
      </x:c>
      <x:c r="C11" s="8" t="str">
        <x:v>CUS-015</x:v>
      </x:c>
      <x:c r="D11" s="8" t="str">
        <x:v>Karan Malhotra</x:v>
      </x:c>
      <x:c r="E11" s="8" t="str">
        <x:v>Small Business</x:v>
      </x:c>
      <x:c r="F11" s="8" t="str">
        <x:v>Chennai</x:v>
      </x:c>
      <x:c r="G11" s="8" t="str">
        <x:v>South</x:v>
      </x:c>
      <x:c r="H11" s="8" t="str">
        <x:v>PRD-006</x:v>
      </x:c>
      <x:c r="I11" s="8" t="str">
        <x:v>Desk Organiser</x:v>
      </x:c>
      <x:c r="J11" s="8" t="str">
        <x:v>Office Supplies</x:v>
      </x:c>
      <x:c r="K11" s="8" t="n">
        <x:v>1</x:v>
      </x:c>
      <x:c r="L11" s="9" t="n">
        <x:v>699</x:v>
      </x:c>
      <x:c r="M11" s="23" t="n">
        <x:v>0.15</x:v>
      </x:c>
      <x:c r="N11" s="8" t="str">
        <x:v>Net Banking</x:v>
      </x:c>
      <x:c r="O11" s="8" t="str">
        <x:v>Cancelled</x:v>
      </x:c>
    </x:row>
    <x:row r="12">
      <x:c r="A12" s="8" t="str">
        <x:v>ORD-0008</x:v>
      </x:c>
      <x:c r="B12" s="22" t="n">
        <x:v>45756.59752423611</x:v>
      </x:c>
      <x:c r="C12" s="8" t="str">
        <x:v>CUS-039</x:v>
      </x:c>
      <x:c r="D12" s="8" t="str">
        <x:v>Siddharth Jain 2</x:v>
      </x:c>
      <x:c r="E12" s="8" t="str">
        <x:v>Small Business</x:v>
      </x:c>
      <x:c r="F12" s="8" t="str">
        <x:v>Kolkata</x:v>
      </x:c>
      <x:c r="G12" s="8" t="str">
        <x:v>East</x:v>
      </x:c>
      <x:c r="H12" s="8" t="str">
        <x:v>PRD-003</x:v>
      </x:c>
      <x:c r="I12" s="8" t="str">
        <x:v>USB-C Hub</x:v>
      </x:c>
      <x:c r="J12" s="8" t="str">
        <x:v>Electronics</x:v>
      </x:c>
      <x:c r="K12" s="8" t="n">
        <x:v>1</x:v>
      </x:c>
      <x:c r="L12" s="9" t="n">
        <x:v>1899</x:v>
      </x:c>
      <x:c r="M12" s="23" t="n">
        <x:v>0.15</x:v>
      </x:c>
      <x:c r="N12" s="8" t="str">
        <x:v>UPI</x:v>
      </x:c>
      <x:c r="O12" s="8" t="str">
        <x:v>Completed</x:v>
      </x:c>
    </x:row>
    <x:row r="13">
      <x:c r="A13" s="8" t="str">
        <x:v>ORD-0009</x:v>
      </x:c>
      <x:c r="B13" s="22" t="n">
        <x:v>45836.40855778935</x:v>
      </x:c>
      <x:c r="C13" s="8" t="str">
        <x:v>CUS-019</x:v>
      </x:c>
      <x:c r="D13" s="8" t="str">
        <x:v>Siddharth Jain</x:v>
      </x:c>
      <x:c r="E13" s="8" t="str">
        <x:v>Consumer</x:v>
      </x:c>
      <x:c r="F13" s="8" t="str">
        <x:v>Hyderabad</x:v>
      </x:c>
      <x:c r="G13" s="8" t="str">
        <x:v>South</x:v>
      </x:c>
      <x:c r="H13" s="8" t="str">
        <x:v>PRD-009</x:v>
      </x:c>
      <x:c r="I13" s="8" t="str">
        <x:v>Table Lamp</x:v>
      </x:c>
      <x:c r="J13" s="8" t="str">
        <x:v>Home &amp; Kitchen</x:v>
      </x:c>
      <x:c r="K13" s="8" t="n">
        <x:v>4</x:v>
      </x:c>
      <x:c r="L13" s="9" t="n">
        <x:v>1499</x:v>
      </x:c>
      <x:c r="M13" s="23" t="n">
        <x:v>0.2</x:v>
      </x:c>
      <x:c r="N13" s="8" t="str">
        <x:v>Cash on Delivery</x:v>
      </x:c>
      <x:c r="O13" s="8" t="str">
        <x:v>Completed</x:v>
      </x:c>
    </x:row>
    <x:row r="14">
      <x:c r="A14" s="8" t="str">
        <x:v>ORD-0010</x:v>
      </x:c>
      <x:c r="B14" s="22" t="n">
        <x:v>45974.95322789352</x:v>
      </x:c>
      <x:c r="C14" s="8" t="str">
        <x:v>CUS-005</x:v>
      </x:c>
      <x:c r="D14" s="8" t="str">
        <x:v>Arjun Verma</x:v>
      </x:c>
      <x:c r="E14" s="8" t="str">
        <x:v>Corporate</x:v>
      </x:c>
      <x:c r="F14" s="8" t="str">
        <x:v>Pune</x:v>
      </x:c>
      <x:c r="G14" s="8" t="str">
        <x:v>West</x:v>
      </x:c>
      <x:c r="H14" s="8" t="str">
        <x:v>PRD-008</x:v>
      </x:c>
      <x:c r="I14" s="8" t="str">
        <x:v>Storage Container Set</x:v>
      </x:c>
      <x:c r="J14" s="8" t="str">
        <x:v>Home &amp; Kitchen</x:v>
      </x:c>
      <x:c r="K14" s="8" t="n">
        <x:v>2</x:v>
      </x:c>
      <x:c r="L14" s="9" t="n">
        <x:v>999</x:v>
      </x:c>
      <x:c r="M14" s="23" t="n">
        <x:v>0</x:v>
      </x:c>
      <x:c r="N14" s="8" t="str">
        <x:v>Credit Card</x:v>
      </x:c>
      <x:c r="O14" s="8" t="str">
        <x:v>Completed</x:v>
      </x:c>
    </x:row>
    <x:row r="15">
      <x:c r="A15" s="8" t="str">
        <x:v>ORD-0011</x:v>
      </x:c>
      <x:c r="B15" s="22" t="n">
        <x:v>45795.18357059028</x:v>
      </x:c>
      <x:c r="C15" s="8" t="str">
        <x:v>CUS-003</x:v>
      </x:c>
      <x:c r="D15" s="8" t="str">
        <x:v>Vihaan Singh</x:v>
      </x:c>
      <x:c r="E15" s="8" t="str">
        <x:v>Small Business</x:v>
      </x:c>
      <x:c r="F15" s="8" t="str">
        <x:v>Lucknow</x:v>
      </x:c>
      <x:c r="G15" s="8" t="str">
        <x:v>North</x:v>
      </x:c>
      <x:c r="H15" s="8" t="str">
        <x:v>PRD-008</x:v>
      </x:c>
      <x:c r="I15" s="8" t="str">
        <x:v>Storage Container Set</x:v>
      </x:c>
      <x:c r="J15" s="8" t="str">
        <x:v>Home &amp; Kitchen</x:v>
      </x:c>
      <x:c r="K15" s="8" t="n">
        <x:v>3</x:v>
      </x:c>
      <x:c r="L15" s="9" t="n">
        <x:v>999</x:v>
      </x:c>
      <x:c r="M15" s="23" t="n">
        <x:v>0.15</x:v>
      </x:c>
      <x:c r="N15" s="8" t="str">
        <x:v>Net Banking</x:v>
      </x:c>
      <x:c r="O15" s="8" t="str">
        <x:v>Returned</x:v>
      </x:c>
    </x:row>
    <x:row r="16">
      <x:c r="A16" s="8" t="str">
        <x:v>ORD-0012</x:v>
      </x:c>
      <x:c r="B16" s="22" t="n">
        <x:v>45675.483249398145</x:v>
      </x:c>
      <x:c r="C16" s="8" t="str">
        <x:v>CUS-076</x:v>
      </x:c>
      <x:c r="D16" s="8" t="str">
        <x:v>Pooja Saxena 4</x:v>
      </x:c>
      <x:c r="E16" s="8" t="str">
        <x:v>Consumer</x:v>
      </x:c>
      <x:c r="F16" s="8" t="str">
        <x:v>Ahmedabad</x:v>
      </x:c>
      <x:c r="G16" s="8" t="str">
        <x:v>West</x:v>
      </x:c>
      <x:c r="H16" s="8" t="str">
        <x:v>PRD-003</x:v>
      </x:c>
      <x:c r="I16" s="8" t="str">
        <x:v>USB-C Hub</x:v>
      </x:c>
      <x:c r="J16" s="8" t="str">
        <x:v>Electronics</x:v>
      </x:c>
      <x:c r="K16" s="8" t="n">
        <x:v>2</x:v>
      </x:c>
      <x:c r="L16" s="9" t="n">
        <x:v>1899</x:v>
      </x:c>
      <x:c r="M16" s="23" t="n">
        <x:v>0</x:v>
      </x:c>
      <x:c r="N16" s="8" t="str">
        <x:v>UPI</x:v>
      </x:c>
      <x:c r="O16" s="8" t="str">
        <x:v>Completed</x:v>
      </x:c>
    </x:row>
    <x:row r="17">
      <x:c r="A17" s="8" t="str">
        <x:v>ORD-0013</x:v>
      </x:c>
      <x:c r="B17" s="22" t="n">
        <x:v>45939.76650087963</x:v>
      </x:c>
      <x:c r="C17" s="8" t="str">
        <x:v>CUS-038</x:v>
      </x:c>
      <x:c r="D17" s="8" t="str">
        <x:v>Nisha Bansal 2</x:v>
      </x:c>
      <x:c r="E17" s="8" t="str">
        <x:v>Corporate</x:v>
      </x:c>
      <x:c r="F17" s="8" t="str">
        <x:v>Ahmedabad</x:v>
      </x:c>
      <x:c r="G17" s="8" t="str">
        <x:v>West</x:v>
      </x:c>
      <x:c r="H17" s="8" t="str">
        <x:v>PRD-007</x:v>
      </x:c>
      <x:c r="I17" s="8" t="str">
        <x:v>Electric Kettle</x:v>
      </x:c>
      <x:c r="J17" s="8" t="str">
        <x:v>Home &amp; Kitchen</x:v>
      </x:c>
      <x:c r="K17" s="8" t="n">
        <x:v>5</x:v>
      </x:c>
      <x:c r="L17" s="9" t="n">
        <x:v>1699</x:v>
      </x:c>
      <x:c r="M17" s="23" t="n">
        <x:v>0.05</x:v>
      </x:c>
      <x:c r="N17" s="8" t="str">
        <x:v>Cash on Delivery</x:v>
      </x:c>
      <x:c r="O17" s="8" t="str">
        <x:v>Completed</x:v>
      </x:c>
    </x:row>
    <x:row r="18">
      <x:c r="A18" s="8" t="str">
        <x:v>ORD-0014</x:v>
      </x:c>
      <x:c r="B18" s="22" t="n">
        <x:v>45662.14963193287</x:v>
      </x:c>
      <x:c r="C18" s="8" t="str">
        <x:v>CUS-064</x:v>
      </x:c>
      <x:c r="D18" s="8" t="str">
        <x:v>Ananya Gupta 4</x:v>
      </x:c>
      <x:c r="E18" s="8" t="str">
        <x:v>Consumer</x:v>
      </x:c>
      <x:c r="F18" s="8" t="str">
        <x:v>Delhi</x:v>
      </x:c>
      <x:c r="G18" s="8" t="str">
        <x:v>North</x:v>
      </x:c>
      <x:c r="H18" s="8" t="str">
        <x:v>PRD-009</x:v>
      </x:c>
      <x:c r="I18" s="8" t="str">
        <x:v>Table Lamp</x:v>
      </x:c>
      <x:c r="J18" s="8" t="str">
        <x:v>Home &amp; Kitchen</x:v>
      </x:c>
      <x:c r="K18" s="8" t="n">
        <x:v>5</x:v>
      </x:c>
      <x:c r="L18" s="9" t="n">
        <x:v>1499</x:v>
      </x:c>
      <x:c r="M18" s="23" t="n">
        <x:v>0.1</x:v>
      </x:c>
      <x:c r="N18" s="8" t="str">
        <x:v>Cash on Delivery</x:v>
      </x:c>
      <x:c r="O18" s="8" t="str">
        <x:v>Completed</x:v>
      </x:c>
    </x:row>
    <x:row r="19">
      <x:c r="A19" s="8" t="str">
        <x:v>ORD-0015</x:v>
      </x:c>
      <x:c r="B19" s="22" t="n">
        <x:v>45921.873251377314</x:v>
      </x:c>
      <x:c r="C19" s="8" t="str">
        <x:v>CUS-078</x:v>
      </x:c>
      <x:c r="D19" s="8" t="str">
        <x:v>Nisha Bansal 4</x:v>
      </x:c>
      <x:c r="E19" s="8" t="str">
        <x:v>Small Business</x:v>
      </x:c>
      <x:c r="F19" s="8" t="str">
        <x:v>Chennai</x:v>
      </x:c>
      <x:c r="G19" s="8" t="str">
        <x:v>South</x:v>
      </x:c>
      <x:c r="H19" s="8" t="str">
        <x:v>PRD-002</x:v>
      </x:c>
      <x:c r="I19" s="8" t="str">
        <x:v>Bluetooth Headphones</x:v>
      </x:c>
      <x:c r="J19" s="8" t="str">
        <x:v>Electronics</x:v>
      </x:c>
      <x:c r="K19" s="8" t="n">
        <x:v>1</x:v>
      </x:c>
      <x:c r="L19" s="9" t="n">
        <x:v>2499</x:v>
      </x:c>
      <x:c r="M19" s="23" t="n">
        <x:v>0.1</x:v>
      </x:c>
      <x:c r="N19" s="8" t="str">
        <x:v>Cash on Delivery</x:v>
      </x:c>
      <x:c r="O19" s="8" t="str">
        <x:v>Completed</x:v>
      </x:c>
    </x:row>
    <x:row r="20">
      <x:c r="A20" s="8" t="str">
        <x:v>ORD-0016</x:v>
      </x:c>
      <x:c r="B20" s="22" t="n">
        <x:v>45745.742958449075</x:v>
      </x:c>
      <x:c r="C20" s="8" t="str">
        <x:v>CUS-019</x:v>
      </x:c>
      <x:c r="D20" s="8" t="str">
        <x:v>Siddharth Jain</x:v>
      </x:c>
      <x:c r="E20" s="8" t="str">
        <x:v>Consumer</x:v>
      </x:c>
      <x:c r="F20" s="8" t="str">
        <x:v>Kolkata</x:v>
      </x:c>
      <x:c r="G20" s="8" t="str">
        <x:v>East</x:v>
      </x:c>
      <x:c r="H20" s="8" t="str">
        <x:v>PRD-010</x:v>
      </x:c>
      <x:c r="I20" s="8" t="str">
        <x:v>Travel Backpack</x:v>
      </x:c>
      <x:c r="J20" s="8" t="str">
        <x:v>Fashion</x:v>
      </x:c>
      <x:c r="K20" s="8" t="n">
        <x:v>1</x:v>
      </x:c>
      <x:c r="L20" s="9" t="n">
        <x:v>2199</x:v>
      </x:c>
      <x:c r="M20" s="23" t="n">
        <x:v>0.15</x:v>
      </x:c>
      <x:c r="N20" s="8" t="str">
        <x:v>Debit Card</x:v>
      </x:c>
      <x:c r="O20" s="8" t="str">
        <x:v>Completed</x:v>
      </x:c>
    </x:row>
    <x:row r="21">
      <x:c r="A21" s="8" t="str">
        <x:v>ORD-0017</x:v>
      </x:c>
      <x:c r="B21" s="22" t="n">
        <x:v>45936.36814413194</x:v>
      </x:c>
      <x:c r="C21" s="8" t="str">
        <x:v>CUS-079</x:v>
      </x:c>
      <x:c r="D21" s="8" t="str">
        <x:v>Siddharth Jain 4</x:v>
      </x:c>
      <x:c r="E21" s="8" t="str">
        <x:v>Consumer</x:v>
      </x:c>
      <x:c r="F21" s="8" t="str">
        <x:v>Pune</x:v>
      </x:c>
      <x:c r="G21" s="8" t="str">
        <x:v>West</x:v>
      </x:c>
      <x:c r="H21" s="8" t="str">
        <x:v>PRD-007</x:v>
      </x:c>
      <x:c r="I21" s="8" t="str">
        <x:v>Electric Kettle</x:v>
      </x:c>
      <x:c r="J21" s="8" t="str">
        <x:v>Home &amp; Kitchen</x:v>
      </x:c>
      <x:c r="K21" s="8" t="n">
        <x:v>5</x:v>
      </x:c>
      <x:c r="L21" s="9" t="n">
        <x:v>1699</x:v>
      </x:c>
      <x:c r="M21" s="23" t="n">
        <x:v>0.05</x:v>
      </x:c>
      <x:c r="N21" s="8" t="str">
        <x:v>Net Banking</x:v>
      </x:c>
      <x:c r="O21" s="8" t="str">
        <x:v>Completed</x:v>
      </x:c>
    </x:row>
    <x:row r="22">
      <x:c r="A22" s="8" t="str">
        <x:v>ORD-0018</x:v>
      </x:c>
      <x:c r="B22" s="22" t="n">
        <x:v>45810.90985082176</x:v>
      </x:c>
      <x:c r="C22" s="8" t="str">
        <x:v>CUS-002</x:v>
      </x:c>
      <x:c r="D22" s="8"/>
      <x:c r="E22" s="8" t="str">
        <x:v>Corporate</x:v>
      </x:c>
      <x:c r="F22" s="8" t="str">
        <x:v>Hyderabad</x:v>
      </x:c>
      <x:c r="G22" s="8" t="str">
        <x:v>South</x:v>
      </x:c>
      <x:c r="H22" s="8" t="str">
        <x:v>PRD-001</x:v>
      </x:c>
      <x:c r="I22" s="8" t="str">
        <x:v>Wireless Mouse</x:v>
      </x:c>
      <x:c r="J22" s="8" t="str">
        <x:v>Electronics</x:v>
      </x:c>
      <x:c r="K22" s="8" t="n">
        <x:v>4</x:v>
      </x:c>
      <x:c r="L22" s="9" t="n">
        <x:v>899</x:v>
      </x:c>
      <x:c r="M22" s="23" t="n">
        <x:v>0</x:v>
      </x:c>
      <x:c r="N22" s="8" t="str">
        <x:v>Net Banking</x:v>
      </x:c>
      <x:c r="O22" s="8" t="str">
        <x:v>Returned</x:v>
      </x:c>
    </x:row>
    <x:row r="23">
      <x:c r="A23" s="8" t="str">
        <x:v>ORD-0019</x:v>
      </x:c>
      <x:c r="B23" s="22" t="n">
        <x:v>45957.947532488426</x:v>
      </x:c>
      <x:c r="C23" s="8" t="str">
        <x:v>CUS-062</x:v>
      </x:c>
      <x:c r="D23" s="8" t="str">
        <x:v>Diya Patel 4</x:v>
      </x:c>
      <x:c r="E23" s="8" t="str">
        <x:v>Corporate</x:v>
      </x:c>
      <x:c r="F23" s="8" t="str">
        <x:v>Lucknow</x:v>
      </x:c>
      <x:c r="G23" s="8" t="str">
        <x:v>North</x:v>
      </x:c>
      <x:c r="H23" s="8" t="str">
        <x:v>PRD-005</x:v>
      </x:c>
      <x:c r="I23" s="8" t="str">
        <x:v>Executive Notebook</x:v>
      </x:c>
      <x:c r="J23" s="8" t="str">
        <x:v>Office Supplies</x:v>
      </x:c>
      <x:c r="K23" s="8" t="n">
        <x:v>5</x:v>
      </x:c>
      <x:c r="L23" s="9" t="n">
        <x:v>349</x:v>
      </x:c>
      <x:c r="M23" s="23" t="n">
        <x:v>0</x:v>
      </x:c>
      <x:c r="N23" s="8" t="str">
        <x:v>Cash on Delivery</x:v>
      </x:c>
      <x:c r="O23" s="8" t="str">
        <x:v>Completed</x:v>
      </x:c>
    </x:row>
    <x:row r="24">
      <x:c r="A24" s="8" t="str">
        <x:v>ORD-0020</x:v>
      </x:c>
      <x:c r="B24" s="22" t="n">
        <x:v>46015.94844467592</x:v>
      </x:c>
      <x:c r="C24" s="8" t="str">
        <x:v>CUS-006</x:v>
      </x:c>
      <x:c r="D24" s="8" t="str">
        <x:v>Isha Mehta</x:v>
      </x:c>
      <x:c r="E24" s="8" t="str">
        <x:v>Small Business</x:v>
      </x:c>
      <x:c r="F24" s="8" t="str">
        <x:v>Pune</x:v>
      </x:c>
      <x:c r="G24" s="8" t="str">
        <x:v>West</x:v>
      </x:c>
      <x:c r="H24" s="8" t="str">
        <x:v>PRD-002</x:v>
      </x:c>
      <x:c r="I24" s="8" t="str">
        <x:v>Bluetooth Headphones</x:v>
      </x:c>
      <x:c r="J24" s="8" t="str">
        <x:v>Electronics</x:v>
      </x:c>
      <x:c r="K24" s="8" t="n">
        <x:v>5</x:v>
      </x:c>
      <x:c r="L24" s="9" t="n">
        <x:v>2499</x:v>
      </x:c>
      <x:c r="M24" s="23" t="n">
        <x:v>0.15</x:v>
      </x:c>
      <x:c r="N24" s="8" t="str">
        <x:v>Credit Card</x:v>
      </x:c>
      <x:c r="O24" s="8" t="str">
        <x:v>Completed</x:v>
      </x:c>
    </x:row>
    <x:row r="25">
      <x:c r="A25" s="8" t="str">
        <x:v>ORD-0021</x:v>
      </x:c>
      <x:c r="B25" s="22" t="n">
        <x:v>45681.981474594904</x:v>
      </x:c>
      <x:c r="C25" s="8" t="str">
        <x:v>CUS-010</x:v>
      </x:c>
      <x:c r="D25" s="8" t="str">
        <x:v>Saanvi Iyer</x:v>
      </x:c>
      <x:c r="E25" s="8" t="str">
        <x:v>Consumer</x:v>
      </x:c>
      <x:c r="F25" s="8" t="str">
        <x:v>Kolkata</x:v>
      </x:c>
      <x:c r="G25" s="8" t="str">
        <x:v>East</x:v>
      </x:c>
      <x:c r="H25" s="8" t="str">
        <x:v>PRD-008</x:v>
      </x:c>
      <x:c r="I25" s="8" t="str">
        <x:v>Storage Container Set</x:v>
      </x:c>
      <x:c r="J25" s="8" t="str">
        <x:v>Home &amp; Kitchen</x:v>
      </x:c>
      <x:c r="K25" s="8" t="n">
        <x:v>1</x:v>
      </x:c>
      <x:c r="L25" s="9" t="n">
        <x:v>999</x:v>
      </x:c>
      <x:c r="M25" s="23" t="n">
        <x:v>0.15</x:v>
      </x:c>
      <x:c r="N25" s="8" t="str">
        <x:v>Credit Card</x:v>
      </x:c>
      <x:c r="O25" s="8" t="str">
        <x:v>Completed</x:v>
      </x:c>
    </x:row>
    <x:row r="26">
      <x:c r="A26" s="8" t="str">
        <x:v>ORD-0022</x:v>
      </x:c>
      <x:c r="B26" s="22" t="n">
        <x:v>45995.75736212963</x:v>
      </x:c>
      <x:c r="C26" s="8" t="str">
        <x:v>CUS-022</x:v>
      </x:c>
      <x:c r="D26" s="8" t="str">
        <x:v>Diya Patel 2</x:v>
      </x:c>
      <x:c r="E26" s="8" t="str">
        <x:v>Consumer</x:v>
      </x:c>
      <x:c r="F26" s="8" t="str">
        <x:v>Lucknow</x:v>
      </x:c>
      <x:c r="G26" s="8" t="str">
        <x:v>North</x:v>
      </x:c>
      <x:c r="H26" s="8" t="str">
        <x:v>PRD-006</x:v>
      </x:c>
      <x:c r="I26" s="8" t="str">
        <x:v>Desk Organiser</x:v>
      </x:c>
      <x:c r="J26" s="8" t="str">
        <x:v>Office Supplies</x:v>
      </x:c>
      <x:c r="K26" s="8" t="n">
        <x:v>5</x:v>
      </x:c>
      <x:c r="L26" s="9" t="n">
        <x:v>699</x:v>
      </x:c>
      <x:c r="M26" s="23" t="n">
        <x:v>0</x:v>
      </x:c>
      <x:c r="N26" s="8" t="str">
        <x:v>UPI</x:v>
      </x:c>
      <x:c r="O26" s="8" t="str">
        <x:v>Completed</x:v>
      </x:c>
    </x:row>
    <x:row r="27">
      <x:c r="A27" s="8" t="str">
        <x:v>ORD-0023</x:v>
      </x:c>
      <x:c r="B27" s="22" t="n">
        <x:v>45853.115744814815</x:v>
      </x:c>
      <x:c r="C27" s="8" t="str">
        <x:v>CUS-014</x:v>
      </x:c>
      <x:c r="D27" s="8" t="str">
        <x:v>Neha Rao</x:v>
      </x:c>
      <x:c r="E27" s="8" t="str">
        <x:v>Corporate</x:v>
      </x:c>
      <x:c r="F27" s="8" t="str">
        <x:v>Lucknow</x:v>
      </x:c>
      <x:c r="G27" s="8" t="str">
        <x:v>North</x:v>
      </x:c>
      <x:c r="H27" s="8" t="str">
        <x:v>PRD-002</x:v>
      </x:c>
      <x:c r="I27" s="8" t="str">
        <x:v>Bluetooth Headphones</x:v>
      </x:c>
      <x:c r="J27" s="8" t="str">
        <x:v>Electronics</x:v>
      </x:c>
      <x:c r="K27" s="8" t="n">
        <x:v>1</x:v>
      </x:c>
      <x:c r="L27" s="9" t="n">
        <x:v>2499</x:v>
      </x:c>
      <x:c r="M27" s="23" t="n">
        <x:v>0.1</x:v>
      </x:c>
      <x:c r="N27" s="8" t="str">
        <x:v>Credit Card</x:v>
      </x:c>
      <x:c r="O27" s="8" t="str">
        <x:v>Completed</x:v>
      </x:c>
    </x:row>
    <x:row r="28">
      <x:c r="A28" s="8" t="str">
        <x:v>ORD-0024</x:v>
      </x:c>
      <x:c r="B28" s="22" t="n">
        <x:v>45788.19102564815</x:v>
      </x:c>
      <x:c r="C28" s="8" t="str">
        <x:v>CUS-036</x:v>
      </x:c>
      <x:c r="D28" s="8" t="str">
        <x:v>Pooja Saxena 2</x:v>
      </x:c>
      <x:c r="E28" s="8" t="str">
        <x:v>Small Business</x:v>
      </x:c>
      <x:c r="F28" s="8" t="str">
        <x:v>Delhi</x:v>
      </x:c>
      <x:c r="G28" s="8" t="str">
        <x:v>North</x:v>
      </x:c>
      <x:c r="H28" s="8" t="str">
        <x:v>PRD-003</x:v>
      </x:c>
      <x:c r="I28" s="8" t="str">
        <x:v>USB-C Hub</x:v>
      </x:c>
      <x:c r="J28" s="8" t="str">
        <x:v>Electronics</x:v>
      </x:c>
      <x:c r="K28" s="8" t="n">
        <x:v>4</x:v>
      </x:c>
      <x:c r="L28" s="9" t="n">
        <x:v>1899</x:v>
      </x:c>
      <x:c r="M28" s="23" t="n">
        <x:v>0.2</x:v>
      </x:c>
      <x:c r="N28" s="8" t="str">
        <x:v>Net Banking</x:v>
      </x:c>
      <x:c r="O28" s="8" t="str">
        <x:v>Returned</x:v>
      </x:c>
    </x:row>
    <x:row r="29">
      <x:c r="A29" s="8" t="str">
        <x:v>ORD-0025</x:v>
      </x:c>
      <x:c r="B29" s="22" t="n">
        <x:v>45677.507204814814</x:v>
      </x:c>
      <x:c r="C29" s="8" t="str">
        <x:v>CUS-043</x:v>
      </x:c>
      <x:c r="D29" s="8" t="str">
        <x:v>Vihaan Singh 3</x:v>
      </x:c>
      <x:c r="E29" s="8" t="str">
        <x:v>Consumer</x:v>
      </x:c>
      <x:c r="F29" s="8" t="str">
        <x:v>Chennai</x:v>
      </x:c>
      <x:c r="G29" s="8" t="str">
        <x:v>South</x:v>
      </x:c>
      <x:c r="H29" s="8" t="str">
        <x:v>PRD-011</x:v>
      </x:c>
      <x:c r="I29" s="8" t="str">
        <x:v>Classic Wallet</x:v>
      </x:c>
      <x:c r="J29" s="8" t="str">
        <x:v>Fashion</x:v>
      </x:c>
      <x:c r="K29" s="8" t="n">
        <x:v>3</x:v>
      </x:c>
      <x:c r="L29" s="9" t="n">
        <x:v>1199</x:v>
      </x:c>
      <x:c r="M29" s="23" t="n">
        <x:v>0.15</x:v>
      </x:c>
      <x:c r="N29" s="8" t="str">
        <x:v>Debit Card</x:v>
      </x:c>
      <x:c r="O29" s="8" t="str">
        <x:v>Completed</x:v>
      </x:c>
    </x:row>
    <x:row r="30">
      <x:c r="A30" s="8" t="str">
        <x:v>ORD-0026</x:v>
      </x:c>
      <x:c r="B30" s="22" t="n">
        <x:v>45759.24936841435</x:v>
      </x:c>
      <x:c r="C30" s="8" t="str">
        <x:v>CUS-003</x:v>
      </x:c>
      <x:c r="D30" s="8" t="str">
        <x:v>Vihaan Singh</x:v>
      </x:c>
      <x:c r="E30" s="8" t="str">
        <x:v>Small Business</x:v>
      </x:c>
      <x:c r="F30" s="8" t="str">
        <x:v>Lucknow</x:v>
      </x:c>
      <x:c r="G30" s="8" t="str">
        <x:v>North</x:v>
      </x:c>
      <x:c r="H30" s="8" t="str">
        <x:v>PRD-003</x:v>
      </x:c>
      <x:c r="I30" s="8" t="str">
        <x:v>USB-C Hub</x:v>
      </x:c>
      <x:c r="J30" s="8" t="str">
        <x:v>Electronics</x:v>
      </x:c>
      <x:c r="K30" s="8" t="n">
        <x:v>5</x:v>
      </x:c>
      <x:c r="L30" s="9" t="n">
        <x:v>1899</x:v>
      </x:c>
      <x:c r="M30" s="23" t="n">
        <x:v>0.1</x:v>
      </x:c>
      <x:c r="N30" s="8" t="str">
        <x:v>Credit Card</x:v>
      </x:c>
      <x:c r="O30" s="8" t="str">
        <x:v>Cancelled</x:v>
      </x:c>
    </x:row>
    <x:row r="31">
      <x:c r="A31" s="8" t="str">
        <x:v>ORD-0027</x:v>
      </x:c>
      <x:c r="B31" s="22" t="n">
        <x:v>45743.420419988426</x:v>
      </x:c>
      <x:c r="C31" s="8" t="str">
        <x:v>CUS-062</x:v>
      </x:c>
      <x:c r="D31" s="8" t="str">
        <x:v>Diya Patel 4</x:v>
      </x:c>
      <x:c r="E31" s="8" t="str">
        <x:v>Corporate</x:v>
      </x:c>
      <x:c r="F31" s="8" t="str">
        <x:v>Bengaluru</x:v>
      </x:c>
      <x:c r="G31" s="8" t="str">
        <x:v>South</x:v>
      </x:c>
      <x:c r="H31" s="8" t="str">
        <x:v>PRD-012</x:v>
      </x:c>
      <x:c r="I31" s="8" t="str">
        <x:v>Stainless Water Bottle</x:v>
      </x:c>
      <x:c r="J31" s="8" t="str">
        <x:v>Lifestyle</x:v>
      </x:c>
      <x:c r="K31" s="8" t="n">
        <x:v>1</x:v>
      </x:c>
      <x:c r="L31" s="9" t="n">
        <x:v>799</x:v>
      </x:c>
      <x:c r="M31" s="23" t="n">
        <x:v>0</x:v>
      </x:c>
      <x:c r="N31" s="8" t="str">
        <x:v>Cash on Delivery</x:v>
      </x:c>
      <x:c r="O31" s="8" t="str">
        <x:v>Completed</x:v>
      </x:c>
    </x:row>
    <x:row r="32">
      <x:c r="A32" s="8" t="str">
        <x:v>ORD-0028</x:v>
      </x:c>
      <x:c r="B32" s="22" t="n">
        <x:v>45754.99307722222</x:v>
      </x:c>
      <x:c r="C32" s="8" t="str">
        <x:v>CUS-029</x:v>
      </x:c>
      <x:c r="D32" s="8" t="str">
        <x:v>Rohan Das 2</x:v>
      </x:c>
      <x:c r="E32" s="8" t="str">
        <x:v>Corporate</x:v>
      </x:c>
      <x:c r="F32" s="8" t="str">
        <x:v>Jaipur</x:v>
      </x:c>
      <x:c r="G32" s="8" t="str">
        <x:v>North</x:v>
      </x:c>
      <x:c r="H32" s="8" t="str">
        <x:v>PRD-012</x:v>
      </x:c>
      <x:c r="I32" s="8" t="str">
        <x:v>Stainless Water Bottle</x:v>
      </x:c>
      <x:c r="J32" s="8" t="str">
        <x:v>Lifestyle</x:v>
      </x:c>
      <x:c r="K32" s="8" t="n">
        <x:v>1</x:v>
      </x:c>
      <x:c r="L32" s="9" t="n">
        <x:v>799</x:v>
      </x:c>
      <x:c r="M32" s="23" t="n">
        <x:v>0.15</x:v>
      </x:c>
      <x:c r="N32" s="8" t="str">
        <x:v>Cash on Delivery</x:v>
      </x:c>
      <x:c r="O32" s="8" t="str">
        <x:v>Cancelled</x:v>
      </x:c>
    </x:row>
    <x:row r="33">
      <x:c r="A33" s="8" t="str">
        <x:v>ORD-0029</x:v>
      </x:c>
      <x:c r="B33" s="22" t="n">
        <x:v>45687.22421855324</x:v>
      </x:c>
      <x:c r="C33" s="8" t="str">
        <x:v>CUS-074</x:v>
      </x:c>
      <x:c r="D33" s="8" t="str">
        <x:v>Neha Rao 4</x:v>
      </x:c>
      <x:c r="E33" s="8" t="str">
        <x:v>Corporate</x:v>
      </x:c>
      <x:c r="F33" s="8" t="str">
        <x:v>Bengaluru</x:v>
      </x:c>
      <x:c r="G33" s="8" t="str">
        <x:v>South</x:v>
      </x:c>
      <x:c r="H33" s="8" t="str">
        <x:v>PRD-010</x:v>
      </x:c>
      <x:c r="I33" s="8" t="str">
        <x:v>Travel Backpack</x:v>
      </x:c>
      <x:c r="J33" s="8" t="str">
        <x:v>Fashion</x:v>
      </x:c>
      <x:c r="K33" s="8" t="n">
        <x:v>4</x:v>
      </x:c>
      <x:c r="L33" s="9" t="n">
        <x:v>2199</x:v>
      </x:c>
      <x:c r="M33" s="23" t="n">
        <x:v>0</x:v>
      </x:c>
      <x:c r="N33" s="8" t="str">
        <x:v>Net Banking</x:v>
      </x:c>
      <x:c r="O33" s="8" t="str">
        <x:v>Returned</x:v>
      </x:c>
    </x:row>
    <x:row r="34">
      <x:c r="A34" s="8" t="str">
        <x:v>ORD-0030</x:v>
      </x:c>
      <x:c r="B34" s="22" t="n">
        <x:v>45820.44687539352</x:v>
      </x:c>
      <x:c r="C34" s="8" t="str">
        <x:v>CUS-058</x:v>
      </x:c>
      <x:c r="D34" s="8" t="str">
        <x:v>Nisha Bansal 3</x:v>
      </x:c>
      <x:c r="E34" s="8" t="str">
        <x:v>Consumer</x:v>
      </x:c>
      <x:c r="F34" s="8" t="str">
        <x:v>Delhi</x:v>
      </x:c>
      <x:c r="G34" s="8" t="str">
        <x:v>North</x:v>
      </x:c>
      <x:c r="H34" s="8" t="str">
        <x:v>PRD-001</x:v>
      </x:c>
      <x:c r="I34" s="8" t="str">
        <x:v>Wireless Mouse</x:v>
      </x:c>
      <x:c r="J34" s="8" t="str">
        <x:v>Electronics</x:v>
      </x:c>
      <x:c r="K34" s="8" t="n">
        <x:v>5</x:v>
      </x:c>
      <x:c r="L34" s="9" t="n">
        <x:v>899</x:v>
      </x:c>
      <x:c r="M34" s="23" t="n">
        <x:v>0</x:v>
      </x:c>
      <x:c r="N34" s="8" t="str">
        <x:v>Debit Card</x:v>
      </x:c>
      <x:c r="O34" s="8" t="str">
        <x:v>Completed</x:v>
      </x:c>
    </x:row>
    <x:row r="35">
      <x:c r="A35" s="8" t="str">
        <x:v>ORD-0031</x:v>
      </x:c>
      <x:c r="B35" s="22" t="n">
        <x:v>45708.93039275463</x:v>
      </x:c>
      <x:c r="C35" s="8" t="str">
        <x:v>CUS-021</x:v>
      </x:c>
      <x:c r="D35" s="8" t="str">
        <x:v>Aarav Sharma 2</x:v>
      </x:c>
      <x:c r="E35" s="8" t="str">
        <x:v>Small Business</x:v>
      </x:c>
      <x:c r="F35" s="8" t="str">
        <x:v>Hyderabad</x:v>
      </x:c>
      <x:c r="G35" s="8" t="str">
        <x:v>South</x:v>
      </x:c>
      <x:c r="H35" s="8" t="str">
        <x:v>PRD-007</x:v>
      </x:c>
      <x:c r="I35" s="8" t="str">
        <x:v>Electric Kettle</x:v>
      </x:c>
      <x:c r="J35" s="8" t="str">
        <x:v>Home &amp; Kitchen</x:v>
      </x:c>
      <x:c r="K35" s="8" t="n">
        <x:v>1</x:v>
      </x:c>
      <x:c r="L35" s="9" t="n">
        <x:v>1699</x:v>
      </x:c>
      <x:c r="M35" s="23" t="n">
        <x:v>0.05</x:v>
      </x:c>
      <x:c r="N35" s="8" t="str">
        <x:v>Cash on Delivery</x:v>
      </x:c>
      <x:c r="O35" s="8" t="str">
        <x:v>Cancelled</x:v>
      </x:c>
    </x:row>
    <x:row r="36">
      <x:c r="A36" s="8" t="str">
        <x:v>ORD-0032</x:v>
      </x:c>
      <x:c r="B36" s="22" t="n">
        <x:v>45752.716181585645</x:v>
      </x:c>
      <x:c r="C36" s="8" t="str">
        <x:v>CUS-017</x:v>
      </x:c>
      <x:c r="D36" s="8" t="str">
        <x:v>Vikram Yadav</x:v>
      </x:c>
      <x:c r="E36" s="8" t="str">
        <x:v>Corporate</x:v>
      </x:c>
      <x:c r="F36" s="8" t="str">
        <x:v>Ahmedabad</x:v>
      </x:c>
      <x:c r="G36" s="8" t="str">
        <x:v>West</x:v>
      </x:c>
      <x:c r="H36" s="8" t="str">
        <x:v>PRD-005</x:v>
      </x:c>
      <x:c r="I36" s="8" t="str">
        <x:v>Executive Notebook</x:v>
      </x:c>
      <x:c r="J36" s="8" t="str">
        <x:v>Office Supplies</x:v>
      </x:c>
      <x:c r="K36" s="8" t="n">
        <x:v>5</x:v>
      </x:c>
      <x:c r="L36" s="9" t="n">
        <x:v>349</x:v>
      </x:c>
      <x:c r="M36" s="23" t="n">
        <x:v>0.15</x:v>
      </x:c>
      <x:c r="N36" s="8" t="str">
        <x:v>Debit Card</x:v>
      </x:c>
      <x:c r="O36" s="8" t="str">
        <x:v>Returned</x:v>
      </x:c>
    </x:row>
    <x:row r="37">
      <x:c r="A37" s="8" t="str">
        <x:v>ORD-0033</x:v>
      </x:c>
      <x:c r="B37" s="22" t="n">
        <x:v>45838.85074653935</x:v>
      </x:c>
      <x:c r="C37" s="8" t="str">
        <x:v>CUS-049</x:v>
      </x:c>
      <x:c r="D37" s="8" t="str">
        <x:v>Rohan Das 3</x:v>
      </x:c>
      <x:c r="E37" s="8" t="str">
        <x:v>Consumer</x:v>
      </x:c>
      <x:c r="F37" s="8" t="str">
        <x:v>Jaipur</x:v>
      </x:c>
      <x:c r="G37" s="8" t="str">
        <x:v>North</x:v>
      </x:c>
      <x:c r="H37" s="8" t="str">
        <x:v>PRD-005</x:v>
      </x:c>
      <x:c r="I37" s="8" t="str">
        <x:v>Executive Notebook</x:v>
      </x:c>
      <x:c r="J37" s="8" t="str">
        <x:v>Office Supplies</x:v>
      </x:c>
      <x:c r="K37" s="8" t="n">
        <x:v>1</x:v>
      </x:c>
      <x:c r="L37" s="9" t="n">
        <x:v>349</x:v>
      </x:c>
      <x:c r="M37" s="23" t="n">
        <x:v>0.05</x:v>
      </x:c>
      <x:c r="N37" s="8" t="str">
        <x:v>Cash on Delivery</x:v>
      </x:c>
      <x:c r="O37" s="8" t="str">
        <x:v>Completed</x:v>
      </x:c>
    </x:row>
    <x:row r="38">
      <x:c r="A38" s="8" t="str">
        <x:v>ORD-0034</x:v>
      </x:c>
      <x:c r="B38" s="22" t="n">
        <x:v>45964.694593113425</x:v>
      </x:c>
      <x:c r="C38" s="8" t="str">
        <x:v>CUS-031</x:v>
      </x:c>
      <x:c r="D38" s="8" t="str">
        <x:v>Aditya Joshi 2</x:v>
      </x:c>
      <x:c r="E38" s="8" t="str">
        <x:v>Consumer</x:v>
      </x:c>
      <x:c r="F38" s="8" t="str">
        <x:v>Jaipur</x:v>
      </x:c>
      <x:c r="G38" s="8" t="str">
        <x:v>North</x:v>
      </x:c>
      <x:c r="H38" s="8" t="str">
        <x:v>PRD-006</x:v>
      </x:c>
      <x:c r="I38" s="8" t="str">
        <x:v>Desk Organiser</x:v>
      </x:c>
      <x:c r="J38" s="8" t="str">
        <x:v>Office Supplies</x:v>
      </x:c>
      <x:c r="K38" s="8" t="n">
        <x:v>5</x:v>
      </x:c>
      <x:c r="L38" s="9" t="n">
        <x:v>699</x:v>
      </x:c>
      <x:c r="M38" s="23" t="n">
        <x:v>0</x:v>
      </x:c>
      <x:c r="N38" s="8" t="str">
        <x:v>Net Banking</x:v>
      </x:c>
      <x:c r="O38" s="8" t="str">
        <x:v>Completed</x:v>
      </x:c>
    </x:row>
    <x:row r="39">
      <x:c r="A39" s="8" t="str">
        <x:v>ORD-0035</x:v>
      </x:c>
      <x:c r="B39" s="22" t="n">
        <x:v>45859.7328552662</x:v>
      </x:c>
      <x:c r="C39" s="8" t="str">
        <x:v>CUS-062</x:v>
      </x:c>
      <x:c r="D39" s="8" t="str">
        <x:v>Diya Patel 4</x:v>
      </x:c>
      <x:c r="E39" s="8" t="str">
        <x:v>Corporate</x:v>
      </x:c>
      <x:c r="F39" s="8" t="str">
        <x:v>Pune</x:v>
      </x:c>
      <x:c r="G39" s="8" t="str">
        <x:v>West</x:v>
      </x:c>
      <x:c r="H39" s="8" t="str">
        <x:v>PRD-001</x:v>
      </x:c>
      <x:c r="I39" s="8" t="str">
        <x:v>Wireless Mouse</x:v>
      </x:c>
      <x:c r="J39" s="8" t="str">
        <x:v>Electronics</x:v>
      </x:c>
      <x:c r="K39" s="8" t="n">
        <x:v>1</x:v>
      </x:c>
      <x:c r="L39" s="9" t="n">
        <x:v>899</x:v>
      </x:c>
      <x:c r="M39" s="23" t="n">
        <x:v>0.1</x:v>
      </x:c>
      <x:c r="N39" s="8" t="str">
        <x:v>Cash on Delivery</x:v>
      </x:c>
      <x:c r="O39" s="8" t="str">
        <x:v>Completed</x:v>
      </x:c>
    </x:row>
    <x:row r="40">
      <x:c r="A40" s="8" t="str">
        <x:v>ORD-0036</x:v>
      </x:c>
      <x:c r="B40" s="22" t="n">
        <x:v>45983.68862615741</x:v>
      </x:c>
      <x:c r="C40" s="8" t="str">
        <x:v>CUS-002</x:v>
      </x:c>
      <x:c r="D40" s="8" t="str">
        <x:v>Diya Patel</x:v>
      </x:c>
      <x:c r="E40" s="8" t="str">
        <x:v>Corporate</x:v>
      </x:c>
      <x:c r="F40" s="8" t="str">
        <x:v>Delhi</x:v>
      </x:c>
      <x:c r="G40" s="8" t="str">
        <x:v>North</x:v>
      </x:c>
      <x:c r="H40" s="8" t="str">
        <x:v>PRD-012</x:v>
      </x:c>
      <x:c r="I40" s="8" t="str">
        <x:v>Stainless Water Bottle</x:v>
      </x:c>
      <x:c r="J40" s="8" t="str">
        <x:v>Lifestyle</x:v>
      </x:c>
      <x:c r="K40" s="8" t="n">
        <x:v>1</x:v>
      </x:c>
      <x:c r="L40" s="9" t="n">
        <x:v>799</x:v>
      </x:c>
      <x:c r="M40" s="23"/>
      <x:c r="N40" s="8" t="str">
        <x:v>UPI</x:v>
      </x:c>
      <x:c r="O40" s="8" t="str">
        <x:v>Cancelled</x:v>
      </x:c>
    </x:row>
    <x:row r="41">
      <x:c r="A41" s="8" t="str">
        <x:v>ORD-0037</x:v>
      </x:c>
      <x:c r="B41" s="22" t="n">
        <x:v>45809.64330449074</x:v>
      </x:c>
      <x:c r="C41" s="8" t="str">
        <x:v>CUS-031</x:v>
      </x:c>
      <x:c r="D41" s="8" t="str">
        <x:v>Aditya Joshi 2</x:v>
      </x:c>
      <x:c r="E41" s="8" t="str">
        <x:v>Consumer</x:v>
      </x:c>
      <x:c r="F41" s="8" t="str">
        <x:v>Jaipur</x:v>
      </x:c>
      <x:c r="G41" s="8" t="str">
        <x:v>North</x:v>
      </x:c>
      <x:c r="H41" s="8" t="str">
        <x:v>PRD-003</x:v>
      </x:c>
      <x:c r="I41" s="8" t="str">
        <x:v>USB-C Hub</x:v>
      </x:c>
      <x:c r="J41" s="8" t="str">
        <x:v>Electronics</x:v>
      </x:c>
      <x:c r="K41" s="8" t="n">
        <x:v>3</x:v>
      </x:c>
      <x:c r="L41" s="9" t="n">
        <x:v>1899</x:v>
      </x:c>
      <x:c r="M41" s="23" t="n">
        <x:v>0.15</x:v>
      </x:c>
      <x:c r="N41" s="8" t="str">
        <x:v>Net Banking</x:v>
      </x:c>
      <x:c r="O41" s="8" t="str">
        <x:v>Cancelled</x:v>
      </x:c>
    </x:row>
    <x:row r="42">
      <x:c r="A42" s="8" t="str">
        <x:v>ORD-0038</x:v>
      </x:c>
      <x:c r="B42" s="22" t="n">
        <x:v>45953.20927832176</x:v>
      </x:c>
      <x:c r="C42" s="8" t="str">
        <x:v>CUS-073</x:v>
      </x:c>
      <x:c r="D42" s="8" t="str">
        <x:v>Rahul Mishra 4</x:v>
      </x:c>
      <x:c r="E42" s="8" t="str">
        <x:v>Consumer</x:v>
      </x:c>
      <x:c r="F42" s="8" t="str">
        <x:v>Jaipur</x:v>
      </x:c>
      <x:c r="G42" s="8" t="str">
        <x:v>North</x:v>
      </x:c>
      <x:c r="H42" s="8" t="str">
        <x:v>PRD-003</x:v>
      </x:c>
      <x:c r="I42" s="8" t="str">
        <x:v>USB-C Hub</x:v>
      </x:c>
      <x:c r="J42" s="8" t="str">
        <x:v>Electronics</x:v>
      </x:c>
      <x:c r="K42" s="8" t="n">
        <x:v>3</x:v>
      </x:c>
      <x:c r="L42" s="9" t="n">
        <x:v>1899</x:v>
      </x:c>
      <x:c r="M42" s="23" t="n">
        <x:v>0.2</x:v>
      </x:c>
      <x:c r="N42" s="8" t="str">
        <x:v>Debit Card</x:v>
      </x:c>
      <x:c r="O42" s="8" t="str">
        <x:v>Returned</x:v>
      </x:c>
    </x:row>
    <x:row r="43">
      <x:c r="A43" s="8" t="str">
        <x:v>ORD-0039</x:v>
      </x:c>
      <x:c r="B43" s="22" t="n">
        <x:v>45680.207376273145</x:v>
      </x:c>
      <x:c r="C43" s="8" t="str">
        <x:v>CUS-073</x:v>
      </x:c>
      <x:c r="D43" s="8" t="str">
        <x:v>Rahul Mishra 4</x:v>
      </x:c>
      <x:c r="E43" s="8" t="str">
        <x:v>Consumer</x:v>
      </x:c>
      <x:c r="F43" s="8" t="str">
        <x:v>Ahmedabad</x:v>
      </x:c>
      <x:c r="G43" s="8" t="str">
        <x:v>West</x:v>
      </x:c>
      <x:c r="H43" s="8" t="str">
        <x:v>PRD-005</x:v>
      </x:c>
      <x:c r="I43" s="8" t="str">
        <x:v>Executive Notebook</x:v>
      </x:c>
      <x:c r="J43" s="8" t="str">
        <x:v>Office Supplies</x:v>
      </x:c>
      <x:c r="K43" s="8" t="n">
        <x:v>5</x:v>
      </x:c>
      <x:c r="L43" s="9" t="n">
        <x:v>349</x:v>
      </x:c>
      <x:c r="M43" s="23" t="n">
        <x:v>0.1</x:v>
      </x:c>
      <x:c r="N43" s="8" t="str">
        <x:v>Net Banking</x:v>
      </x:c>
      <x:c r="O43" s="8" t="str">
        <x:v>Completed</x:v>
      </x:c>
    </x:row>
    <x:row r="44">
      <x:c r="A44" s="8" t="str">
        <x:v>ORD-0040</x:v>
      </x:c>
      <x:c r="B44" s="22" t="n">
        <x:v>45718.03349458333</x:v>
      </x:c>
      <x:c r="C44" s="8" t="str">
        <x:v>CUS-053</x:v>
      </x:c>
      <x:c r="D44" s="8" t="str">
        <x:v>Rahul Mishra 3</x:v>
      </x:c>
      <x:c r="E44" s="8" t="str">
        <x:v>Corporate</x:v>
      </x:c>
      <x:c r="F44" s="8" t="str">
        <x:v>Hyderabad</x:v>
      </x:c>
      <x:c r="G44" s="8" t="str">
        <x:v>South</x:v>
      </x:c>
      <x:c r="H44" s="8" t="str">
        <x:v>PRD-004</x:v>
      </x:c>
      <x:c r="I44" s="8" t="str">
        <x:v>Laptop Stand</x:v>
      </x:c>
      <x:c r="J44" s="8" t="str">
        <x:v>Office Supplies</x:v>
      </x:c>
      <x:c r="K44" s="8" t="n">
        <x:v>1</x:v>
      </x:c>
      <x:c r="L44" s="9" t="n">
        <x:v>1299</x:v>
      </x:c>
      <x:c r="M44" s="23" t="n">
        <x:v>0</x:v>
      </x:c>
      <x:c r="N44" s="8" t="str">
        <x:v>Net Banking</x:v>
      </x:c>
      <x:c r="O44" s="8" t="str">
        <x:v>Completed</x:v>
      </x:c>
    </x:row>
    <x:row r="45">
      <x:c r="A45" s="8" t="str">
        <x:v>ORD-0041</x:v>
      </x:c>
      <x:c r="B45" s="22" t="n">
        <x:v>46019.10391232639</x:v>
      </x:c>
      <x:c r="C45" s="8" t="str">
        <x:v>CUS-019</x:v>
      </x:c>
      <x:c r="D45" s="8" t="str">
        <x:v>Siddharth Jain</x:v>
      </x:c>
      <x:c r="E45" s="8" t="str">
        <x:v>Consumer</x:v>
      </x:c>
      <x:c r="F45" s="8" t="str">
        <x:v>Delhi</x:v>
      </x:c>
      <x:c r="G45" s="8" t="str">
        <x:v>North</x:v>
      </x:c>
      <x:c r="H45" s="8" t="str">
        <x:v>PRD-009</x:v>
      </x:c>
      <x:c r="I45" s="8" t="str">
        <x:v>Table Lamp</x:v>
      </x:c>
      <x:c r="J45" s="8" t="str">
        <x:v>Home &amp; Kitchen</x:v>
      </x:c>
      <x:c r="K45" s="8" t="n">
        <x:v>1</x:v>
      </x:c>
      <x:c r="L45" s="9" t="n">
        <x:v>1499</x:v>
      </x:c>
      <x:c r="M45" s="23" t="n">
        <x:v>0.15</x:v>
      </x:c>
      <x:c r="N45" s="8" t="str">
        <x:v>Cash on Delivery</x:v>
      </x:c>
      <x:c r="O45" s="8" t="str">
        <x:v>Completed</x:v>
      </x:c>
    </x:row>
    <x:row r="46">
      <x:c r="A46" s="8" t="str">
        <x:v>ORD-0042</x:v>
      </x:c>
      <x:c r="B46" s="22" t="n">
        <x:v>45907.94400282407</x:v>
      </x:c>
      <x:c r="C46" s="8" t="str">
        <x:v>CUS-036</x:v>
      </x:c>
      <x:c r="D46" s="8" t="str">
        <x:v>Pooja Saxena 2</x:v>
      </x:c>
      <x:c r="E46" s="8" t="str">
        <x:v>Small Business</x:v>
      </x:c>
      <x:c r="F46" s="8" t="str">
        <x:v>Kolkata</x:v>
      </x:c>
      <x:c r="G46" s="8" t="str">
        <x:v>East</x:v>
      </x:c>
      <x:c r="H46" s="8" t="str">
        <x:v>PRD-005</x:v>
      </x:c>
      <x:c r="I46" s="8" t="str">
        <x:v>Executive Notebook</x:v>
      </x:c>
      <x:c r="J46" s="8" t="str">
        <x:v>Office Supplies</x:v>
      </x:c>
      <x:c r="K46" s="8" t="n">
        <x:v>2</x:v>
      </x:c>
      <x:c r="L46" s="9" t="n">
        <x:v>349</x:v>
      </x:c>
      <x:c r="M46" s="23" t="n">
        <x:v>0</x:v>
      </x:c>
      <x:c r="N46" s="8" t="str">
        <x:v>UPI</x:v>
      </x:c>
      <x:c r="O46" s="8" t="str">
        <x:v>Completed</x:v>
      </x:c>
    </x:row>
    <x:row r="47">
      <x:c r="A47" s="8" t="str">
        <x:v>ORD-0043</x:v>
      </x:c>
      <x:c r="B47" s="22" t="n">
        <x:v>45714.36716671296</x:v>
      </x:c>
      <x:c r="C47" s="8" t="str">
        <x:v>CUS-069</x:v>
      </x:c>
      <x:c r="D47" s="8" t="str">
        <x:v>Rohan Das 4</x:v>
      </x:c>
      <x:c r="E47" s="8" t="str">
        <x:v>Small Business</x:v>
      </x:c>
      <x:c r="F47" s="8" t="str">
        <x:v>Delhi</x:v>
      </x:c>
      <x:c r="G47" s="8" t="str">
        <x:v>North</x:v>
      </x:c>
      <x:c r="H47" s="8" t="str">
        <x:v>PRD-012</x:v>
      </x:c>
      <x:c r="I47" s="8" t="str">
        <x:v>Stainless Water Bottle</x:v>
      </x:c>
      <x:c r="J47" s="8" t="str">
        <x:v>Lifestyle</x:v>
      </x:c>
      <x:c r="K47" s="8" t="n">
        <x:v>2</x:v>
      </x:c>
      <x:c r="L47" s="9" t="n">
        <x:v>799</x:v>
      </x:c>
      <x:c r="M47" s="23" t="n">
        <x:v>0.1</x:v>
      </x:c>
      <x:c r="N47" s="8" t="str">
        <x:v>Net Banking</x:v>
      </x:c>
      <x:c r="O47" s="8" t="str">
        <x:v>Completed</x:v>
      </x:c>
    </x:row>
    <x:row r="48">
      <x:c r="A48" s="8" t="str">
        <x:v>ORD-0044</x:v>
      </x:c>
      <x:c r="B48" s="22" t="n">
        <x:v>45982.74837487269</x:v>
      </x:c>
      <x:c r="C48" s="8" t="str">
        <x:v>CUS-065</x:v>
      </x:c>
      <x:c r="D48" s="8" t="str">
        <x:v>Arjun Verma 4</x:v>
      </x:c>
      <x:c r="E48" s="8" t="str">
        <x:v>Corporate</x:v>
      </x:c>
      <x:c r="F48" s="8" t="str">
        <x:v>Delhi</x:v>
      </x:c>
      <x:c r="G48" s="8" t="str">
        <x:v>North</x:v>
      </x:c>
      <x:c r="H48" s="8" t="str">
        <x:v>PRD-001</x:v>
      </x:c>
      <x:c r="I48" s="8" t="str">
        <x:v>Wireless Mouse</x:v>
      </x:c>
      <x:c r="J48" s="8" t="str">
        <x:v>Electronics</x:v>
      </x:c>
      <x:c r="K48" s="8" t="n">
        <x:v>1</x:v>
      </x:c>
      <x:c r="L48" s="9" t="n">
        <x:v>899</x:v>
      </x:c>
      <x:c r="M48" s="23" t="n">
        <x:v>0.15</x:v>
      </x:c>
      <x:c r="N48" s="8" t="str">
        <x:v>Net Banking</x:v>
      </x:c>
      <x:c r="O48" s="8" t="str">
        <x:v>Completed</x:v>
      </x:c>
    </x:row>
    <x:row r="49">
      <x:c r="A49" s="8" t="str">
        <x:v>ORD-0045</x:v>
      </x:c>
      <x:c r="B49" s="22" t="n">
        <x:v>45954.61602361111</x:v>
      </x:c>
      <x:c r="C49" s="8" t="str">
        <x:v>CUS-023</x:v>
      </x:c>
      <x:c r="D49" s="8" t="str">
        <x:v>Vihaan Singh 2</x:v>
      </x:c>
      <x:c r="E49" s="8" t="str">
        <x:v>Corporate</x:v>
      </x:c>
      <x:c r="F49" s="8" t="str">
        <x:v>Mumbai</x:v>
      </x:c>
      <x:c r="G49" s="8" t="str">
        <x:v>West</x:v>
      </x:c>
      <x:c r="H49" s="8" t="str">
        <x:v>PRD-010</x:v>
      </x:c>
      <x:c r="I49" s="8" t="str">
        <x:v>Travel Backpack</x:v>
      </x:c>
      <x:c r="J49" s="8" t="str">
        <x:v>Fashion</x:v>
      </x:c>
      <x:c r="K49" s="8" t="n">
        <x:v>2</x:v>
      </x:c>
      <x:c r="L49" s="9" t="n">
        <x:v>2199</x:v>
      </x:c>
      <x:c r="M49" s="23" t="n">
        <x:v>0</x:v>
      </x:c>
      <x:c r="N49" s="8" t="str">
        <x:v>Net Banking</x:v>
      </x:c>
      <x:c r="O49" s="8" t="str">
        <x:v>Returned</x:v>
      </x:c>
    </x:row>
    <x:row r="50">
      <x:c r="A50" s="8" t="str">
        <x:v>ORD-0046</x:v>
      </x:c>
      <x:c r="B50" s="22" t="n">
        <x:v>45976.37588835648</x:v>
      </x:c>
      <x:c r="C50" s="8" t="str">
        <x:v>CUS-032</x:v>
      </x:c>
      <x:c r="D50" s="8" t="str">
        <x:v>Priya Kapoor 2</x:v>
      </x:c>
      <x:c r="E50" s="8" t="str">
        <x:v>Corporate</x:v>
      </x:c>
      <x:c r="F50" s="8" t="str">
        <x:v>Kolkata</x:v>
      </x:c>
      <x:c r="G50" s="8" t="str">
        <x:v>East</x:v>
      </x:c>
      <x:c r="H50" s="8" t="str">
        <x:v>PRD-005</x:v>
      </x:c>
      <x:c r="I50" s="8" t="str">
        <x:v>Executive Notebook</x:v>
      </x:c>
      <x:c r="J50" s="8" t="str">
        <x:v>Office Supplies</x:v>
      </x:c>
      <x:c r="K50" s="8" t="n">
        <x:v>2</x:v>
      </x:c>
      <x:c r="L50" s="9" t="n">
        <x:v>349</x:v>
      </x:c>
      <x:c r="M50" s="23" t="n">
        <x:v>0</x:v>
      </x:c>
      <x:c r="N50" s="8" t="str">
        <x:v>Net Banking</x:v>
      </x:c>
      <x:c r="O50" s="8" t="str">
        <x:v>Completed</x:v>
      </x:c>
    </x:row>
    <x:row r="51">
      <x:c r="A51" s="8" t="str">
        <x:v>ORD-0047</x:v>
      </x:c>
      <x:c r="B51" s="22" t="n">
        <x:v>45943.82602208333</x:v>
      </x:c>
      <x:c r="C51" s="8" t="str">
        <x:v>CUS-012</x:v>
      </x:c>
      <x:c r="D51" s="8" t="str">
        <x:v>Priya Kapoor</x:v>
      </x:c>
      <x:c r="E51" s="8" t="str">
        <x:v>Small Business</x:v>
      </x:c>
      <x:c r="F51" s="8" t="str">
        <x:v>Lucknow</x:v>
      </x:c>
      <x:c r="G51" s="8" t="str">
        <x:v>North</x:v>
      </x:c>
      <x:c r="H51" s="8" t="str">
        <x:v>PRD-007</x:v>
      </x:c>
      <x:c r="I51" s="8" t="str">
        <x:v>Electric Kettle</x:v>
      </x:c>
      <x:c r="J51" s="8" t="str">
        <x:v>Home &amp; Kitchen</x:v>
      </x:c>
      <x:c r="K51" s="8" t="n">
        <x:v>4</x:v>
      </x:c>
      <x:c r="L51" s="9" t="n">
        <x:v>1699</x:v>
      </x:c>
      <x:c r="M51" s="23" t="n">
        <x:v>0</x:v>
      </x:c>
      <x:c r="N51" s="8" t="str">
        <x:v>Net Banking</x:v>
      </x:c>
      <x:c r="O51" s="8" t="str">
        <x:v>Completed</x:v>
      </x:c>
    </x:row>
    <x:row r="52">
      <x:c r="A52" s="8" t="str">
        <x:v>ORD-0048</x:v>
      </x:c>
      <x:c r="B52" s="22" t="n">
        <x:v>45937.91597884259</x:v>
      </x:c>
      <x:c r="C52" s="8" t="str">
        <x:v>CUS-075</x:v>
      </x:c>
      <x:c r="D52" s="8" t="str">
        <x:v>Karan Malhotra 4</x:v>
      </x:c>
      <x:c r="E52" s="8" t="str">
        <x:v>Small Business</x:v>
      </x:c>
      <x:c r="F52" s="8" t="str">
        <x:v>Pune</x:v>
      </x:c>
      <x:c r="G52" s="8" t="str">
        <x:v>West</x:v>
      </x:c>
      <x:c r="H52" s="8" t="str">
        <x:v>PRD-008</x:v>
      </x:c>
      <x:c r="I52" s="8" t="str">
        <x:v>Storage Container Set</x:v>
      </x:c>
      <x:c r="J52" s="8" t="str">
        <x:v>Home &amp; Kitchen</x:v>
      </x:c>
      <x:c r="K52" s="8" t="n">
        <x:v>5</x:v>
      </x:c>
      <x:c r="L52" s="9" t="n">
        <x:v>999</x:v>
      </x:c>
      <x:c r="M52" s="23" t="n">
        <x:v>0.05</x:v>
      </x:c>
      <x:c r="N52" s="8" t="str">
        <x:v>Net Banking</x:v>
      </x:c>
      <x:c r="O52" s="8" t="str">
        <x:v>Completed</x:v>
      </x:c>
    </x:row>
    <x:row r="53">
      <x:c r="A53" s="8" t="str">
        <x:v>ORD-0049</x:v>
      </x:c>
      <x:c r="B53" s="22" t="n">
        <x:v>46010.12353774306</x:v>
      </x:c>
      <x:c r="C53" s="8" t="str">
        <x:v>CUS-043</x:v>
      </x:c>
      <x:c r="D53" s="8" t="str">
        <x:v>Vihaan Singh 3</x:v>
      </x:c>
      <x:c r="E53" s="8" t="str">
        <x:v>Consumer</x:v>
      </x:c>
      <x:c r="F53" s="8" t="str">
        <x:v>Delhi</x:v>
      </x:c>
      <x:c r="G53" s="8" t="str">
        <x:v>North</x:v>
      </x:c>
      <x:c r="H53" s="8" t="str">
        <x:v>PRD-006</x:v>
      </x:c>
      <x:c r="I53" s="8" t="str">
        <x:v>Desk Organiser</x:v>
      </x:c>
      <x:c r="J53" s="8" t="str">
        <x:v>Office Supplies</x:v>
      </x:c>
      <x:c r="K53" s="8" t="n">
        <x:v>1</x:v>
      </x:c>
      <x:c r="L53" s="9" t="n">
        <x:v>699</x:v>
      </x:c>
      <x:c r="M53" s="23" t="n">
        <x:v>0.05</x:v>
      </x:c>
      <x:c r="N53" s="8" t="str">
        <x:v>Cash on Delivery</x:v>
      </x:c>
      <x:c r="O53" s="8" t="str">
        <x:v>Returned</x:v>
      </x:c>
    </x:row>
    <x:row r="54">
      <x:c r="A54" s="8" t="str">
        <x:v>ORD-0050</x:v>
      </x:c>
      <x:c r="B54" s="22" t="n">
        <x:v>45715.28818289352</x:v>
      </x:c>
      <x:c r="C54" s="8" t="str">
        <x:v>CUS-018</x:v>
      </x:c>
      <x:c r="D54" s="8" t="str">
        <x:v>Nisha Bansal</x:v>
      </x:c>
      <x:c r="E54" s="8" t="str">
        <x:v>Small Business</x:v>
      </x:c>
      <x:c r="F54" s="8" t="str">
        <x:v>Ahmedabad</x:v>
      </x:c>
      <x:c r="G54" s="8" t="str">
        <x:v>West</x:v>
      </x:c>
      <x:c r="H54" s="8" t="str">
        <x:v>PRD-003</x:v>
      </x:c>
      <x:c r="I54" s="8" t="str">
        <x:v>USB-C Hub</x:v>
      </x:c>
      <x:c r="J54" s="8" t="str">
        <x:v>Electronics</x:v>
      </x:c>
      <x:c r="K54" s="8" t="n">
        <x:v>1</x:v>
      </x:c>
      <x:c r="L54" s="9" t="n">
        <x:v>1899</x:v>
      </x:c>
      <x:c r="M54" s="23" t="n">
        <x:v>0.1</x:v>
      </x:c>
      <x:c r="N54" s="8" t="str">
        <x:v>Credit Card</x:v>
      </x:c>
      <x:c r="O54" s="8" t="str">
        <x:v>Completed</x:v>
      </x:c>
    </x:row>
    <x:row r="55">
      <x:c r="A55" s="8" t="str">
        <x:v>ORD-0051</x:v>
      </x:c>
      <x:c r="B55" s="22" t="n">
        <x:v>45712.45200329861</x:v>
      </x:c>
      <x:c r="C55" s="8" t="str">
        <x:v>CUS-011</x:v>
      </x:c>
      <x:c r="D55" s="8" t="str">
        <x:v>Aditya Joshi</x:v>
      </x:c>
      <x:c r="E55" s="8" t="str">
        <x:v>Corporate</x:v>
      </x:c>
      <x:c r="F55" s="8" t="str">
        <x:v>Pune</x:v>
      </x:c>
      <x:c r="G55" s="8" t="str">
        <x:v>West</x:v>
      </x:c>
      <x:c r="H55" s="8" t="str">
        <x:v>PRD-010</x:v>
      </x:c>
      <x:c r="I55" s="8" t="str">
        <x:v>Travel Backpack</x:v>
      </x:c>
      <x:c r="J55" s="8" t="str">
        <x:v>Fashion</x:v>
      </x:c>
      <x:c r="K55" s="8" t="n">
        <x:v>1</x:v>
      </x:c>
      <x:c r="L55" s="9" t="n">
        <x:v>2199</x:v>
      </x:c>
      <x:c r="M55" s="23" t="n">
        <x:v>0.05</x:v>
      </x:c>
      <x:c r="N55" s="8" t="str">
        <x:v>Credit Card</x:v>
      </x:c>
      <x:c r="O55" s="8" t="str">
        <x:v>Completed</x:v>
      </x:c>
    </x:row>
    <x:row r="56">
      <x:c r="A56" s="8" t="str">
        <x:v>ORD-0052</x:v>
      </x:c>
      <x:c r="B56" s="22" t="n">
        <x:v>45762.224339768516</x:v>
      </x:c>
      <x:c r="C56" s="8" t="str">
        <x:v>CUS-067</x:v>
      </x:c>
      <x:c r="D56" s="8" t="str">
        <x:v>Kabir Khan 4</x:v>
      </x:c>
      <x:c r="E56" s="8" t="str">
        <x:v>Consumer</x:v>
      </x:c>
      <x:c r="F56" s="8" t="str">
        <x:v>Jaipur</x:v>
      </x:c>
      <x:c r="G56" s="8" t="str">
        <x:v>North</x:v>
      </x:c>
      <x:c r="H56" s="8" t="str">
        <x:v>PRD-012</x:v>
      </x:c>
      <x:c r="I56" s="8" t="str">
        <x:v>Stainless Water Bottle</x:v>
      </x:c>
      <x:c r="J56" s="8" t="str">
        <x:v>Lifestyle</x:v>
      </x:c>
      <x:c r="K56" s="8" t="n">
        <x:v>4</x:v>
      </x:c>
      <x:c r="L56" s="9" t="n">
        <x:v>799</x:v>
      </x:c>
      <x:c r="M56" s="23" t="n">
        <x:v>0</x:v>
      </x:c>
      <x:c r="N56" s="8" t="str">
        <x:v>Cash on Delivery</x:v>
      </x:c>
      <x:c r="O56" s="8" t="str">
        <x:v>Completed</x:v>
      </x:c>
    </x:row>
    <x:row r="57">
      <x:c r="A57" s="8" t="str">
        <x:v>ORD-0053</x:v>
      </x:c>
      <x:c r="B57" s="22" t="n">
        <x:v>45887.90622916666</x:v>
      </x:c>
      <x:c r="C57" s="8" t="str">
        <x:v>CUS-033</x:v>
      </x:c>
      <x:c r="D57" s="8" t="str">
        <x:v>Rahul Mishra 2</x:v>
      </x:c>
      <x:c r="E57" s="8" t="str">
        <x:v>Small Business</x:v>
      </x:c>
      <x:c r="F57" s="8" t="str">
        <x:v>Lucknow</x:v>
      </x:c>
      <x:c r="G57" s="8" t="str">
        <x:v>North</x:v>
      </x:c>
      <x:c r="H57" s="8" t="str">
        <x:v>PRD-009</x:v>
      </x:c>
      <x:c r="I57" s="8" t="str">
        <x:v>Table Lamp</x:v>
      </x:c>
      <x:c r="J57" s="8" t="str">
        <x:v>Home &amp; Kitchen</x:v>
      </x:c>
      <x:c r="K57" s="8" t="n">
        <x:v>5</x:v>
      </x:c>
      <x:c r="L57" s="9" t="n">
        <x:v>1499</x:v>
      </x:c>
      <x:c r="M57" s="23" t="n">
        <x:v>0</x:v>
      </x:c>
      <x:c r="N57" s="8" t="str">
        <x:v>Debit Card</x:v>
      </x:c>
      <x:c r="O57" s="8" t="str">
        <x:v>Returned</x:v>
      </x:c>
    </x:row>
    <x:row r="58">
      <x:c r="A58" s="8" t="str">
        <x:v>ORD-0054</x:v>
      </x:c>
      <x:c r="B58" s="22" t="n">
        <x:v>45957.20458376157</x:v>
      </x:c>
      <x:c r="C58" s="8" t="str">
        <x:v>CUS-028</x:v>
      </x:c>
      <x:c r="D58" s="8" t="str">
        <x:v>Meera Nair 2</x:v>
      </x:c>
      <x:c r="E58" s="8" t="str">
        <x:v>Consumer</x:v>
      </x:c>
      <x:c r="F58" s="8" t="str">
        <x:v>Mumbai</x:v>
      </x:c>
      <x:c r="G58" s="8" t="str">
        <x:v>West</x:v>
      </x:c>
      <x:c r="H58" s="8" t="str">
        <x:v>PRD-012</x:v>
      </x:c>
      <x:c r="I58" s="8" t="str">
        <x:v>Stainless Water Bottle</x:v>
      </x:c>
      <x:c r="J58" s="8" t="str">
        <x:v>Lifestyle</x:v>
      </x:c>
      <x:c r="K58" s="8" t="n">
        <x:v>3</x:v>
      </x:c>
      <x:c r="L58" s="9" t="n">
        <x:v>799</x:v>
      </x:c>
      <x:c r="M58" s="23" t="n">
        <x:v>0</x:v>
      </x:c>
      <x:c r="N58" s="8" t="str">
        <x:v>Net Banking</x:v>
      </x:c>
      <x:c r="O58" s="8" t="str">
        <x:v>Cancelled</x:v>
      </x:c>
    </x:row>
    <x:row r="59">
      <x:c r="A59" s="8" t="str">
        <x:v>ORD-0055</x:v>
      </x:c>
      <x:c r="B59" s="22" t="n">
        <x:v>45735.86062474537</x:v>
      </x:c>
      <x:c r="C59" s="8" t="str">
        <x:v>CUS-006</x:v>
      </x:c>
      <x:c r="D59" s="8" t="str">
        <x:v>Isha Mehta</x:v>
      </x:c>
      <x:c r="E59" s="8" t="str">
        <x:v>Small Business</x:v>
      </x:c>
      <x:c r="F59" s="8" t="str">
        <x:v>Pune</x:v>
      </x:c>
      <x:c r="G59" s="8" t="str">
        <x:v> west </x:v>
      </x:c>
      <x:c r="H59" s="8" t="str">
        <x:v>PRD-010</x:v>
      </x:c>
      <x:c r="I59" s="8" t="str">
        <x:v>Travel Backpack</x:v>
      </x:c>
      <x:c r="J59" s="8" t="str">
        <x:v>Fashion</x:v>
      </x:c>
      <x:c r="K59" s="8" t="n">
        <x:v>5</x:v>
      </x:c>
      <x:c r="L59" s="9" t="n">
        <x:v>2199</x:v>
      </x:c>
      <x:c r="M59" s="23" t="n">
        <x:v>0</x:v>
      </x:c>
      <x:c r="N59" s="8" t="str">
        <x:v>Cash on Delivery</x:v>
      </x:c>
      <x:c r="O59" s="8" t="str">
        <x:v>Completed</x:v>
      </x:c>
    </x:row>
    <x:row r="60">
      <x:c r="A60" s="8" t="str">
        <x:v>ORD-0056</x:v>
      </x:c>
      <x:c r="B60" s="22" t="n">
        <x:v>45730.76841428241</x:v>
      </x:c>
      <x:c r="C60" s="8" t="str">
        <x:v>CUS-054</x:v>
      </x:c>
      <x:c r="D60" s="8" t="str">
        <x:v>Neha Rao 3</x:v>
      </x:c>
      <x:c r="E60" s="8" t="str">
        <x:v>Small Business</x:v>
      </x:c>
      <x:c r="F60" s="8" t="str">
        <x:v>Bengaluru</x:v>
      </x:c>
      <x:c r="G60" s="8" t="str">
        <x:v>South</x:v>
      </x:c>
      <x:c r="H60" s="8" t="str">
        <x:v>PRD-003</x:v>
      </x:c>
      <x:c r="I60" s="8" t="str">
        <x:v>USB-C Hub</x:v>
      </x:c>
      <x:c r="J60" s="8" t="str">
        <x:v>Electronics</x:v>
      </x:c>
      <x:c r="K60" s="8" t="n">
        <x:v>4</x:v>
      </x:c>
      <x:c r="L60" s="9" t="n">
        <x:v>1899</x:v>
      </x:c>
      <x:c r="M60" s="23" t="n">
        <x:v>0.05</x:v>
      </x:c>
      <x:c r="N60" s="8" t="str">
        <x:v>Credit Card</x:v>
      </x:c>
      <x:c r="O60" s="8" t="str">
        <x:v>Returned</x:v>
      </x:c>
    </x:row>
    <x:row r="61">
      <x:c r="A61" s="8" t="str">
        <x:v>ORD-0057</x:v>
      </x:c>
      <x:c r="B61" s="22" t="n">
        <x:v>45782.90600329861</x:v>
      </x:c>
      <x:c r="C61" s="8" t="str">
        <x:v>CUS-023</x:v>
      </x:c>
      <x:c r="D61" s="8" t="str">
        <x:v>Vihaan Singh 2</x:v>
      </x:c>
      <x:c r="E61" s="8" t="str">
        <x:v>Corporate</x:v>
      </x:c>
      <x:c r="F61" s="8" t="str">
        <x:v>Chennai</x:v>
      </x:c>
      <x:c r="G61" s="8" t="str">
        <x:v>South</x:v>
      </x:c>
      <x:c r="H61" s="8" t="str">
        <x:v>PRD-010</x:v>
      </x:c>
      <x:c r="I61" s="8" t="str">
        <x:v>Travel Backpack</x:v>
      </x:c>
      <x:c r="J61" s="8" t="str">
        <x:v>Fashion</x:v>
      </x:c>
      <x:c r="K61" s="8" t="n">
        <x:v>1</x:v>
      </x:c>
      <x:c r="L61" s="9" t="n">
        <x:v>2199</x:v>
      </x:c>
      <x:c r="M61" s="23" t="n">
        <x:v>0.05</x:v>
      </x:c>
      <x:c r="N61" s="8" t="str">
        <x:v>Credit Card</x:v>
      </x:c>
      <x:c r="O61" s="8" t="str">
        <x:v>Returned</x:v>
      </x:c>
    </x:row>
    <x:row r="62">
      <x:c r="A62" s="8" t="str">
        <x:v>ORD-0058</x:v>
      </x:c>
      <x:c r="B62" s="22" t="n">
        <x:v>45992.47285417824</x:v>
      </x:c>
      <x:c r="C62" s="8" t="str">
        <x:v>CUS-074</x:v>
      </x:c>
      <x:c r="D62" s="8" t="str">
        <x:v>Neha Rao 4</x:v>
      </x:c>
      <x:c r="E62" s="8" t="str">
        <x:v>Corporate</x:v>
      </x:c>
      <x:c r="F62" s="8" t="str">
        <x:v>Chennai</x:v>
      </x:c>
      <x:c r="G62" s="8" t="str">
        <x:v>South</x:v>
      </x:c>
      <x:c r="H62" s="8" t="str">
        <x:v>PRD-010</x:v>
      </x:c>
      <x:c r="I62" s="8" t="str">
        <x:v>Travel Backpack</x:v>
      </x:c>
      <x:c r="J62" s="8" t="str">
        <x:v>Fashion</x:v>
      </x:c>
      <x:c r="K62" s="8" t="n">
        <x:v>5</x:v>
      </x:c>
      <x:c r="L62" s="9" t="n">
        <x:v>2199</x:v>
      </x:c>
      <x:c r="M62" s="23" t="n">
        <x:v>0.05</x:v>
      </x:c>
      <x:c r="N62" s="8" t="str">
        <x:v>Net Banking</x:v>
      </x:c>
      <x:c r="O62" s="8" t="str">
        <x:v>Completed</x:v>
      </x:c>
    </x:row>
    <x:row r="63">
      <x:c r="A63" s="8" t="str">
        <x:v>ORD-0059</x:v>
      </x:c>
      <x:c r="B63" s="22" t="n">
        <x:v>45852.60365740741</x:v>
      </x:c>
      <x:c r="C63" s="8" t="str">
        <x:v>CUS-024</x:v>
      </x:c>
      <x:c r="D63" s="8" t="str">
        <x:v>Ananya Gupta 2</x:v>
      </x:c>
      <x:c r="E63" s="8" t="str">
        <x:v>Small Business</x:v>
      </x:c>
      <x:c r="F63" s="8" t="str">
        <x:v>Chennai</x:v>
      </x:c>
      <x:c r="G63" s="8" t="str">
        <x:v>South</x:v>
      </x:c>
      <x:c r="H63" s="8" t="str">
        <x:v>PRD-003</x:v>
      </x:c>
      <x:c r="I63" s="8" t="str">
        <x:v>USB-C Hub</x:v>
      </x:c>
      <x:c r="J63" s="8" t="str">
        <x:v>Electronics</x:v>
      </x:c>
      <x:c r="K63" s="8" t="n">
        <x:v>5</x:v>
      </x:c>
      <x:c r="L63" s="9" t="n">
        <x:v>1899</x:v>
      </x:c>
      <x:c r="M63" s="23" t="n">
        <x:v>0</x:v>
      </x:c>
      <x:c r="N63" s="8" t="str">
        <x:v>Cash on Delivery</x:v>
      </x:c>
      <x:c r="O63" s="8" t="str">
        <x:v>Returned</x:v>
      </x:c>
    </x:row>
    <x:row r="64">
      <x:c r="A64" s="8" t="str">
        <x:v>ORD-0060</x:v>
      </x:c>
      <x:c r="B64" s="22" t="n">
        <x:v>45837.529945069444</x:v>
      </x:c>
      <x:c r="C64" s="8" t="str">
        <x:v>CUS-045</x:v>
      </x:c>
      <x:c r="D64" s="8" t="str">
        <x:v>Arjun Verma 3</x:v>
      </x:c>
      <x:c r="E64" s="8" t="str">
        <x:v>Small Business</x:v>
      </x:c>
      <x:c r="F64" s="8" t="str">
        <x:v>Bengaluru</x:v>
      </x:c>
      <x:c r="G64" s="8" t="str">
        <x:v>South</x:v>
      </x:c>
      <x:c r="H64" s="8" t="str">
        <x:v>PRD-007</x:v>
      </x:c>
      <x:c r="I64" s="8" t="str">
        <x:v>Electric Kettle</x:v>
      </x:c>
      <x:c r="J64" s="8" t="str">
        <x:v>Home &amp; Kitchen</x:v>
      </x:c>
      <x:c r="K64" s="8" t="n">
        <x:v>2</x:v>
      </x:c>
      <x:c r="L64" s="9" t="n">
        <x:v>1699</x:v>
      </x:c>
      <x:c r="M64" s="23" t="n">
        <x:v>0</x:v>
      </x:c>
      <x:c r="N64" s="8" t="str">
        <x:v>Debit Card</x:v>
      </x:c>
      <x:c r="O64" s="8" t="str">
        <x:v>Completed</x:v>
      </x:c>
    </x:row>
    <x:row r="65">
      <x:c r="A65" s="8" t="str">
        <x:v>ORD-0061</x:v>
      </x:c>
      <x:c r="B65" s="22" t="n">
        <x:v>45724.49921572916</x:v>
      </x:c>
      <x:c r="C65" s="8" t="str">
        <x:v>CUS-070</x:v>
      </x:c>
      <x:c r="D65" s="8" t="str">
        <x:v>Saanvi Iyer 4</x:v>
      </x:c>
      <x:c r="E65" s="8" t="str">
        <x:v>Consumer</x:v>
      </x:c>
      <x:c r="F65" s="8" t="str">
        <x:v>Ahmedabad</x:v>
      </x:c>
      <x:c r="G65" s="8" t="str">
        <x:v>West</x:v>
      </x:c>
      <x:c r="H65" s="8" t="str">
        <x:v>PRD-002</x:v>
      </x:c>
      <x:c r="I65" s="8" t="str">
        <x:v>Bluetooth Headphones</x:v>
      </x:c>
      <x:c r="J65" s="8" t="str">
        <x:v>Electronics</x:v>
      </x:c>
      <x:c r="K65" s="8" t="n">
        <x:v>2</x:v>
      </x:c>
      <x:c r="L65" s="9" t="n">
        <x:v>2499</x:v>
      </x:c>
      <x:c r="M65" s="23" t="n">
        <x:v>0</x:v>
      </x:c>
      <x:c r="N65" s="8" t="str">
        <x:v>UPI</x:v>
      </x:c>
      <x:c r="O65" s="8" t="str">
        <x:v>Returned</x:v>
      </x:c>
    </x:row>
    <x:row r="66">
      <x:c r="A66" s="8" t="str">
        <x:v>ORD-0062</x:v>
      </x:c>
      <x:c r="B66" s="22" t="n">
        <x:v>45857.80538506944</x:v>
      </x:c>
      <x:c r="C66" s="8" t="str">
        <x:v>CUS-001</x:v>
      </x:c>
      <x:c r="D66" s="8" t="str">
        <x:v>Aarav Sharma</x:v>
      </x:c>
      <x:c r="E66" s="8" t="str">
        <x:v>Consumer</x:v>
      </x:c>
      <x:c r="F66" s="8" t="str">
        <x:v>Kolkata</x:v>
      </x:c>
      <x:c r="G66" s="8" t="str">
        <x:v>East</x:v>
      </x:c>
      <x:c r="H66" s="8" t="str">
        <x:v>PRD-008</x:v>
      </x:c>
      <x:c r="I66" s="8" t="str">
        <x:v>Storage Container Set</x:v>
      </x:c>
      <x:c r="J66" s="8" t="str">
        <x:v>Home &amp; Kitchen</x:v>
      </x:c>
      <x:c r="K66" s="8" t="n">
        <x:v>5</x:v>
      </x:c>
      <x:c r="L66" s="9" t="n">
        <x:v>999</x:v>
      </x:c>
      <x:c r="M66" s="23" t="n">
        <x:v>0.1</x:v>
      </x:c>
      <x:c r="N66" s="8" t="str">
        <x:v>Debit Card</x:v>
      </x:c>
      <x:c r="O66" s="8" t="str">
        <x:v>Completed</x:v>
      </x:c>
    </x:row>
    <x:row r="67">
      <x:c r="A67" s="8" t="str">
        <x:v>ORD-0063</x:v>
      </x:c>
      <x:c r="B67" s="22" t="n">
        <x:v>45933.875616296296</x:v>
      </x:c>
      <x:c r="C67" s="8" t="str">
        <x:v>CUS-020</x:v>
      </x:c>
      <x:c r="D67" s="8" t="str">
        <x:v>Kavya Reddy</x:v>
      </x:c>
      <x:c r="E67" s="8" t="str">
        <x:v>Corporate</x:v>
      </x:c>
      <x:c r="F67" s="8" t="str">
        <x:v>Pune</x:v>
      </x:c>
      <x:c r="G67" s="8" t="str">
        <x:v>West</x:v>
      </x:c>
      <x:c r="H67" s="8" t="str">
        <x:v>PRD-004</x:v>
      </x:c>
      <x:c r="I67" s="8" t="str">
        <x:v>Laptop Stand</x:v>
      </x:c>
      <x:c r="J67" s="8" t="str">
        <x:v>Office Supplies</x:v>
      </x:c>
      <x:c r="K67" s="8" t="n">
        <x:v>5</x:v>
      </x:c>
      <x:c r="L67" s="9" t="n">
        <x:v>1299</x:v>
      </x:c>
      <x:c r="M67" s="23" t="n">
        <x:v>0.1</x:v>
      </x:c>
      <x:c r="N67" s="8" t="str">
        <x:v>Credit Card</x:v>
      </x:c>
      <x:c r="O67" s="8" t="str">
        <x:v>Completed</x:v>
      </x:c>
    </x:row>
    <x:row r="68">
      <x:c r="A68" s="8" t="str">
        <x:v>ORD-0064</x:v>
      </x:c>
      <x:c r="B68" s="22" t="n">
        <x:v>45758.18960650463</x:v>
      </x:c>
      <x:c r="C68" s="8" t="str">
        <x:v>CUS-030</x:v>
      </x:c>
      <x:c r="D68" s="8" t="str">
        <x:v>Saanvi Iyer 2</x:v>
      </x:c>
      <x:c r="E68" s="8" t="str">
        <x:v>Small Business</x:v>
      </x:c>
      <x:c r="F68" s="8" t="str">
        <x:v>Chennai</x:v>
      </x:c>
      <x:c r="G68" s="8" t="str">
        <x:v>South</x:v>
      </x:c>
      <x:c r="H68" s="8" t="str">
        <x:v>PRD-005</x:v>
      </x:c>
      <x:c r="I68" s="8" t="str">
        <x:v>Executive Notebook</x:v>
      </x:c>
      <x:c r="J68" s="8" t="str">
        <x:v>Office Supplies</x:v>
      </x:c>
      <x:c r="K68" s="8" t="n">
        <x:v>4</x:v>
      </x:c>
      <x:c r="L68" s="9" t="n">
        <x:v>349</x:v>
      </x:c>
      <x:c r="M68" s="23" t="n">
        <x:v>0</x:v>
      </x:c>
      <x:c r="N68" s="8" t="str">
        <x:v>Net Banking</x:v>
      </x:c>
      <x:c r="O68" s="8" t="str">
        <x:v>Completed</x:v>
      </x:c>
    </x:row>
    <x:row r="69">
      <x:c r="A69" s="8" t="str">
        <x:v>ORD-0065</x:v>
      </x:c>
      <x:c r="B69" s="22" t="n">
        <x:v>45716.492213715275</x:v>
      </x:c>
      <x:c r="C69" s="8" t="str">
        <x:v>CUS-038</x:v>
      </x:c>
      <x:c r="D69" s="8" t="str">
        <x:v>Nisha Bansal 2</x:v>
      </x:c>
      <x:c r="E69" s="8" t="str">
        <x:v>Corporate</x:v>
      </x:c>
      <x:c r="F69" s="8" t="str">
        <x:v>Pune</x:v>
      </x:c>
      <x:c r="G69" s="8" t="str">
        <x:v>West</x:v>
      </x:c>
      <x:c r="H69" s="8" t="str">
        <x:v>PRD-009</x:v>
      </x:c>
      <x:c r="I69" s="8" t="str">
        <x:v>Table Lamp</x:v>
      </x:c>
      <x:c r="J69" s="8" t="str">
        <x:v>Home &amp; Kitchen</x:v>
      </x:c>
      <x:c r="K69" s="8" t="n">
        <x:v>5</x:v>
      </x:c>
      <x:c r="L69" s="9" t="n">
        <x:v>1499</x:v>
      </x:c>
      <x:c r="M69" s="23" t="n">
        <x:v>0</x:v>
      </x:c>
      <x:c r="N69" s="8" t="str">
        <x:v>Net Banking</x:v>
      </x:c>
      <x:c r="O69" s="8" t="str">
        <x:v>Completed</x:v>
      </x:c>
    </x:row>
    <x:row r="70">
      <x:c r="A70" s="8" t="str">
        <x:v>ORD-0066</x:v>
      </x:c>
      <x:c r="B70" s="22" t="n">
        <x:v>45837.474897685184</x:v>
      </x:c>
      <x:c r="C70" s="8" t="str">
        <x:v>CUS-032</x:v>
      </x:c>
      <x:c r="D70" s="8" t="str">
        <x:v>Priya Kapoor 2</x:v>
      </x:c>
      <x:c r="E70" s="8" t="str">
        <x:v>Corporate</x:v>
      </x:c>
      <x:c r="F70" s="8" t="str">
        <x:v>Hyderabad</x:v>
      </x:c>
      <x:c r="G70" s="8" t="str">
        <x:v>South</x:v>
      </x:c>
      <x:c r="H70" s="8" t="str">
        <x:v>PRD-012</x:v>
      </x:c>
      <x:c r="I70" s="8" t="str">
        <x:v>Stainless Water Bottle</x:v>
      </x:c>
      <x:c r="J70" s="8" t="str">
        <x:v>Lifestyle</x:v>
      </x:c>
      <x:c r="K70" s="8" t="n">
        <x:v>2</x:v>
      </x:c>
      <x:c r="L70" s="9" t="n">
        <x:v>799</x:v>
      </x:c>
      <x:c r="M70" s="23" t="n">
        <x:v>0</x:v>
      </x:c>
      <x:c r="N70" s="8" t="str">
        <x:v>Net Banking</x:v>
      </x:c>
      <x:c r="O70" s="8" t="str">
        <x:v>Cancelled</x:v>
      </x:c>
    </x:row>
    <x:row r="71">
      <x:c r="A71" s="8" t="str">
        <x:v>ORD-0067</x:v>
      </x:c>
      <x:c r="B71" s="22" t="n">
        <x:v>45891.41161883102</x:v>
      </x:c>
      <x:c r="C71" s="8" t="str">
        <x:v>CUS-034</x:v>
      </x:c>
      <x:c r="D71" s="8" t="str">
        <x:v>Neha Rao 2</x:v>
      </x:c>
      <x:c r="E71" s="8" t="str">
        <x:v>Consumer</x:v>
      </x:c>
      <x:c r="F71" s="8" t="str">
        <x:v>Hyderabad</x:v>
      </x:c>
      <x:c r="G71" s="8" t="str">
        <x:v>South</x:v>
      </x:c>
      <x:c r="H71" s="8" t="str">
        <x:v>PRD-006</x:v>
      </x:c>
      <x:c r="I71" s="8" t="str">
        <x:v>Desk Organiser</x:v>
      </x:c>
      <x:c r="J71" s="8" t="str">
        <x:v>Office Supplies</x:v>
      </x:c>
      <x:c r="K71" s="8" t="n">
        <x:v>1</x:v>
      </x:c>
      <x:c r="L71" s="9" t="n">
        <x:v>699</x:v>
      </x:c>
      <x:c r="M71" s="23" t="n">
        <x:v>0.1</x:v>
      </x:c>
      <x:c r="N71" s="8" t="str">
        <x:v>Debit Card</x:v>
      </x:c>
      <x:c r="O71" s="8" t="str">
        <x:v>Completed</x:v>
      </x:c>
    </x:row>
    <x:row r="72">
      <x:c r="A72" s="8" t="str">
        <x:v>ORD-0068</x:v>
      </x:c>
      <x:c r="B72" s="22" t="n">
        <x:v>45852.41496065972</x:v>
      </x:c>
      <x:c r="C72" s="8" t="str">
        <x:v>CUS-076</x:v>
      </x:c>
      <x:c r="D72" s="8" t="str">
        <x:v>Pooja Saxena 4</x:v>
      </x:c>
      <x:c r="E72" s="8" t="str">
        <x:v>Consumer</x:v>
      </x:c>
      <x:c r="F72" s="8" t="str">
        <x:v>Jaipur</x:v>
      </x:c>
      <x:c r="G72" s="8" t="str">
        <x:v>North</x:v>
      </x:c>
      <x:c r="H72" s="8" t="str">
        <x:v>PRD-012</x:v>
      </x:c>
      <x:c r="I72" s="8" t="str">
        <x:v>Stainless Water Bottle</x:v>
      </x:c>
      <x:c r="J72" s="8" t="str">
        <x:v>Lifestyle</x:v>
      </x:c>
      <x:c r="K72" s="8" t="n">
        <x:v>4</x:v>
      </x:c>
      <x:c r="L72" s="9" t="n">
        <x:v>799</x:v>
      </x:c>
      <x:c r="M72" s="23" t="n">
        <x:v>0.1</x:v>
      </x:c>
      <x:c r="N72" s="8" t="str">
        <x:v>UPI</x:v>
      </x:c>
      <x:c r="O72" s="8" t="str">
        <x:v>Completed</x:v>
      </x:c>
    </x:row>
    <x:row r="73">
      <x:c r="A73" s="8" t="str">
        <x:v>ORD-0069</x:v>
      </x:c>
      <x:c r="B73" s="22" t="n">
        <x:v>45775.58061726852</x:v>
      </x:c>
      <x:c r="C73" s="8" t="str">
        <x:v>CUS-061</x:v>
      </x:c>
      <x:c r="D73" s="8" t="str">
        <x:v>Aarav Sharma 4</x:v>
      </x:c>
      <x:c r="E73" s="8" t="str">
        <x:v>Consumer</x:v>
      </x:c>
      <x:c r="F73" s="8" t="str">
        <x:v>Hyderabad</x:v>
      </x:c>
      <x:c r="G73" s="8" t="str">
        <x:v>South</x:v>
      </x:c>
      <x:c r="H73" s="8" t="str">
        <x:v>PRD-002</x:v>
      </x:c>
      <x:c r="I73" s="8" t="str">
        <x:v>Bluetooth Headphones</x:v>
      </x:c>
      <x:c r="J73" s="8" t="str">
        <x:v>Electronics</x:v>
      </x:c>
      <x:c r="K73" s="8" t="n">
        <x:v>2</x:v>
      </x:c>
      <x:c r="L73" s="9" t="n">
        <x:v>2499</x:v>
      </x:c>
      <x:c r="M73" s="23" t="n">
        <x:v>0.05</x:v>
      </x:c>
      <x:c r="N73" s="8" t="str">
        <x:v>Credit Card</x:v>
      </x:c>
      <x:c r="O73" s="8" t="str">
        <x:v>Completed</x:v>
      </x:c>
    </x:row>
    <x:row r="74">
      <x:c r="A74" s="8" t="str">
        <x:v>ORD-0070</x:v>
      </x:c>
      <x:c r="B74" s="22" t="n">
        <x:v>45808.250344189815</x:v>
      </x:c>
      <x:c r="C74" s="8" t="str">
        <x:v>CUS-070</x:v>
      </x:c>
      <x:c r="D74" s="8" t="str">
        <x:v>Saanvi Iyer 4</x:v>
      </x:c>
      <x:c r="E74" s="8" t="str">
        <x:v>Consumer</x:v>
      </x:c>
      <x:c r="F74" s="8" t="str">
        <x:v>Hyderabad</x:v>
      </x:c>
      <x:c r="G74" s="8" t="str">
        <x:v>South</x:v>
      </x:c>
      <x:c r="H74" s="8" t="str">
        <x:v>PRD-005</x:v>
      </x:c>
      <x:c r="I74" s="8" t="str">
        <x:v>Executive Notebook</x:v>
      </x:c>
      <x:c r="J74" s="8" t="str">
        <x:v>Office Supplies</x:v>
      </x:c>
      <x:c r="K74" s="8" t="n">
        <x:v>2</x:v>
      </x:c>
      <x:c r="L74" s="9" t="n">
        <x:v>349</x:v>
      </x:c>
      <x:c r="M74" s="23" t="n">
        <x:v>0.15</x:v>
      </x:c>
      <x:c r="N74" s="8" t="str">
        <x:v>Cash on Delivery</x:v>
      </x:c>
      <x:c r="O74" s="8" t="str">
        <x:v>Completed</x:v>
      </x:c>
    </x:row>
    <x:row r="75">
      <x:c r="A75" s="8" t="str">
        <x:v>ORD-0071</x:v>
      </x:c>
      <x:c r="B75" s="22" t="n">
        <x:v>45941.33092359954</x:v>
      </x:c>
      <x:c r="C75" s="8" t="str">
        <x:v>CUS-071</x:v>
      </x:c>
      <x:c r="D75" s="8" t="str">
        <x:v>Aditya Joshi 4</x:v>
      </x:c>
      <x:c r="E75" s="8" t="str">
        <x:v>Corporate</x:v>
      </x:c>
      <x:c r="F75" s="8" t="str">
        <x:v>Mumbai</x:v>
      </x:c>
      <x:c r="G75" s="8" t="str">
        <x:v>West</x:v>
      </x:c>
      <x:c r="H75" s="8" t="str">
        <x:v>PRD-009</x:v>
      </x:c>
      <x:c r="I75" s="8" t="str">
        <x:v>Table Lamp</x:v>
      </x:c>
      <x:c r="J75" s="8" t="str">
        <x:v>Home &amp; Kitchen</x:v>
      </x:c>
      <x:c r="K75" s="8" t="n">
        <x:v>2</x:v>
      </x:c>
      <x:c r="L75" s="9" t="n">
        <x:v>1499</x:v>
      </x:c>
      <x:c r="M75" s="23" t="n">
        <x:v>0</x:v>
      </x:c>
      <x:c r="N75" s="8" t="str">
        <x:v>Cash on Delivery</x:v>
      </x:c>
      <x:c r="O75" s="8" t="str">
        <x:v>Completed</x:v>
      </x:c>
    </x:row>
    <x:row r="76">
      <x:c r="A76" s="8" t="str">
        <x:v>ORD-0072</x:v>
      </x:c>
      <x:c r="B76" s="22" t="n">
        <x:v>46011.41340474537</x:v>
      </x:c>
      <x:c r="C76" s="8" t="str">
        <x:v>CUS-045</x:v>
      </x:c>
      <x:c r="D76" s="8" t="str">
        <x:v>Arjun Verma 3</x:v>
      </x:c>
      <x:c r="E76" s="8" t="str">
        <x:v>Small Business</x:v>
      </x:c>
      <x:c r="F76" s="8" t="str">
        <x:v>Jaipur</x:v>
      </x:c>
      <x:c r="G76" s="8" t="str">
        <x:v>North</x:v>
      </x:c>
      <x:c r="H76" s="8" t="str">
        <x:v>PRD-008</x:v>
      </x:c>
      <x:c r="I76" s="8" t="str">
        <x:v>Storage Container Set</x:v>
      </x:c>
      <x:c r="J76" s="8" t="str">
        <x:v>Home &amp; Kitchen</x:v>
      </x:c>
      <x:c r="K76" s="8" t="n">
        <x:v>3</x:v>
      </x:c>
      <x:c r="L76" s="9" t="n">
        <x:v>999</x:v>
      </x:c>
      <x:c r="M76" s="23" t="n">
        <x:v>0.15</x:v>
      </x:c>
      <x:c r="N76" s="8" t="str">
        <x:v>Net Banking</x:v>
      </x:c>
      <x:c r="O76" s="8" t="str">
        <x:v>Completed</x:v>
      </x:c>
    </x:row>
    <x:row r="77">
      <x:c r="A77" s="8" t="str">
        <x:v>ORD-0073</x:v>
      </x:c>
      <x:c r="B77" s="22" t="n">
        <x:v>45962.18988046296</x:v>
      </x:c>
      <x:c r="C77" s="8" t="str">
        <x:v>CUS-031</x:v>
      </x:c>
      <x:c r="D77" s="8" t="str">
        <x:v>Aditya Joshi 2</x:v>
      </x:c>
      <x:c r="E77" s="8" t="str">
        <x:v>Consumer</x:v>
      </x:c>
      <x:c r="F77" s="8" t="str">
        <x:v>Mumbai</x:v>
      </x:c>
      <x:c r="G77" s="8" t="str">
        <x:v>West</x:v>
      </x:c>
      <x:c r="H77" s="8" t="str">
        <x:v>PRD-006</x:v>
      </x:c>
      <x:c r="I77" s="8" t="str">
        <x:v>Desk Organiser</x:v>
      </x:c>
      <x:c r="J77" s="8" t="str">
        <x:v>Office Supplies</x:v>
      </x:c>
      <x:c r="K77" s="8" t="n">
        <x:v>1</x:v>
      </x:c>
      <x:c r="L77" s="9" t="n">
        <x:v>699</x:v>
      </x:c>
      <x:c r="M77" s="23" t="n">
        <x:v>0.2</x:v>
      </x:c>
      <x:c r="N77" s="8" t="str">
        <x:v>Credit Card</x:v>
      </x:c>
      <x:c r="O77" s="8" t="str">
        <x:v>Completed</x:v>
      </x:c>
    </x:row>
    <x:row r="78">
      <x:c r="A78" s="8" t="str">
        <x:v>ORD-0074</x:v>
      </x:c>
      <x:c r="B78" s="22" t="n">
        <x:v>45938.96100418981</x:v>
      </x:c>
      <x:c r="C78" s="8" t="str">
        <x:v>CUS-069</x:v>
      </x:c>
      <x:c r="D78" s="8" t="str">
        <x:v>Rohan Das 4</x:v>
      </x:c>
      <x:c r="E78" s="8" t="str">
        <x:v>Small Business</x:v>
      </x:c>
      <x:c r="F78" s="8" t="str">
        <x:v>Ahmedabad</x:v>
      </x:c>
      <x:c r="G78" s="8" t="str">
        <x:v>West</x:v>
      </x:c>
      <x:c r="H78" s="8" t="str">
        <x:v>PRD-002</x:v>
      </x:c>
      <x:c r="I78" s="8" t="str">
        <x:v>Bluetooth Headphones</x:v>
      </x:c>
      <x:c r="J78" s="8" t="str">
        <x:v>Electronics</x:v>
      </x:c>
      <x:c r="K78" s="8" t="n">
        <x:v>1</x:v>
      </x:c>
      <x:c r="L78" s="9" t="n">
        <x:v>2499</x:v>
      </x:c>
      <x:c r="M78" s="23" t="n">
        <x:v>0.05</x:v>
      </x:c>
      <x:c r="N78" s="8" t="str">
        <x:v>Cash on Delivery</x:v>
      </x:c>
      <x:c r="O78" s="8" t="str">
        <x:v>Completed</x:v>
      </x:c>
    </x:row>
    <x:row r="79">
      <x:c r="A79" s="8" t="str">
        <x:v>ORD-0075</x:v>
      </x:c>
      <x:c r="B79" s="22" t="n">
        <x:v>45927.43419706018</x:v>
      </x:c>
      <x:c r="C79" s="8" t="str">
        <x:v>CUS-034</x:v>
      </x:c>
      <x:c r="D79" s="8" t="str">
        <x:v>Neha Rao 2</x:v>
      </x:c>
      <x:c r="E79" s="8" t="str">
        <x:v>Consumer</x:v>
      </x:c>
      <x:c r="F79" s="8" t="str">
        <x:v>Jaipur</x:v>
      </x:c>
      <x:c r="G79" s="8" t="str">
        <x:v>North</x:v>
      </x:c>
      <x:c r="H79" s="8" t="str">
        <x:v>PRD-010</x:v>
      </x:c>
      <x:c r="I79" s="8" t="str">
        <x:v>Travel Backpack</x:v>
      </x:c>
      <x:c r="J79" s="8" t="str">
        <x:v>Fashion</x:v>
      </x:c>
      <x:c r="K79" s="8" t="n">
        <x:v>5</x:v>
      </x:c>
      <x:c r="L79" s="9" t="n">
        <x:v>2199</x:v>
      </x:c>
      <x:c r="M79" s="23" t="n">
        <x:v>0</x:v>
      </x:c>
      <x:c r="N79" s="8" t="str">
        <x:v>UPI</x:v>
      </x:c>
      <x:c r="O79" s="8" t="str">
        <x:v>Completed</x:v>
      </x:c>
    </x:row>
    <x:row r="80">
      <x:c r="A80" s="8" t="str">
        <x:v>ORD-0076</x:v>
      </x:c>
      <x:c r="B80" s="22" t="n">
        <x:v>45889.26638930556</x:v>
      </x:c>
      <x:c r="C80" s="8" t="str">
        <x:v>CUS-072</x:v>
      </x:c>
      <x:c r="D80" s="8" t="str">
        <x:v>Priya Kapoor 4</x:v>
      </x:c>
      <x:c r="E80" s="8" t="str">
        <x:v>Small Business</x:v>
      </x:c>
      <x:c r="F80" s="8" t="str">
        <x:v>Bengaluru</x:v>
      </x:c>
      <x:c r="G80" s="8" t="str">
        <x:v>South</x:v>
      </x:c>
      <x:c r="H80" s="8" t="str">
        <x:v>PRD-001</x:v>
      </x:c>
      <x:c r="I80" s="8" t="str">
        <x:v>Wireless Mouse</x:v>
      </x:c>
      <x:c r="J80" s="8" t="str">
        <x:v>Electronics</x:v>
      </x:c>
      <x:c r="K80" s="8" t="n">
        <x:v>2</x:v>
      </x:c>
      <x:c r="L80" s="9" t="n">
        <x:v>899</x:v>
      </x:c>
      <x:c r="M80" s="23" t="n">
        <x:v>0.15</x:v>
      </x:c>
      <x:c r="N80" s="8" t="str">
        <x:v>Net Banking</x:v>
      </x:c>
      <x:c r="O80" s="8" t="str">
        <x:v>Completed</x:v>
      </x:c>
    </x:row>
    <x:row r="81">
      <x:c r="A81" s="8" t="str">
        <x:v>ORD-0077</x:v>
      </x:c>
      <x:c r="B81" s="22" t="n">
        <x:v>46002.456803217596</x:v>
      </x:c>
      <x:c r="C81" s="8" t="str">
        <x:v>CUS-045</x:v>
      </x:c>
      <x:c r="D81" s="8" t="str">
        <x:v>Arjun Verma 3</x:v>
      </x:c>
      <x:c r="E81" s="8" t="str">
        <x:v>Small Business</x:v>
      </x:c>
      <x:c r="F81" s="8" t="str">
        <x:v>Chennai</x:v>
      </x:c>
      <x:c r="G81" s="8" t="str">
        <x:v>South</x:v>
      </x:c>
      <x:c r="H81" s="8" t="str">
        <x:v>PRD-005</x:v>
      </x:c>
      <x:c r="I81" s="8" t="str">
        <x:v>Executive Notebook</x:v>
      </x:c>
      <x:c r="J81" s="8" t="str">
        <x:v>Office Supplies</x:v>
      </x:c>
      <x:c r="K81" s="8" t="n">
        <x:v>2</x:v>
      </x:c>
      <x:c r="L81" s="9" t="n">
        <x:v>349</x:v>
      </x:c>
      <x:c r="M81" s="23" t="n">
        <x:v>0.05</x:v>
      </x:c>
      <x:c r="N81" s="8" t="str">
        <x:v>Debit Card</x:v>
      </x:c>
      <x:c r="O81" s="8" t="str">
        <x:v>Completed</x:v>
      </x:c>
    </x:row>
    <x:row r="82">
      <x:c r="A82" s="8" t="str">
        <x:v>ORD-0078</x:v>
      </x:c>
      <x:c r="B82" s="22" t="n">
        <x:v>45925.38528189815</x:v>
      </x:c>
      <x:c r="C82" s="8" t="str">
        <x:v>CUS-010</x:v>
      </x:c>
      <x:c r="D82" s="8" t="str">
        <x:v>Saanvi Iyer</x:v>
      </x:c>
      <x:c r="E82" s="8" t="str">
        <x:v>Consumer</x:v>
      </x:c>
      <x:c r="F82" s="8" t="str">
        <x:v>Jaipur</x:v>
      </x:c>
      <x:c r="G82" s="8" t="str">
        <x:v>North</x:v>
      </x:c>
      <x:c r="H82" s="8" t="str">
        <x:v>PRD-011</x:v>
      </x:c>
      <x:c r="I82" s="8" t="str">
        <x:v>Classic Wallet</x:v>
      </x:c>
      <x:c r="J82" s="8" t="str">
        <x:v>Fashion</x:v>
      </x:c>
      <x:c r="K82" s="8" t="n">
        <x:v>4</x:v>
      </x:c>
      <x:c r="L82" s="9" t="n">
        <x:v>1199</x:v>
      </x:c>
      <x:c r="M82" s="23" t="n">
        <x:v>0.2</x:v>
      </x:c>
      <x:c r="N82" s="8" t="str">
        <x:v>Net Banking</x:v>
      </x:c>
      <x:c r="O82" s="8" t="str">
        <x:v>Cancelled</x:v>
      </x:c>
    </x:row>
    <x:row r="83">
      <x:c r="A83" s="8" t="str">
        <x:v>ORD-0079</x:v>
      </x:c>
      <x:c r="B83" s="22" t="n">
        <x:v>45716.14669041667</x:v>
      </x:c>
      <x:c r="C83" s="8" t="str">
        <x:v>CUS-046</x:v>
      </x:c>
      <x:c r="D83" s="8" t="str">
        <x:v>Isha Mehta 3</x:v>
      </x:c>
      <x:c r="E83" s="8" t="str">
        <x:v>Consumer</x:v>
      </x:c>
      <x:c r="F83" s="8" t="str">
        <x:v>Mumbai</x:v>
      </x:c>
      <x:c r="G83" s="8" t="str">
        <x:v>West</x:v>
      </x:c>
      <x:c r="H83" s="8" t="str">
        <x:v>PRD-010</x:v>
      </x:c>
      <x:c r="I83" s="8" t="str">
        <x:v>Travel Backpack</x:v>
      </x:c>
      <x:c r="J83" s="8" t="str">
        <x:v>Fashion</x:v>
      </x:c>
      <x:c r="K83" s="8" t="n">
        <x:v>4</x:v>
      </x:c>
      <x:c r="L83" s="9" t="n">
        <x:v>2199</x:v>
      </x:c>
      <x:c r="M83" s="23" t="n">
        <x:v>0.05</x:v>
      </x:c>
      <x:c r="N83" s="8" t="str">
        <x:v>Cash on Delivery</x:v>
      </x:c>
      <x:c r="O83" s="8" t="str">
        <x:v>Returned</x:v>
      </x:c>
    </x:row>
    <x:row r="84">
      <x:c r="A84" s="8" t="str">
        <x:v>ORD-0080</x:v>
      </x:c>
      <x:c r="B84" s="22" t="n">
        <x:v>45812.75505104167</x:v>
      </x:c>
      <x:c r="C84" s="8" t="str">
        <x:v>CUS-073</x:v>
      </x:c>
      <x:c r="D84" s="8" t="str">
        <x:v>Rahul Mishra 4</x:v>
      </x:c>
      <x:c r="E84" s="8" t="str">
        <x:v>Consumer</x:v>
      </x:c>
      <x:c r="F84" s="8" t="str">
        <x:v>Bengaluru</x:v>
      </x:c>
      <x:c r="G84" s="8" t="str">
        <x:v>South</x:v>
      </x:c>
      <x:c r="H84" s="8" t="str">
        <x:v>PRD-004</x:v>
      </x:c>
      <x:c r="I84" s="8" t="str">
        <x:v>Laptop Stand</x:v>
      </x:c>
      <x:c r="J84" s="8" t="str">
        <x:v>Office Supplies</x:v>
      </x:c>
      <x:c r="K84" s="8" t="n">
        <x:v>5</x:v>
      </x:c>
      <x:c r="L84" s="9" t="n">
        <x:v>1299</x:v>
      </x:c>
      <x:c r="M84" s="23" t="n">
        <x:v>0</x:v>
      </x:c>
      <x:c r="N84" s="8" t="str">
        <x:v>Debit Card</x:v>
      </x:c>
      <x:c r="O84" s="8" t="str">
        <x:v>Cancelled</x:v>
      </x:c>
    </x:row>
    <x:row r="85">
      <x:c r="A85" s="8" t="str">
        <x:v>ORD-0081</x:v>
      </x:c>
      <x:c r="B85" s="22" t="n">
        <x:v>45835.54162650463</x:v>
      </x:c>
      <x:c r="C85" s="8" t="str">
        <x:v>CUS-048</x:v>
      </x:c>
      <x:c r="D85" s="8" t="str">
        <x:v>Meera Nair 3</x:v>
      </x:c>
      <x:c r="E85" s="8" t="str">
        <x:v>Small Business</x:v>
      </x:c>
      <x:c r="F85" s="8" t="str">
        <x:v>Chennai</x:v>
      </x:c>
      <x:c r="G85" s="8" t="str">
        <x:v>South</x:v>
      </x:c>
      <x:c r="H85" s="8" t="str">
        <x:v>PRD-008</x:v>
      </x:c>
      <x:c r="I85" s="8" t="str">
        <x:v>Storage Container Set</x:v>
      </x:c>
      <x:c r="J85" s="8" t="str">
        <x:v>Home &amp; Kitchen</x:v>
      </x:c>
      <x:c r="K85" s="8" t="n">
        <x:v>1</x:v>
      </x:c>
      <x:c r="L85" s="9" t="n">
        <x:v>999</x:v>
      </x:c>
      <x:c r="M85" s="23" t="n">
        <x:v>0.2</x:v>
      </x:c>
      <x:c r="N85" s="8" t="str">
        <x:v>Cash on Delivery</x:v>
      </x:c>
      <x:c r="O85" s="8" t="str">
        <x:v>Completed</x:v>
      </x:c>
    </x:row>
    <x:row r="86">
      <x:c r="A86" s="8" t="str">
        <x:v>ORD-0082</x:v>
      </x:c>
      <x:c r="B86" s="22" t="n">
        <x:v>45904.164796377314</x:v>
      </x:c>
      <x:c r="C86" s="8" t="str">
        <x:v>CUS-075</x:v>
      </x:c>
      <x:c r="D86" s="8" t="str">
        <x:v>Karan Malhotra 4</x:v>
      </x:c>
      <x:c r="E86" s="8" t="str">
        <x:v>Small Business</x:v>
      </x:c>
      <x:c r="F86" s="8" t="str">
        <x:v>Chennai</x:v>
      </x:c>
      <x:c r="G86" s="8" t="str">
        <x:v>South</x:v>
      </x:c>
      <x:c r="H86" s="8" t="str">
        <x:v>PRD-007</x:v>
      </x:c>
      <x:c r="I86" s="8" t="str">
        <x:v>Electric Kettle</x:v>
      </x:c>
      <x:c r="J86" s="8" t="str">
        <x:v>Home &amp; Kitchen</x:v>
      </x:c>
      <x:c r="K86" s="8" t="n">
        <x:v>5</x:v>
      </x:c>
      <x:c r="L86" s="9" t="n">
        <x:v>1699</x:v>
      </x:c>
      <x:c r="M86" s="23" t="n">
        <x:v>0</x:v>
      </x:c>
      <x:c r="N86" s="8" t="str">
        <x:v>UPI</x:v>
      </x:c>
      <x:c r="O86" s="8" t="str">
        <x:v>Returned</x:v>
      </x:c>
    </x:row>
    <x:row r="87">
      <x:c r="A87" s="8" t="str">
        <x:v>ORD-0083</x:v>
      </x:c>
      <x:c r="B87" s="22" t="n">
        <x:v>45852.776795011574</x:v>
      </x:c>
      <x:c r="C87" s="8" t="str">
        <x:v>CUS-035</x:v>
      </x:c>
      <x:c r="D87" s="8" t="str">
        <x:v>Karan Malhotra 2</x:v>
      </x:c>
      <x:c r="E87" s="8" t="str">
        <x:v>Corporate</x:v>
      </x:c>
      <x:c r="F87" s="8" t="str">
        <x:v>Kolkata</x:v>
      </x:c>
      <x:c r="G87" s="8" t="str">
        <x:v>East</x:v>
      </x:c>
      <x:c r="H87" s="8" t="str">
        <x:v>PRD-002</x:v>
      </x:c>
      <x:c r="I87" s="8" t="str">
        <x:v>Bluetooth Headphones</x:v>
      </x:c>
      <x:c r="J87" s="8" t="str">
        <x:v>Electronics</x:v>
      </x:c>
      <x:c r="K87" s="8" t="n">
        <x:v>4</x:v>
      </x:c>
      <x:c r="L87" s="9" t="n">
        <x:v>2499</x:v>
      </x:c>
      <x:c r="M87" s="23" t="n">
        <x:v>0.1</x:v>
      </x:c>
      <x:c r="N87" s="8" t="str">
        <x:v>Cash on Delivery</x:v>
      </x:c>
      <x:c r="O87" s="8" t="str">
        <x:v>Returned</x:v>
      </x:c>
    </x:row>
    <x:row r="88">
      <x:c r="A88" s="8" t="str">
        <x:v>ORD-0084</x:v>
      </x:c>
      <x:c r="B88" s="22" t="n">
        <x:v>45860.03933847222</x:v>
      </x:c>
      <x:c r="C88" s="8" t="str">
        <x:v>CUS-042</x:v>
      </x:c>
      <x:c r="D88" s="8" t="str">
        <x:v>Diya Patel 3</x:v>
      </x:c>
      <x:c r="E88" s="8" t="str">
        <x:v>Small Business</x:v>
      </x:c>
      <x:c r="F88" s="8" t="str">
        <x:v>Bengaluru</x:v>
      </x:c>
      <x:c r="G88" s="8" t="str">
        <x:v>South</x:v>
      </x:c>
      <x:c r="H88" s="8" t="str">
        <x:v>PRD-001</x:v>
      </x:c>
      <x:c r="I88" s="8" t="str">
        <x:v>Wireless Mouse</x:v>
      </x:c>
      <x:c r="J88" s="8" t="str">
        <x:v>Electronics</x:v>
      </x:c>
      <x:c r="K88" s="8" t="n">
        <x:v>1</x:v>
      </x:c>
      <x:c r="L88" s="9" t="n">
        <x:v>899</x:v>
      </x:c>
      <x:c r="M88" s="23" t="n">
        <x:v>0</x:v>
      </x:c>
      <x:c r="N88" s="8" t="str">
        <x:v>Cash on Delivery</x:v>
      </x:c>
      <x:c r="O88" s="8" t="str">
        <x:v>Completed</x:v>
      </x:c>
    </x:row>
    <x:row r="89">
      <x:c r="A89" s="8" t="str">
        <x:v>ORD-0085</x:v>
      </x:c>
      <x:c r="B89" s="22" t="n">
        <x:v>45719.93120613426</x:v>
      </x:c>
      <x:c r="C89" s="8" t="str">
        <x:v>CUS-052</x:v>
      </x:c>
      <x:c r="D89" s="8" t="str">
        <x:v>Priya Kapoor 3</x:v>
      </x:c>
      <x:c r="E89" s="8" t="str">
        <x:v>Consumer</x:v>
      </x:c>
      <x:c r="F89" s="8" t="str">
        <x:v>Kolkata</x:v>
      </x:c>
      <x:c r="G89" s="8" t="str">
        <x:v>East</x:v>
      </x:c>
      <x:c r="H89" s="8" t="str">
        <x:v>PRD-005</x:v>
      </x:c>
      <x:c r="I89" s="8" t="str">
        <x:v>Executive Notebook</x:v>
      </x:c>
      <x:c r="J89" s="8" t="str">
        <x:v>Office Supplies</x:v>
      </x:c>
      <x:c r="K89" s="8" t="n">
        <x:v>4</x:v>
      </x:c>
      <x:c r="L89" s="9" t="n">
        <x:v>349</x:v>
      </x:c>
      <x:c r="M89" s="23" t="n">
        <x:v>0.2</x:v>
      </x:c>
      <x:c r="N89" s="8" t="str">
        <x:v>UPI</x:v>
      </x:c>
      <x:c r="O89" s="8" t="str">
        <x:v>Completed</x:v>
      </x:c>
    </x:row>
    <x:row r="90">
      <x:c r="A90" s="8" t="str">
        <x:v>ORD-0086</x:v>
      </x:c>
      <x:c r="B90" s="22" t="n">
        <x:v>45940.52326271991</x:v>
      </x:c>
      <x:c r="C90" s="8" t="str">
        <x:v>CUS-016</x:v>
      </x:c>
      <x:c r="D90" s="8" t="str">
        <x:v>Pooja Saxena</x:v>
      </x:c>
      <x:c r="E90" s="8" t="str">
        <x:v>Consumer</x:v>
      </x:c>
      <x:c r="F90" s="8" t="str">
        <x:v>Chennai</x:v>
      </x:c>
      <x:c r="G90" s="8" t="str">
        <x:v>South</x:v>
      </x:c>
      <x:c r="H90" s="8" t="str">
        <x:v>PRD-008</x:v>
      </x:c>
      <x:c r="I90" s="8" t="str">
        <x:v>Storage Container Set</x:v>
      </x:c>
      <x:c r="J90" s="8" t="str">
        <x:v>Home &amp; Kitchen</x:v>
      </x:c>
      <x:c r="K90" s="8" t="n">
        <x:v>4</x:v>
      </x:c>
      <x:c r="L90" s="9" t="n">
        <x:v>999</x:v>
      </x:c>
      <x:c r="M90" s="23" t="n">
        <x:v>0</x:v>
      </x:c>
      <x:c r="N90" s="8" t="str">
        <x:v>Debit Card</x:v>
      </x:c>
      <x:c r="O90" s="8" t="str">
        <x:v>Cancelled</x:v>
      </x:c>
    </x:row>
    <x:row r="91">
      <x:c r="A91" s="8" t="str">
        <x:v>ORD-0087</x:v>
      </x:c>
      <x:c r="B91" s="22" t="n">
        <x:v>45700.35270304398</x:v>
      </x:c>
      <x:c r="C91" s="8" t="str">
        <x:v>CUS-039</x:v>
      </x:c>
      <x:c r="D91" s="8"/>
      <x:c r="E91" s="8" t="str">
        <x:v>Small Business</x:v>
      </x:c>
      <x:c r="F91" s="8" t="str">
        <x:v>Pune</x:v>
      </x:c>
      <x:c r="G91" s="8" t="str">
        <x:v>West</x:v>
      </x:c>
      <x:c r="H91" s="8" t="str">
        <x:v>PRD-012</x:v>
      </x:c>
      <x:c r="I91" s="8" t="str">
        <x:v>Stainless Water Bottle</x:v>
      </x:c>
      <x:c r="J91" s="8" t="str">
        <x:v>Lifestyle</x:v>
      </x:c>
      <x:c r="K91" s="8" t="n">
        <x:v>2</x:v>
      </x:c>
      <x:c r="L91" s="9" t="n">
        <x:v>799</x:v>
      </x:c>
      <x:c r="M91" s="23" t="n">
        <x:v>0.2</x:v>
      </x:c>
      <x:c r="N91" s="8" t="str">
        <x:v>Credit Card</x:v>
      </x:c>
      <x:c r="O91" s="8" t="str">
        <x:v>Cancelled</x:v>
      </x:c>
    </x:row>
    <x:row r="92">
      <x:c r="A92" s="8" t="str">
        <x:v>ORD-0088</x:v>
      </x:c>
      <x:c r="B92" s="22" t="n">
        <x:v>45945.45888885417</x:v>
      </x:c>
      <x:c r="C92" s="8" t="str">
        <x:v>CUS-017</x:v>
      </x:c>
      <x:c r="D92" s="8" t="str">
        <x:v>Vikram Yadav</x:v>
      </x:c>
      <x:c r="E92" s="8" t="str">
        <x:v>Corporate</x:v>
      </x:c>
      <x:c r="F92" s="8" t="str">
        <x:v>Delhi</x:v>
      </x:c>
      <x:c r="G92" s="8" t="str">
        <x:v>North</x:v>
      </x:c>
      <x:c r="H92" s="8" t="str">
        <x:v>PRD-007</x:v>
      </x:c>
      <x:c r="I92" s="8" t="str">
        <x:v>Electric Kettle</x:v>
      </x:c>
      <x:c r="J92" s="8" t="str">
        <x:v>Home &amp; Kitchen</x:v>
      </x:c>
      <x:c r="K92" s="8" t="n">
        <x:v>1</x:v>
      </x:c>
      <x:c r="L92" s="9" t="n">
        <x:v>1699</x:v>
      </x:c>
      <x:c r="M92" s="23" t="n">
        <x:v>0.05</x:v>
      </x:c>
      <x:c r="N92" s="8" t="str">
        <x:v>Credit Card</x:v>
      </x:c>
      <x:c r="O92" s="8" t="str">
        <x:v>Completed</x:v>
      </x:c>
    </x:row>
    <x:row r="93">
      <x:c r="A93" s="8" t="str">
        <x:v>ORD-0089</x:v>
      </x:c>
      <x:c r="B93" s="22" t="n">
        <x:v>45881.54279212963</x:v>
      </x:c>
      <x:c r="C93" s="8" t="str">
        <x:v>CUS-044</x:v>
      </x:c>
      <x:c r="D93" s="8" t="str">
        <x:v>Ananya Gupta 3</x:v>
      </x:c>
      <x:c r="E93" s="8" t="str">
        <x:v>Corporate</x:v>
      </x:c>
      <x:c r="F93" s="8" t="str">
        <x:v>Jaipur</x:v>
      </x:c>
      <x:c r="G93" s="8" t="str">
        <x:v>North</x:v>
      </x:c>
      <x:c r="H93" s="8" t="str">
        <x:v>PRD-001</x:v>
      </x:c>
      <x:c r="I93" s="8" t="str">
        <x:v>Wireless Mouse</x:v>
      </x:c>
      <x:c r="J93" s="8" t="str">
        <x:v>Electronics</x:v>
      </x:c>
      <x:c r="K93" s="8" t="n">
        <x:v>4</x:v>
      </x:c>
      <x:c r="L93" s="9" t="n">
        <x:v>899</x:v>
      </x:c>
      <x:c r="M93" s="23" t="n">
        <x:v>0.2</x:v>
      </x:c>
      <x:c r="N93" s="8" t="str">
        <x:v>UPI</x:v>
      </x:c>
      <x:c r="O93" s="8" t="str">
        <x:v>Completed</x:v>
      </x:c>
    </x:row>
    <x:row r="94">
      <x:c r="A94" s="8" t="str">
        <x:v>ORD-0090</x:v>
      </x:c>
      <x:c r="B94" s="22" t="n">
        <x:v>46020.944793159724</x:v>
      </x:c>
      <x:c r="C94" s="8" t="str">
        <x:v>CUS-054</x:v>
      </x:c>
      <x:c r="D94" s="8" t="str">
        <x:v>Neha Rao 3</x:v>
      </x:c>
      <x:c r="E94" s="8" t="str">
        <x:v>Small Business</x:v>
      </x:c>
      <x:c r="F94" s="8" t="str">
        <x:v>Kolkata</x:v>
      </x:c>
      <x:c r="G94" s="8" t="str">
        <x:v>East</x:v>
      </x:c>
      <x:c r="H94" s="8" t="str">
        <x:v>PRD-007</x:v>
      </x:c>
      <x:c r="I94" s="8" t="str">
        <x:v>Electric Kettle</x:v>
      </x:c>
      <x:c r="J94" s="8" t="str">
        <x:v>Home &amp; Kitchen</x:v>
      </x:c>
      <x:c r="K94" s="8" t="n">
        <x:v>3</x:v>
      </x:c>
      <x:c r="L94" s="9" t="n">
        <x:v>1699</x:v>
      </x:c>
      <x:c r="M94" s="23" t="n">
        <x:v>0.2</x:v>
      </x:c>
      <x:c r="N94" s="8" t="str">
        <x:v>Net Banking</x:v>
      </x:c>
      <x:c r="O94" s="8" t="str">
        <x:v>Returned</x:v>
      </x:c>
    </x:row>
    <x:row r="95">
      <x:c r="A95" s="8" t="str">
        <x:v>ORD-0091</x:v>
      </x:c>
      <x:c r="B95" s="22" t="n">
        <x:v>45920.8539903125</x:v>
      </x:c>
      <x:c r="C95" s="8" t="str">
        <x:v>CUS-079</x:v>
      </x:c>
      <x:c r="D95" s="8" t="str">
        <x:v>Siddharth Jain 4</x:v>
      </x:c>
      <x:c r="E95" s="8" t="str">
        <x:v>Consumer</x:v>
      </x:c>
      <x:c r="F95" s="8" t="str">
        <x:v>Bengaluru</x:v>
      </x:c>
      <x:c r="G95" s="8" t="str">
        <x:v>South</x:v>
      </x:c>
      <x:c r="H95" s="8" t="str">
        <x:v>PRD-008</x:v>
      </x:c>
      <x:c r="I95" s="8" t="str">
        <x:v>Storage Container Set</x:v>
      </x:c>
      <x:c r="J95" s="8" t="str">
        <x:v>Home &amp; Kitchen</x:v>
      </x:c>
      <x:c r="K95" s="8" t="n">
        <x:v>1</x:v>
      </x:c>
      <x:c r="L95" s="9" t="n">
        <x:v>999</x:v>
      </x:c>
      <x:c r="M95" s="23" t="n">
        <x:v>0.15</x:v>
      </x:c>
      <x:c r="N95" s="8" t="str">
        <x:v>Cash on Delivery</x:v>
      </x:c>
      <x:c r="O95" s="8" t="str">
        <x:v>Returned</x:v>
      </x:c>
    </x:row>
    <x:row r="96">
      <x:c r="A96" s="8" t="str">
        <x:v>ORD-0092</x:v>
      </x:c>
      <x:c r="B96" s="22" t="n">
        <x:v>45967.88931857639</x:v>
      </x:c>
      <x:c r="C96" s="8" t="str">
        <x:v>CUS-014</x:v>
      </x:c>
      <x:c r="D96" s="8" t="str">
        <x:v>Neha Rao</x:v>
      </x:c>
      <x:c r="E96" s="8" t="str">
        <x:v>Corporate</x:v>
      </x:c>
      <x:c r="F96" s="8" t="str">
        <x:v>Kolkata</x:v>
      </x:c>
      <x:c r="G96" s="8" t="str">
        <x:v>East</x:v>
      </x:c>
      <x:c r="H96" s="8" t="str">
        <x:v>PRD-012</x:v>
      </x:c>
      <x:c r="I96" s="8" t="str">
        <x:v>Stainless Water Bottle</x:v>
      </x:c>
      <x:c r="J96" s="8" t="str">
        <x:v>Lifestyle</x:v>
      </x:c>
      <x:c r="K96" s="8" t="n">
        <x:v>2</x:v>
      </x:c>
      <x:c r="L96" s="9" t="n">
        <x:v>799</x:v>
      </x:c>
      <x:c r="M96" s="23" t="n">
        <x:v>0.15</x:v>
      </x:c>
      <x:c r="N96" s="8" t="str">
        <x:v>upi</x:v>
      </x:c>
      <x:c r="O96" s="8" t="str">
        <x:v>Cancelled</x:v>
      </x:c>
    </x:row>
    <x:row r="97">
      <x:c r="A97" s="8" t="str">
        <x:v>ORD-0093</x:v>
      </x:c>
      <x:c r="B97" s="22" t="n">
        <x:v>45668.96362059028</x:v>
      </x:c>
      <x:c r="C97" s="8" t="str">
        <x:v>CUS-037</x:v>
      </x:c>
      <x:c r="D97" s="8" t="str">
        <x:v>Vikram Yadav 2</x:v>
      </x:c>
      <x:c r="E97" s="8" t="str">
        <x:v>Consumer</x:v>
      </x:c>
      <x:c r="F97" s="8" t="str">
        <x:v>Hyderabad</x:v>
      </x:c>
      <x:c r="G97" s="8" t="str">
        <x:v>South</x:v>
      </x:c>
      <x:c r="H97" s="8" t="str">
        <x:v>PRD-001</x:v>
      </x:c>
      <x:c r="I97" s="8" t="str">
        <x:v>Wireless Mouse</x:v>
      </x:c>
      <x:c r="J97" s="8" t="str">
        <x:v>Electronics</x:v>
      </x:c>
      <x:c r="K97" s="8" t="n">
        <x:v>2</x:v>
      </x:c>
      <x:c r="L97" s="9" t="n">
        <x:v>899</x:v>
      </x:c>
      <x:c r="M97" s="23" t="n">
        <x:v>0.15</x:v>
      </x:c>
      <x:c r="N97" s="8" t="str">
        <x:v>Cash on Delivery</x:v>
      </x:c>
      <x:c r="O97" s="8" t="str">
        <x:v>Completed</x:v>
      </x:c>
    </x:row>
    <x:row r="98">
      <x:c r="A98" s="8" t="str">
        <x:v>ORD-0094</x:v>
      </x:c>
      <x:c r="B98" s="22" t="n">
        <x:v>45947.56822965278</x:v>
      </x:c>
      <x:c r="C98" s="8" t="str">
        <x:v>CUS-064</x:v>
      </x:c>
      <x:c r="D98" s="8" t="str">
        <x:v>Ananya Gupta 4</x:v>
      </x:c>
      <x:c r="E98" s="8" t="str">
        <x:v>Consumer</x:v>
      </x:c>
      <x:c r="F98" s="8" t="str">
        <x:v>Lucknow</x:v>
      </x:c>
      <x:c r="G98" s="8" t="str">
        <x:v>North</x:v>
      </x:c>
      <x:c r="H98" s="8" t="str">
        <x:v>PRD-004</x:v>
      </x:c>
      <x:c r="I98" s="8" t="str">
        <x:v>Laptop Stand</x:v>
      </x:c>
      <x:c r="J98" s="8" t="str">
        <x:v>Office Supplies</x:v>
      </x:c>
      <x:c r="K98" s="8" t="n">
        <x:v>1</x:v>
      </x:c>
      <x:c r="L98" s="9" t="n">
        <x:v>1299</x:v>
      </x:c>
      <x:c r="M98" s="23" t="n">
        <x:v>0</x:v>
      </x:c>
      <x:c r="N98" s="8" t="str">
        <x:v>Cash on Delivery</x:v>
      </x:c>
      <x:c r="O98" s="8" t="str">
        <x:v>Cancelled</x:v>
      </x:c>
    </x:row>
    <x:row r="99">
      <x:c r="A99" s="8" t="str">
        <x:v>ORD-0095</x:v>
      </x:c>
      <x:c r="B99" s="22" t="n">
        <x:v>45693.76054377315</x:v>
      </x:c>
      <x:c r="C99" s="8" t="str">
        <x:v>CUS-051</x:v>
      </x:c>
      <x:c r="D99" s="8" t="str">
        <x:v>Aditya Joshi 3</x:v>
      </x:c>
      <x:c r="E99" s="8" t="str">
        <x:v>Small Business</x:v>
      </x:c>
      <x:c r="F99" s="8" t="str">
        <x:v>Mumbai</x:v>
      </x:c>
      <x:c r="G99" s="8" t="str">
        <x:v>West</x:v>
      </x:c>
      <x:c r="H99" s="8" t="str">
        <x:v>PRD-006</x:v>
      </x:c>
      <x:c r="I99" s="8" t="str">
        <x:v>Desk Organiser</x:v>
      </x:c>
      <x:c r="J99" s="8" t="str">
        <x:v>Office Supplies</x:v>
      </x:c>
      <x:c r="K99" s="8" t="n">
        <x:v>1</x:v>
      </x:c>
      <x:c r="L99" s="9" t="n">
        <x:v>699</x:v>
      </x:c>
      <x:c r="M99" s="23" t="n">
        <x:v>0.05</x:v>
      </x:c>
      <x:c r="N99" s="8" t="str">
        <x:v>Net Banking</x:v>
      </x:c>
      <x:c r="O99" s="8" t="str">
        <x:v>Cancelled</x:v>
      </x:c>
    </x:row>
    <x:row r="100">
      <x:c r="A100" s="8" t="str">
        <x:v>ORD-0096</x:v>
      </x:c>
      <x:c r="B100" s="22" t="n">
        <x:v>45909.0724503125</x:v>
      </x:c>
      <x:c r="C100" s="8" t="str">
        <x:v>CUS-074</x:v>
      </x:c>
      <x:c r="D100" s="8" t="str">
        <x:v>Neha Rao 4</x:v>
      </x:c>
      <x:c r="E100" s="8" t="str">
        <x:v>Corporate</x:v>
      </x:c>
      <x:c r="F100" s="8" t="str">
        <x:v>Lucknow</x:v>
      </x:c>
      <x:c r="G100" s="8" t="str">
        <x:v>North</x:v>
      </x:c>
      <x:c r="H100" s="8" t="str">
        <x:v>PRD-003</x:v>
      </x:c>
      <x:c r="I100" s="8" t="str">
        <x:v>USB-C Hub</x:v>
      </x:c>
      <x:c r="J100" s="8" t="str">
        <x:v>Electronics</x:v>
      </x:c>
      <x:c r="K100" s="8" t="n">
        <x:v>4</x:v>
      </x:c>
      <x:c r="L100" s="9" t="n">
        <x:v>1899</x:v>
      </x:c>
      <x:c r="M100" s="23" t="n">
        <x:v>0.2</x:v>
      </x:c>
      <x:c r="N100" s="8" t="str">
        <x:v>Net Banking</x:v>
      </x:c>
      <x:c r="O100" s="8" t="str">
        <x:v>Completed</x:v>
      </x:c>
    </x:row>
    <x:row r="101">
      <x:c r="A101" s="8" t="str">
        <x:v>ORD-0097</x:v>
      </x:c>
      <x:c r="B101" s="22" t="n">
        <x:v>45664.648258483794</x:v>
      </x:c>
      <x:c r="C101" s="8" t="str">
        <x:v>CUS-058</x:v>
      </x:c>
      <x:c r="D101" s="8" t="str">
        <x:v>Nisha Bansal 3</x:v>
      </x:c>
      <x:c r="E101" s="8" t="str">
        <x:v>Consumer</x:v>
      </x:c>
      <x:c r="F101" s="8" t="str">
        <x:v>Jaipur</x:v>
      </x:c>
      <x:c r="G101" s="8" t="str">
        <x:v>North</x:v>
      </x:c>
      <x:c r="H101" s="8" t="str">
        <x:v>PRD-002</x:v>
      </x:c>
      <x:c r="I101" s="8" t="str">
        <x:v>Bluetooth Headphones</x:v>
      </x:c>
      <x:c r="J101" s="8" t="str">
        <x:v>Electronics</x:v>
      </x:c>
      <x:c r="K101" s="8" t="n">
        <x:v>1</x:v>
      </x:c>
      <x:c r="L101" s="9" t="n">
        <x:v>2499</x:v>
      </x:c>
      <x:c r="M101" s="23" t="n">
        <x:v>0.05</x:v>
      </x:c>
      <x:c r="N101" s="8" t="str">
        <x:v>Cash on Delivery</x:v>
      </x:c>
      <x:c r="O101" s="8" t="str">
        <x:v>Completed</x:v>
      </x:c>
    </x:row>
    <x:row r="102">
      <x:c r="A102" s="8" t="str">
        <x:v>ORD-0098</x:v>
      </x:c>
      <x:c r="B102" s="22" t="n">
        <x:v>45859.604930960646</x:v>
      </x:c>
      <x:c r="C102" s="8" t="str">
        <x:v>CUS-019</x:v>
      </x:c>
      <x:c r="D102" s="8" t="str">
        <x:v>Siddharth Jain</x:v>
      </x:c>
      <x:c r="E102" s="8" t="str">
        <x:v>Consumer</x:v>
      </x:c>
      <x:c r="F102" s="8" t="str">
        <x:v>Kolkata</x:v>
      </x:c>
      <x:c r="G102" s="8" t="str">
        <x:v>East</x:v>
      </x:c>
      <x:c r="H102" s="8" t="str">
        <x:v>PRD-007</x:v>
      </x:c>
      <x:c r="I102" s="8" t="str">
        <x:v>Electric Kettle</x:v>
      </x:c>
      <x:c r="J102" s="8" t="str">
        <x:v>Home &amp; Kitchen</x:v>
      </x:c>
      <x:c r="K102" s="8" t="n">
        <x:v>1</x:v>
      </x:c>
      <x:c r="L102" s="9" t="n">
        <x:v>1699</x:v>
      </x:c>
      <x:c r="M102" s="23" t="n">
        <x:v>0.1</x:v>
      </x:c>
      <x:c r="N102" s="8" t="str">
        <x:v>Debit Card</x:v>
      </x:c>
      <x:c r="O102" s="8" t="str">
        <x:v>Completed</x:v>
      </x:c>
    </x:row>
    <x:row r="103">
      <x:c r="A103" s="8" t="str">
        <x:v>ORD-0099</x:v>
      </x:c>
      <x:c r="B103" s="22" t="n">
        <x:v>45851.49475071759</x:v>
      </x:c>
      <x:c r="C103" s="8" t="str">
        <x:v>CUS-015</x:v>
      </x:c>
      <x:c r="D103" s="8" t="str">
        <x:v>Karan Malhotra</x:v>
      </x:c>
      <x:c r="E103" s="8" t="str">
        <x:v>Small Business</x:v>
      </x:c>
      <x:c r="F103" s="8" t="str">
        <x:v>Jaipur</x:v>
      </x:c>
      <x:c r="G103" s="8" t="str">
        <x:v>North</x:v>
      </x:c>
      <x:c r="H103" s="8" t="str">
        <x:v>PRD-009</x:v>
      </x:c>
      <x:c r="I103" s="8" t="str">
        <x:v>Table Lamp</x:v>
      </x:c>
      <x:c r="J103" s="8" t="str">
        <x:v>Home &amp; Kitchen</x:v>
      </x:c>
      <x:c r="K103" s="8" t="n">
        <x:v>2</x:v>
      </x:c>
      <x:c r="L103" s="9" t="n">
        <x:v>1499</x:v>
      </x:c>
      <x:c r="M103" s="23" t="n">
        <x:v>0.2</x:v>
      </x:c>
      <x:c r="N103" s="8" t="str">
        <x:v>Cash on Delivery</x:v>
      </x:c>
      <x:c r="O103" s="8" t="str">
        <x:v>Completed</x:v>
      </x:c>
    </x:row>
    <x:row r="104">
      <x:c r="A104" s="8" t="str">
        <x:v>ORD-0100</x:v>
      </x:c>
      <x:c r="B104" s="22" t="n">
        <x:v>45883.79994399306</x:v>
      </x:c>
      <x:c r="C104" s="8" t="str">
        <x:v>CUS-023</x:v>
      </x:c>
      <x:c r="D104" s="8" t="str">
        <x:v>Vihaan Singh 2</x:v>
      </x:c>
      <x:c r="E104" s="8" t="str">
        <x:v>Corporate</x:v>
      </x:c>
      <x:c r="F104" s="8" t="str">
        <x:v>Bengaluru</x:v>
      </x:c>
      <x:c r="G104" s="8" t="str">
        <x:v>South</x:v>
      </x:c>
      <x:c r="H104" s="8" t="str">
        <x:v>PRD-003</x:v>
      </x:c>
      <x:c r="I104" s="8" t="str">
        <x:v>USB-C Hub</x:v>
      </x:c>
      <x:c r="J104" s="8" t="str">
        <x:v>Electronics</x:v>
      </x:c>
      <x:c r="K104" s="8" t="n">
        <x:v>3</x:v>
      </x:c>
      <x:c r="L104" s="9" t="n">
        <x:v>1899</x:v>
      </x:c>
      <x:c r="M104" s="23" t="n">
        <x:v>0.05</x:v>
      </x:c>
      <x:c r="N104" s="8" t="str">
        <x:v>Net Banking</x:v>
      </x:c>
      <x:c r="O104" s="8" t="str">
        <x:v>Cancelled</x:v>
      </x:c>
    </x:row>
    <x:row r="105">
      <x:c r="A105" s="8" t="str">
        <x:v>ORD-0101</x:v>
      </x:c>
      <x:c r="B105" s="22" t="n">
        <x:v>45706.78830789352</x:v>
      </x:c>
      <x:c r="C105" s="8" t="str">
        <x:v>CUS-033</x:v>
      </x:c>
      <x:c r="D105" s="8" t="str">
        <x:v>Rahul Mishra 2</x:v>
      </x:c>
      <x:c r="E105" s="8" t="str">
        <x:v>Small Business</x:v>
      </x:c>
      <x:c r="F105" s="8" t="str">
        <x:v>Chennai</x:v>
      </x:c>
      <x:c r="G105" s="8" t="str">
        <x:v>South</x:v>
      </x:c>
      <x:c r="H105" s="8" t="str">
        <x:v>PRD-009</x:v>
      </x:c>
      <x:c r="I105" s="8" t="str">
        <x:v>Table Lamp</x:v>
      </x:c>
      <x:c r="J105" s="8" t="str">
        <x:v>Home &amp; Kitchen</x:v>
      </x:c>
      <x:c r="K105" s="8" t="n">
        <x:v>1</x:v>
      </x:c>
      <x:c r="L105" s="9" t="n">
        <x:v>1499</x:v>
      </x:c>
      <x:c r="M105" s="23" t="n">
        <x:v>0.15</x:v>
      </x:c>
      <x:c r="N105" s="8" t="str">
        <x:v>UPI</x:v>
      </x:c>
      <x:c r="O105" s="8" t="str">
        <x:v>Cancelled</x:v>
      </x:c>
    </x:row>
    <x:row r="106">
      <x:c r="A106" s="8" t="str">
        <x:v>ORD-0102</x:v>
      </x:c>
      <x:c r="B106" s="22" t="n">
        <x:v>45719.01152799768</x:v>
      </x:c>
      <x:c r="C106" s="8" t="str">
        <x:v>CUS-017</x:v>
      </x:c>
      <x:c r="D106" s="8" t="str">
        <x:v>Vikram Yadav</x:v>
      </x:c>
      <x:c r="E106" s="8" t="str">
        <x:v>Corporate</x:v>
      </x:c>
      <x:c r="F106" s="8" t="str">
        <x:v>Jaipur</x:v>
      </x:c>
      <x:c r="G106" s="8" t="str">
        <x:v>North</x:v>
      </x:c>
      <x:c r="H106" s="8" t="str">
        <x:v>PRD-007</x:v>
      </x:c>
      <x:c r="I106" s="8" t="str">
        <x:v>Electric Kettle</x:v>
      </x:c>
      <x:c r="J106" s="8" t="str">
        <x:v>Home &amp; Kitchen</x:v>
      </x:c>
      <x:c r="K106" s="8" t="n">
        <x:v>1</x:v>
      </x:c>
      <x:c r="L106" s="9" t="n">
        <x:v>1699</x:v>
      </x:c>
      <x:c r="M106" s="23" t="n">
        <x:v>0.15</x:v>
      </x:c>
      <x:c r="N106" s="8" t="str">
        <x:v>UPI</x:v>
      </x:c>
      <x:c r="O106" s="8" t="str">
        <x:v>Returned</x:v>
      </x:c>
    </x:row>
    <x:row r="107">
      <x:c r="A107" s="8" t="str">
        <x:v>ORD-0103</x:v>
      </x:c>
      <x:c r="B107" s="22" t="n">
        <x:v>45667.29455863426</x:v>
      </x:c>
      <x:c r="C107" s="8" t="str">
        <x:v>CUS-048</x:v>
      </x:c>
      <x:c r="D107" s="8" t="str">
        <x:v>Meera Nair 3</x:v>
      </x:c>
      <x:c r="E107" s="8" t="str">
        <x:v>Small Business</x:v>
      </x:c>
      <x:c r="F107" s="8" t="str">
        <x:v>Jaipur</x:v>
      </x:c>
      <x:c r="G107" s="8" t="str">
        <x:v>North</x:v>
      </x:c>
      <x:c r="H107" s="8" t="str">
        <x:v>PRD-011</x:v>
      </x:c>
      <x:c r="I107" s="8" t="str">
        <x:v>Classic Wallet</x:v>
      </x:c>
      <x:c r="J107" s="8" t="str">
        <x:v>Fashion</x:v>
      </x:c>
      <x:c r="K107" s="8" t="n">
        <x:v>3</x:v>
      </x:c>
      <x:c r="L107" s="9" t="n">
        <x:v>1199</x:v>
      </x:c>
      <x:c r="M107" s="23" t="n">
        <x:v>0.15</x:v>
      </x:c>
      <x:c r="N107" s="8" t="str">
        <x:v>Cash on Delivery</x:v>
      </x:c>
      <x:c r="O107" s="8" t="str">
        <x:v>Completed</x:v>
      </x:c>
    </x:row>
    <x:row r="108">
      <x:c r="A108" s="8" t="str">
        <x:v>ORD-0104</x:v>
      </x:c>
      <x:c r="B108" s="22" t="n">
        <x:v>45780.526894236114</x:v>
      </x:c>
      <x:c r="C108" s="8" t="str">
        <x:v>CUS-076</x:v>
      </x:c>
      <x:c r="D108" s="8" t="str">
        <x:v>Pooja Saxena 4</x:v>
      </x:c>
      <x:c r="E108" s="8" t="str">
        <x:v>Consumer</x:v>
      </x:c>
      <x:c r="F108" s="8" t="str">
        <x:v>Ahmedabad</x:v>
      </x:c>
      <x:c r="G108" s="8" t="str">
        <x:v>West</x:v>
      </x:c>
      <x:c r="H108" s="8" t="str">
        <x:v>PRD-011</x:v>
      </x:c>
      <x:c r="I108" s="8" t="str">
        <x:v>Classic Wallet</x:v>
      </x:c>
      <x:c r="J108" s="8" t="str">
        <x:v>Fashion</x:v>
      </x:c>
      <x:c r="K108" s="8" t="n">
        <x:v>5</x:v>
      </x:c>
      <x:c r="L108" s="9" t="n">
        <x:v>1199</x:v>
      </x:c>
      <x:c r="M108" s="23" t="n">
        <x:v>0</x:v>
      </x:c>
      <x:c r="N108" s="8" t="str">
        <x:v>UPI</x:v>
      </x:c>
      <x:c r="O108" s="8" t="str">
        <x:v>Returned</x:v>
      </x:c>
    </x:row>
    <x:row r="109">
      <x:c r="A109" s="8" t="str">
        <x:v>ORD-0105</x:v>
      </x:c>
      <x:c r="B109" s="22" t="n">
        <x:v>45741.21443141204</x:v>
      </x:c>
      <x:c r="C109" s="8" t="str">
        <x:v>CUS-025</x:v>
      </x:c>
      <x:c r="D109" s="8" t="str">
        <x:v>Arjun Verma 2</x:v>
      </x:c>
      <x:c r="E109" s="8" t="str">
        <x:v>Consumer</x:v>
      </x:c>
      <x:c r="F109" s="8" t="str">
        <x:v>Delhi</x:v>
      </x:c>
      <x:c r="G109" s="8" t="str">
        <x:v>North</x:v>
      </x:c>
      <x:c r="H109" s="8" t="str">
        <x:v>PRD-008</x:v>
      </x:c>
      <x:c r="I109" s="8" t="str">
        <x:v>Storage Container Set</x:v>
      </x:c>
      <x:c r="J109" s="8" t="str">
        <x:v>Home &amp; Kitchen</x:v>
      </x:c>
      <x:c r="K109" s="8" t="n">
        <x:v>2</x:v>
      </x:c>
      <x:c r="L109" s="9" t="n">
        <x:v>999</x:v>
      </x:c>
      <x:c r="M109" s="23" t="n">
        <x:v>0.05</x:v>
      </x:c>
      <x:c r="N109" s="8" t="str">
        <x:v>Debit Card</x:v>
      </x:c>
      <x:c r="O109" s="8" t="str">
        <x:v>Completed</x:v>
      </x:c>
    </x:row>
    <x:row r="110">
      <x:c r="A110" s="8" t="str">
        <x:v>ORD-0106</x:v>
      </x:c>
      <x:c r="B110" s="22" t="n">
        <x:v>45852.97033167824</x:v>
      </x:c>
      <x:c r="C110" s="8" t="str">
        <x:v>CUS-074</x:v>
      </x:c>
      <x:c r="D110" s="8" t="str">
        <x:v>Neha Rao 4</x:v>
      </x:c>
      <x:c r="E110" s="8" t="str">
        <x:v>Corporate</x:v>
      </x:c>
      <x:c r="F110" s="8" t="str">
        <x:v>Delhi</x:v>
      </x:c>
      <x:c r="G110" s="8" t="str">
        <x:v>North</x:v>
      </x:c>
      <x:c r="H110" s="8" t="str">
        <x:v>PRD-005</x:v>
      </x:c>
      <x:c r="I110" s="8" t="str">
        <x:v>Executive Notebook</x:v>
      </x:c>
      <x:c r="J110" s="8" t="str">
        <x:v>Office Supplies</x:v>
      </x:c>
      <x:c r="K110" s="8" t="n">
        <x:v>5</x:v>
      </x:c>
      <x:c r="L110" s="9" t="n">
        <x:v>349</x:v>
      </x:c>
      <x:c r="M110" s="23" t="n">
        <x:v>0</x:v>
      </x:c>
      <x:c r="N110" s="8" t="str">
        <x:v>Credit Card</x:v>
      </x:c>
      <x:c r="O110" s="8" t="str">
        <x:v>Completed</x:v>
      </x:c>
    </x:row>
    <x:row r="111">
      <x:c r="A111" s="8" t="str">
        <x:v>ORD-0107</x:v>
      </x:c>
      <x:c r="B111" s="22" t="n">
        <x:v>45864.146043252316</x:v>
      </x:c>
      <x:c r="C111" s="8" t="str">
        <x:v>CUS-061</x:v>
      </x:c>
      <x:c r="D111" s="8" t="str">
        <x:v>Aarav Sharma 4</x:v>
      </x:c>
      <x:c r="E111" s="8" t="str">
        <x:v>Consumer</x:v>
      </x:c>
      <x:c r="F111" s="8" t="str">
        <x:v>Delhi</x:v>
      </x:c>
      <x:c r="G111" s="8" t="str">
        <x:v>North</x:v>
      </x:c>
      <x:c r="H111" s="8" t="str">
        <x:v>PRD-002</x:v>
      </x:c>
      <x:c r="I111" s="8" t="str">
        <x:v>Bluetooth Headphones</x:v>
      </x:c>
      <x:c r="J111" s="8" t="str">
        <x:v>Electronics</x:v>
      </x:c>
      <x:c r="K111" s="8" t="n">
        <x:v>4</x:v>
      </x:c>
      <x:c r="L111" s="9" t="n">
        <x:v>2499</x:v>
      </x:c>
      <x:c r="M111" s="23" t="n">
        <x:v>0.15</x:v>
      </x:c>
      <x:c r="N111" s="8" t="str">
        <x:v>Debit Card</x:v>
      </x:c>
      <x:c r="O111" s="8" t="str">
        <x:v>Completed</x:v>
      </x:c>
    </x:row>
    <x:row r="112">
      <x:c r="A112" s="8" t="str">
        <x:v>ORD-0108</x:v>
      </x:c>
      <x:c r="B112" s="22" t="n">
        <x:v>45823.80334546296</x:v>
      </x:c>
      <x:c r="C112" s="8" t="str">
        <x:v>CUS-060</x:v>
      </x:c>
      <x:c r="D112" s="8" t="str">
        <x:v>Kavya Reddy 3</x:v>
      </x:c>
      <x:c r="E112" s="8" t="str">
        <x:v>Small Business</x:v>
      </x:c>
      <x:c r="F112" s="8" t="str">
        <x:v>Jaipur</x:v>
      </x:c>
      <x:c r="G112" s="8" t="str">
        <x:v>North</x:v>
      </x:c>
      <x:c r="H112" s="8" t="str">
        <x:v>PRD-012</x:v>
      </x:c>
      <x:c r="I112" s="8" t="str">
        <x:v>Stainless Water Bottle</x:v>
      </x:c>
      <x:c r="J112" s="8" t="str">
        <x:v>Lifestyle</x:v>
      </x:c>
      <x:c r="K112" s="8" t="n">
        <x:v>3</x:v>
      </x:c>
      <x:c r="L112" s="9" t="n">
        <x:v>799</x:v>
      </x:c>
      <x:c r="M112" s="23" t="n">
        <x:v>0.05</x:v>
      </x:c>
      <x:c r="N112" s="8" t="str">
        <x:v>Credit Card</x:v>
      </x:c>
      <x:c r="O112" s="8" t="str">
        <x:v>Completed</x:v>
      </x:c>
    </x:row>
    <x:row r="113">
      <x:c r="A113" s="8" t="str">
        <x:v>ORD-0109</x:v>
      </x:c>
      <x:c r="B113" s="22" t="n">
        <x:v>45840.97029680556</x:v>
      </x:c>
      <x:c r="C113" s="8" t="str">
        <x:v>CUS-047</x:v>
      </x:c>
      <x:c r="D113" s="8" t="str">
        <x:v>Kabir Khan 3</x:v>
      </x:c>
      <x:c r="E113" s="8" t="str">
        <x:v>Corporate</x:v>
      </x:c>
      <x:c r="F113" s="8" t="str">
        <x:v>Bengaluru</x:v>
      </x:c>
      <x:c r="G113" s="8" t="str">
        <x:v>South</x:v>
      </x:c>
      <x:c r="H113" s="8" t="str">
        <x:v>PRD-002</x:v>
      </x:c>
      <x:c r="I113" s="8" t="str">
        <x:v>Bluetooth Headphones</x:v>
      </x:c>
      <x:c r="J113" s="8" t="str">
        <x:v>Electronics</x:v>
      </x:c>
      <x:c r="K113" s="8" t="n">
        <x:v>1</x:v>
      </x:c>
      <x:c r="L113" s="9" t="n">
        <x:v>2499</x:v>
      </x:c>
      <x:c r="M113" s="23" t="n">
        <x:v>0.05</x:v>
      </x:c>
      <x:c r="N113" s="8" t="str">
        <x:v>Cash on Delivery</x:v>
      </x:c>
      <x:c r="O113" s="8" t="str">
        <x:v>Completed</x:v>
      </x:c>
    </x:row>
    <x:row r="114">
      <x:c r="A114" s="8" t="str">
        <x:v>ORD-0110</x:v>
      </x:c>
      <x:c r="B114" s="22" t="n">
        <x:v>45977.391680925924</x:v>
      </x:c>
      <x:c r="C114" s="8" t="str">
        <x:v>CUS-032</x:v>
      </x:c>
      <x:c r="D114" s="8" t="str">
        <x:v>Priya Kapoor 2</x:v>
      </x:c>
      <x:c r="E114" s="8" t="str">
        <x:v>Corporate</x:v>
      </x:c>
      <x:c r="F114" s="8" t="str">
        <x:v>Jaipur</x:v>
      </x:c>
      <x:c r="G114" s="8" t="str">
        <x:v>North</x:v>
      </x:c>
      <x:c r="H114" s="8" t="str">
        <x:v>PRD-012</x:v>
      </x:c>
      <x:c r="I114" s="8" t="str">
        <x:v>Stainless Water Bottle</x:v>
      </x:c>
      <x:c r="J114" s="8" t="str">
        <x:v>Lifestyle</x:v>
      </x:c>
      <x:c r="K114" s="8" t="n">
        <x:v>1</x:v>
      </x:c>
      <x:c r="L114" s="9" t="n">
        <x:v>799</x:v>
      </x:c>
      <x:c r="M114" s="23" t="n">
        <x:v>0</x:v>
      </x:c>
      <x:c r="N114" s="8" t="str">
        <x:v>Net Banking</x:v>
      </x:c>
      <x:c r="O114" s="8" t="str">
        <x:v>Returned</x:v>
      </x:c>
    </x:row>
    <x:row r="115">
      <x:c r="A115" s="8" t="str">
        <x:v>ORD-0111</x:v>
      </x:c>
      <x:c r="B115" s="22" t="n">
        <x:v>45880.503703877315</x:v>
      </x:c>
      <x:c r="C115" s="8" t="str">
        <x:v>CUS-021</x:v>
      </x:c>
      <x:c r="D115" s="8" t="str">
        <x:v>Aarav Sharma 2</x:v>
      </x:c>
      <x:c r="E115" s="8" t="str">
        <x:v>Small Business</x:v>
      </x:c>
      <x:c r="F115" s="8" t="str">
        <x:v>Mumbai</x:v>
      </x:c>
      <x:c r="G115" s="8" t="str">
        <x:v>West</x:v>
      </x:c>
      <x:c r="H115" s="8" t="str">
        <x:v>PRD-007</x:v>
      </x:c>
      <x:c r="I115" s="8" t="str">
        <x:v>Electric Kettle</x:v>
      </x:c>
      <x:c r="J115" s="8" t="str">
        <x:v>Home &amp; Kitchen</x:v>
      </x:c>
      <x:c r="K115" s="8" t="n">
        <x:v>2</x:v>
      </x:c>
      <x:c r="L115" s="9" t="n">
        <x:v>1699</x:v>
      </x:c>
      <x:c r="M115" s="23" t="n">
        <x:v>0.15</x:v>
      </x:c>
      <x:c r="N115" s="8" t="str">
        <x:v>Cash on Delivery</x:v>
      </x:c>
      <x:c r="O115" s="8" t="str">
        <x:v>Completed</x:v>
      </x:c>
    </x:row>
    <x:row r="116">
      <x:c r="A116" s="8" t="str">
        <x:v>ORD-0112</x:v>
      </x:c>
      <x:c r="B116" s="22" t="n">
        <x:v>45682.26666851852</x:v>
      </x:c>
      <x:c r="C116" s="8" t="str">
        <x:v>CUS-029</x:v>
      </x:c>
      <x:c r="D116" s="8" t="str">
        <x:v>Rohan Das 2</x:v>
      </x:c>
      <x:c r="E116" s="8" t="str">
        <x:v>Corporate</x:v>
      </x:c>
      <x:c r="F116" s="8" t="str">
        <x:v>Ahmedabad</x:v>
      </x:c>
      <x:c r="G116" s="8" t="str">
        <x:v>West</x:v>
      </x:c>
      <x:c r="H116" s="8" t="str">
        <x:v>PRD-002</x:v>
      </x:c>
      <x:c r="I116" s="8" t="str">
        <x:v>Bluetooth Headphones</x:v>
      </x:c>
      <x:c r="J116" s="8" t="str">
        <x:v>Electronics</x:v>
      </x:c>
      <x:c r="K116" s="8" t="n">
        <x:v>2</x:v>
      </x:c>
      <x:c r="L116" s="9" t="n">
        <x:v>2499</x:v>
      </x:c>
      <x:c r="M116" s="23" t="n">
        <x:v>0</x:v>
      </x:c>
      <x:c r="N116" s="8" t="str">
        <x:v>Net Banking</x:v>
      </x:c>
      <x:c r="O116" s="8" t="str">
        <x:v>Completed</x:v>
      </x:c>
    </x:row>
    <x:row r="117">
      <x:c r="A117" s="8" t="str">
        <x:v>ORD-0113</x:v>
      </x:c>
      <x:c r="B117" s="22" t="n">
        <x:v>45684.72861478009</x:v>
      </x:c>
      <x:c r="C117" s="8" t="str">
        <x:v>CUS-043</x:v>
      </x:c>
      <x:c r="D117" s="8" t="str">
        <x:v>Vihaan Singh 3</x:v>
      </x:c>
      <x:c r="E117" s="8" t="str">
        <x:v>Consumer</x:v>
      </x:c>
      <x:c r="F117" s="8" t="str">
        <x:v>Kolkata</x:v>
      </x:c>
      <x:c r="G117" s="8" t="str">
        <x:v>East</x:v>
      </x:c>
      <x:c r="H117" s="8" t="str">
        <x:v>PRD-001</x:v>
      </x:c>
      <x:c r="I117" s="8" t="str">
        <x:v>Wireless Mouse</x:v>
      </x:c>
      <x:c r="J117" s="8" t="str">
        <x:v>Electronics</x:v>
      </x:c>
      <x:c r="K117" s="8" t="n">
        <x:v>3</x:v>
      </x:c>
      <x:c r="L117" s="9" t="n">
        <x:v>899</x:v>
      </x:c>
      <x:c r="M117" s="23" t="n">
        <x:v>0.15</x:v>
      </x:c>
      <x:c r="N117" s="8" t="str">
        <x:v>Net Banking</x:v>
      </x:c>
      <x:c r="O117" s="8" t="str">
        <x:v>Returned</x:v>
      </x:c>
    </x:row>
    <x:row r="118">
      <x:c r="A118" s="8" t="str">
        <x:v>ORD-0114</x:v>
      </x:c>
      <x:c r="B118" s="22" t="n">
        <x:v>45915.60238002315</x:v>
      </x:c>
      <x:c r="C118" s="8" t="str">
        <x:v>CUS-061</x:v>
      </x:c>
      <x:c r="D118" s="8" t="str">
        <x:v>Aarav Sharma 4</x:v>
      </x:c>
      <x:c r="E118" s="8" t="str">
        <x:v>Consumer</x:v>
      </x:c>
      <x:c r="F118" s="8" t="str">
        <x:v>Mumbai</x:v>
      </x:c>
      <x:c r="G118" s="8" t="str">
        <x:v>West</x:v>
      </x:c>
      <x:c r="H118" s="8" t="str">
        <x:v>PRD-006</x:v>
      </x:c>
      <x:c r="I118" s="8" t="str">
        <x:v>Desk Organiser</x:v>
      </x:c>
      <x:c r="J118" s="8" t="str">
        <x:v>Office Supplies</x:v>
      </x:c>
      <x:c r="K118" s="8" t="n">
        <x:v>4</x:v>
      </x:c>
      <x:c r="L118" s="9" t="n">
        <x:v>699</x:v>
      </x:c>
      <x:c r="M118" s="23" t="n">
        <x:v>0</x:v>
      </x:c>
      <x:c r="N118" s="8" t="str">
        <x:v>Cash on Delivery</x:v>
      </x:c>
      <x:c r="O118" s="8" t="str">
        <x:v>Completed</x:v>
      </x:c>
    </x:row>
    <x:row r="119">
      <x:c r="A119" s="8" t="str">
        <x:v>ORD-0115</x:v>
      </x:c>
      <x:c r="B119" s="22" t="n">
        <x:v>45890.45274204861</x:v>
      </x:c>
      <x:c r="C119" s="8" t="str">
        <x:v>CUS-068</x:v>
      </x:c>
      <x:c r="D119" s="8" t="str">
        <x:v>Meera Nair 4</x:v>
      </x:c>
      <x:c r="E119" s="8" t="str">
        <x:v>Corporate</x:v>
      </x:c>
      <x:c r="F119" s="8" t="str">
        <x:v>Bengaluru</x:v>
      </x:c>
      <x:c r="G119" s="8" t="str">
        <x:v>South</x:v>
      </x:c>
      <x:c r="H119" s="8" t="str">
        <x:v>PRD-004</x:v>
      </x:c>
      <x:c r="I119" s="8" t="str">
        <x:v>Laptop Stand</x:v>
      </x:c>
      <x:c r="J119" s="8" t="str">
        <x:v>Office Supplies</x:v>
      </x:c>
      <x:c r="K119" s="8" t="n">
        <x:v>3</x:v>
      </x:c>
      <x:c r="L119" s="9" t="n">
        <x:v>1299</x:v>
      </x:c>
      <x:c r="M119" s="23" t="n">
        <x:v>0.2</x:v>
      </x:c>
      <x:c r="N119" s="8" t="str">
        <x:v>Net Banking</x:v>
      </x:c>
      <x:c r="O119" s="8" t="str">
        <x:v>Completed</x:v>
      </x:c>
    </x:row>
    <x:row r="120">
      <x:c r="A120" s="8" t="str">
        <x:v>ORD-0116</x:v>
      </x:c>
      <x:c r="B120" s="22" t="n">
        <x:v>45735.648614363425</x:v>
      </x:c>
      <x:c r="C120" s="8" t="str">
        <x:v>CUS-071</x:v>
      </x:c>
      <x:c r="D120" s="8" t="str">
        <x:v>Aditya Joshi 4</x:v>
      </x:c>
      <x:c r="E120" s="8" t="str">
        <x:v>Corporate</x:v>
      </x:c>
      <x:c r="F120" s="8" t="str">
        <x:v>Ahmedabad</x:v>
      </x:c>
      <x:c r="G120" s="8" t="str">
        <x:v>West</x:v>
      </x:c>
      <x:c r="H120" s="8" t="str">
        <x:v>PRD-007</x:v>
      </x:c>
      <x:c r="I120" s="8" t="str">
        <x:v>Electric Kettle</x:v>
      </x:c>
      <x:c r="J120" s="8" t="str">
        <x:v>Home &amp; Kitchen</x:v>
      </x:c>
      <x:c r="K120" s="8" t="n">
        <x:v>4</x:v>
      </x:c>
      <x:c r="L120" s="9" t="n">
        <x:v>1699</x:v>
      </x:c>
      <x:c r="M120" s="23" t="n">
        <x:v>0</x:v>
      </x:c>
      <x:c r="N120" s="8" t="str">
        <x:v>Debit Card</x:v>
      </x:c>
      <x:c r="O120" s="8" t="str">
        <x:v>Completed</x:v>
      </x:c>
    </x:row>
    <x:row r="121">
      <x:c r="A121" s="8" t="str">
        <x:v>ORD-0117</x:v>
      </x:c>
      <x:c r="B121" s="22" t="n">
        <x:v>45785.1043646875</x:v>
      </x:c>
      <x:c r="C121" s="8" t="str">
        <x:v>CUS-019</x:v>
      </x:c>
      <x:c r="D121" s="8" t="str">
        <x:v>Siddharth Jain</x:v>
      </x:c>
      <x:c r="E121" s="8" t="str">
        <x:v>Consumer</x:v>
      </x:c>
      <x:c r="F121" s="8" t="str">
        <x:v>Bengaluru</x:v>
      </x:c>
      <x:c r="G121" s="8" t="str">
        <x:v>South</x:v>
      </x:c>
      <x:c r="H121" s="8" t="str">
        <x:v>PRD-010</x:v>
      </x:c>
      <x:c r="I121" s="8" t="str">
        <x:v>Travel Backpack</x:v>
      </x:c>
      <x:c r="J121" s="8" t="str">
        <x:v>Fashion</x:v>
      </x:c>
      <x:c r="K121" s="8" t="n">
        <x:v>3</x:v>
      </x:c>
      <x:c r="L121" s="9" t="n">
        <x:v>2199</x:v>
      </x:c>
      <x:c r="M121" s="23" t="n">
        <x:v>0</x:v>
      </x:c>
      <x:c r="N121" s="8" t="str">
        <x:v>UPI</x:v>
      </x:c>
      <x:c r="O121" s="8" t="str">
        <x:v>Completed</x:v>
      </x:c>
    </x:row>
    <x:row r="122">
      <x:c r="A122" s="8" t="str">
        <x:v>ORD-0118</x:v>
      </x:c>
      <x:c r="B122" s="22" t="n">
        <x:v>46002.342177858794</x:v>
      </x:c>
      <x:c r="C122" s="8" t="str">
        <x:v>CUS-063</x:v>
      </x:c>
      <x:c r="D122" s="8" t="str">
        <x:v>Vihaan Singh 4</x:v>
      </x:c>
      <x:c r="E122" s="8" t="str">
        <x:v>Small Business</x:v>
      </x:c>
      <x:c r="F122" s="8" t="str">
        <x:v>Pune</x:v>
      </x:c>
      <x:c r="G122" s="8" t="str">
        <x:v>West</x:v>
      </x:c>
      <x:c r="H122" s="8" t="str">
        <x:v>PRD-008</x:v>
      </x:c>
      <x:c r="I122" s="8" t="str">
        <x:v>Storage Container Set</x:v>
      </x:c>
      <x:c r="J122" s="8" t="str">
        <x:v>Home &amp; Kitchen</x:v>
      </x:c>
      <x:c r="K122" s="8" t="n">
        <x:v>4</x:v>
      </x:c>
      <x:c r="L122" s="9" t="n">
        <x:v>999</x:v>
      </x:c>
      <x:c r="M122" s="23" t="n">
        <x:v>0.05</x:v>
      </x:c>
      <x:c r="N122" s="8" t="str">
        <x:v>Credit Card</x:v>
      </x:c>
      <x:c r="O122" s="8" t="str">
        <x:v>Returned</x:v>
      </x:c>
    </x:row>
    <x:row r="123">
      <x:c r="A123" s="8" t="str">
        <x:v>ORD-0119</x:v>
      </x:c>
      <x:c r="B123" s="22" t="n">
        <x:v>45955.642791018516</x:v>
      </x:c>
      <x:c r="C123" s="8" t="str">
        <x:v>CUS-058</x:v>
      </x:c>
      <x:c r="D123" s="8" t="str">
        <x:v>Nisha Bansal 3</x:v>
      </x:c>
      <x:c r="E123" s="8" t="str">
        <x:v>Consumer</x:v>
      </x:c>
      <x:c r="F123" s="8" t="str">
        <x:v>Bengaluru</x:v>
      </x:c>
      <x:c r="G123" s="8" t="str">
        <x:v>South</x:v>
      </x:c>
      <x:c r="H123" s="8" t="str">
        <x:v>PRD-009</x:v>
      </x:c>
      <x:c r="I123" s="8" t="str">
        <x:v>Table Lamp</x:v>
      </x:c>
      <x:c r="J123" s="8" t="str">
        <x:v>Home &amp; Kitchen</x:v>
      </x:c>
      <x:c r="K123" s="8" t="n">
        <x:v>2</x:v>
      </x:c>
      <x:c r="L123" s="9" t="n">
        <x:v>1499</x:v>
      </x:c>
      <x:c r="M123" s="23"/>
      <x:c r="N123" s="8" t="str">
        <x:v>Cash on Delivery</x:v>
      </x:c>
      <x:c r="O123" s="8" t="str">
        <x:v>Completed</x:v>
      </x:c>
    </x:row>
    <x:row r="124">
      <x:c r="A124" s="8" t="str">
        <x:v>ORD-0120</x:v>
      </x:c>
      <x:c r="B124" s="22" t="n">
        <x:v>45804.28838386574</x:v>
      </x:c>
      <x:c r="C124" s="8" t="str">
        <x:v>CUS-060</x:v>
      </x:c>
      <x:c r="D124" s="8" t="str">
        <x:v>Kavya Reddy 3</x:v>
      </x:c>
      <x:c r="E124" s="8" t="str">
        <x:v>Small Business</x:v>
      </x:c>
      <x:c r="F124" s="8" t="str">
        <x:v>Bengaluru</x:v>
      </x:c>
      <x:c r="G124" s="8" t="str">
        <x:v>South</x:v>
      </x:c>
      <x:c r="H124" s="8" t="str">
        <x:v>PRD-005</x:v>
      </x:c>
      <x:c r="I124" s="8" t="str">
        <x:v>Executive Notebook</x:v>
      </x:c>
      <x:c r="J124" s="8" t="str">
        <x:v>Office Supplies</x:v>
      </x:c>
      <x:c r="K124" s="8" t="n">
        <x:v>2</x:v>
      </x:c>
      <x:c r="L124" s="9" t="n">
        <x:v>349</x:v>
      </x:c>
      <x:c r="M124" s="23" t="n">
        <x:v>0.1</x:v>
      </x:c>
      <x:c r="N124" s="8" t="str">
        <x:v>Credit Card</x:v>
      </x:c>
      <x:c r="O124" s="8" t="str">
        <x:v>Completed</x:v>
      </x:c>
    </x:row>
    <x:row r="125">
      <x:c r="A125" s="8" t="str">
        <x:v>ORD-0121</x:v>
      </x:c>
      <x:c r="B125" s="22" t="n">
        <x:v>45703.81213630787</x:v>
      </x:c>
      <x:c r="C125" s="8" t="str">
        <x:v>CUS-016</x:v>
      </x:c>
      <x:c r="D125" s="8" t="str">
        <x:v>Pooja Saxena</x:v>
      </x:c>
      <x:c r="E125" s="8" t="str">
        <x:v>Consumer</x:v>
      </x:c>
      <x:c r="F125" s="8" t="str">
        <x:v>Ahmedabad</x:v>
      </x:c>
      <x:c r="G125" s="8" t="str">
        <x:v>West</x:v>
      </x:c>
      <x:c r="H125" s="8" t="str">
        <x:v>PRD-004</x:v>
      </x:c>
      <x:c r="I125" s="8" t="str">
        <x:v>Laptop Stand</x:v>
      </x:c>
      <x:c r="J125" s="8" t="str">
        <x:v>Office Supplies</x:v>
      </x:c>
      <x:c r="K125" s="8" t="n">
        <x:v>1</x:v>
      </x:c>
      <x:c r="L125" s="9" t="n">
        <x:v>1299</x:v>
      </x:c>
      <x:c r="M125" s="23" t="n">
        <x:v>0</x:v>
      </x:c>
      <x:c r="N125" s="8" t="str">
        <x:v>Debit Card</x:v>
      </x:c>
      <x:c r="O125" s="8" t="str">
        <x:v>Completed</x:v>
      </x:c>
    </x:row>
    <x:row r="126">
      <x:c r="A126" s="8" t="str">
        <x:v>ORD-0122</x:v>
      </x:c>
      <x:c r="B126" s="22" t="n">
        <x:v>45792.418633587964</x:v>
      </x:c>
      <x:c r="C126" s="8" t="str">
        <x:v>CUS-044</x:v>
      </x:c>
      <x:c r="D126" s="8" t="str">
        <x:v>Ananya Gupta 3</x:v>
      </x:c>
      <x:c r="E126" s="8" t="str">
        <x:v>Corporate</x:v>
      </x:c>
      <x:c r="F126" s="8" t="str">
        <x:v>Chennai</x:v>
      </x:c>
      <x:c r="G126" s="8" t="str">
        <x:v>South</x:v>
      </x:c>
      <x:c r="H126" s="8" t="str">
        <x:v>PRD-003</x:v>
      </x:c>
      <x:c r="I126" s="8" t="str">
        <x:v>USB-C Hub</x:v>
      </x:c>
      <x:c r="J126" s="8" t="str">
        <x:v>Electronics</x:v>
      </x:c>
      <x:c r="K126" s="8" t="n">
        <x:v>4</x:v>
      </x:c>
      <x:c r="L126" s="9" t="n">
        <x:v>1899</x:v>
      </x:c>
      <x:c r="M126" s="23" t="n">
        <x:v>0.2</x:v>
      </x:c>
      <x:c r="N126" s="8" t="str">
        <x:v>Credit Card</x:v>
      </x:c>
      <x:c r="O126" s="8" t="str">
        <x:v>Completed</x:v>
      </x:c>
    </x:row>
    <x:row r="127">
      <x:c r="A127" s="8" t="str">
        <x:v>ORD-0123</x:v>
      </x:c>
      <x:c r="B127" s="22" t="n">
        <x:v>45948.1365846875</x:v>
      </x:c>
      <x:c r="C127" s="8" t="str">
        <x:v>CUS-015</x:v>
      </x:c>
      <x:c r="D127" s="8" t="str">
        <x:v>Karan Malhotra</x:v>
      </x:c>
      <x:c r="E127" s="8" t="str">
        <x:v>Small Business</x:v>
      </x:c>
      <x:c r="F127" s="8" t="str">
        <x:v>Lucknow</x:v>
      </x:c>
      <x:c r="G127" s="8" t="str">
        <x:v>North</x:v>
      </x:c>
      <x:c r="H127" s="8" t="str">
        <x:v>PRD-002</x:v>
      </x:c>
      <x:c r="I127" s="8" t="str">
        <x:v>Bluetooth Headphones</x:v>
      </x:c>
      <x:c r="J127" s="8" t="str">
        <x:v>Electronics</x:v>
      </x:c>
      <x:c r="K127" s="8" t="n">
        <x:v>1</x:v>
      </x:c>
      <x:c r="L127" s="9" t="n">
        <x:v>2499</x:v>
      </x:c>
      <x:c r="M127" s="23" t="n">
        <x:v>0.05</x:v>
      </x:c>
      <x:c r="N127" s="8" t="str">
        <x:v>UPI</x:v>
      </x:c>
      <x:c r="O127" s="8" t="str">
        <x:v>Completed</x:v>
      </x:c>
    </x:row>
    <x:row r="128">
      <x:c r="A128" s="8" t="str">
        <x:v>ORD-0124</x:v>
      </x:c>
      <x:c r="B128" s="22" t="n">
        <x:v>46001.663266076386</x:v>
      </x:c>
      <x:c r="C128" s="8" t="str">
        <x:v>CUS-005</x:v>
      </x:c>
      <x:c r="D128" s="8" t="str">
        <x:v>Arjun Verma</x:v>
      </x:c>
      <x:c r="E128" s="8" t="str">
        <x:v>Corporate</x:v>
      </x:c>
      <x:c r="F128" s="8" t="str">
        <x:v>Hyderabad</x:v>
      </x:c>
      <x:c r="G128" s="8" t="str">
        <x:v>South</x:v>
      </x:c>
      <x:c r="H128" s="8" t="str">
        <x:v>PRD-010</x:v>
      </x:c>
      <x:c r="I128" s="8" t="str">
        <x:v>Travel Backpack</x:v>
      </x:c>
      <x:c r="J128" s="8" t="str">
        <x:v>Fashion</x:v>
      </x:c>
      <x:c r="K128" s="8" t="n">
        <x:v>4</x:v>
      </x:c>
      <x:c r="L128" s="9" t="n">
        <x:v>2199</x:v>
      </x:c>
      <x:c r="M128" s="23" t="n">
        <x:v>0.05</x:v>
      </x:c>
      <x:c r="N128" s="8" t="str">
        <x:v>Debit Card</x:v>
      </x:c>
      <x:c r="O128" s="8" t="str">
        <x:v>Cancelled</x:v>
      </x:c>
    </x:row>
    <x:row r="129">
      <x:c r="A129" s="8" t="str">
        <x:v>ORD-0125</x:v>
      </x:c>
      <x:c r="B129" s="22" t="n">
        <x:v>45801.02493612269</x:v>
      </x:c>
      <x:c r="C129" s="8" t="str">
        <x:v>CUS-024</x:v>
      </x:c>
      <x:c r="D129" s="8" t="str">
        <x:v>Ananya Gupta 2</x:v>
      </x:c>
      <x:c r="E129" s="8" t="str">
        <x:v>Small Business</x:v>
      </x:c>
      <x:c r="F129" s="8" t="str">
        <x:v>Jaipur</x:v>
      </x:c>
      <x:c r="G129" s="8" t="str">
        <x:v>North</x:v>
      </x:c>
      <x:c r="H129" s="8" t="str">
        <x:v>PRD-008</x:v>
      </x:c>
      <x:c r="I129" s="8" t="str">
        <x:v>Storage Container Set</x:v>
      </x:c>
      <x:c r="J129" s="8" t="str">
        <x:v>Home &amp; Kitchen</x:v>
      </x:c>
      <x:c r="K129" s="8" t="n">
        <x:v>3</x:v>
      </x:c>
      <x:c r="L129" s="9" t="n">
        <x:v>999</x:v>
      </x:c>
      <x:c r="M129" s="23" t="n">
        <x:v>0.15</x:v>
      </x:c>
      <x:c r="N129" s="8" t="str">
        <x:v>Cash on Delivery</x:v>
      </x:c>
      <x:c r="O129" s="8" t="str">
        <x:v>Completed</x:v>
      </x:c>
    </x:row>
    <x:row r="130">
      <x:c r="A130" s="8" t="str">
        <x:v>ORD-0126</x:v>
      </x:c>
      <x:c r="B130" s="22" t="n">
        <x:v>45970.67033246528</x:v>
      </x:c>
      <x:c r="C130" s="8" t="str">
        <x:v>CUS-074</x:v>
      </x:c>
      <x:c r="D130" s="8" t="str">
        <x:v>Neha Rao 4</x:v>
      </x:c>
      <x:c r="E130" s="8" t="str">
        <x:v>Corporate</x:v>
      </x:c>
      <x:c r="F130" s="8" t="str">
        <x:v>Mumbai</x:v>
      </x:c>
      <x:c r="G130" s="8" t="str">
        <x:v>West</x:v>
      </x:c>
      <x:c r="H130" s="8" t="str">
        <x:v>PRD-011</x:v>
      </x:c>
      <x:c r="I130" s="8" t="str">
        <x:v>Classic Wallet</x:v>
      </x:c>
      <x:c r="J130" s="8" t="str">
        <x:v>Fashion</x:v>
      </x:c>
      <x:c r="K130" s="8" t="n">
        <x:v>5</x:v>
      </x:c>
      <x:c r="L130" s="9" t="n">
        <x:v>1199</x:v>
      </x:c>
      <x:c r="M130" s="23" t="n">
        <x:v>0.2</x:v>
      </x:c>
      <x:c r="N130" s="8" t="str">
        <x:v>Credit Card</x:v>
      </x:c>
      <x:c r="O130" s="8" t="str">
        <x:v>Cancelled</x:v>
      </x:c>
    </x:row>
    <x:row r="131">
      <x:c r="A131" s="8" t="str">
        <x:v>ORD-0127</x:v>
      </x:c>
      <x:c r="B131" s="22" t="n">
        <x:v>45706.827036180555</x:v>
      </x:c>
      <x:c r="C131" s="8" t="str">
        <x:v>CUS-077</x:v>
      </x:c>
      <x:c r="D131" s="8" t="str">
        <x:v>Vikram Yadav 4</x:v>
      </x:c>
      <x:c r="E131" s="8" t="str">
        <x:v>Corporate</x:v>
      </x:c>
      <x:c r="F131" s="8" t="str">
        <x:v>Mumbai</x:v>
      </x:c>
      <x:c r="G131" s="8" t="str">
        <x:v>West</x:v>
      </x:c>
      <x:c r="H131" s="8" t="str">
        <x:v>PRD-003</x:v>
      </x:c>
      <x:c r="I131" s="8" t="str">
        <x:v>USB-C Hub</x:v>
      </x:c>
      <x:c r="J131" s="8" t="str">
        <x:v>Electronics</x:v>
      </x:c>
      <x:c r="K131" s="8" t="n">
        <x:v>1</x:v>
      </x:c>
      <x:c r="L131" s="9" t="n">
        <x:v>1899</x:v>
      </x:c>
      <x:c r="M131" s="23" t="n">
        <x:v>0.15</x:v>
      </x:c>
      <x:c r="N131" s="8" t="str">
        <x:v>Cash on Delivery</x:v>
      </x:c>
      <x:c r="O131" s="8" t="str">
        <x:v>Completed</x:v>
      </x:c>
    </x:row>
    <x:row r="132">
      <x:c r="A132" s="8" t="str">
        <x:v>ORD-0128</x:v>
      </x:c>
      <x:c r="B132" s="22" t="n">
        <x:v>45895.16981685185</x:v>
      </x:c>
      <x:c r="C132" s="8" t="str">
        <x:v>CUS-014</x:v>
      </x:c>
      <x:c r="D132" s="8" t="str">
        <x:v>Neha Rao</x:v>
      </x:c>
      <x:c r="E132" s="8" t="str">
        <x:v>Corporate</x:v>
      </x:c>
      <x:c r="F132" s="8" t="str">
        <x:v>Bengaluru</x:v>
      </x:c>
      <x:c r="G132" s="8" t="str">
        <x:v>South</x:v>
      </x:c>
      <x:c r="H132" s="8" t="str">
        <x:v>PRD-010</x:v>
      </x:c>
      <x:c r="I132" s="8" t="str">
        <x:v>Travel Backpack</x:v>
      </x:c>
      <x:c r="J132" s="8" t="str">
        <x:v>Fashion</x:v>
      </x:c>
      <x:c r="K132" s="8" t="n">
        <x:v>5</x:v>
      </x:c>
      <x:c r="L132" s="9" t="n">
        <x:v>2199</x:v>
      </x:c>
      <x:c r="M132" s="23" t="n">
        <x:v>0.1</x:v>
      </x:c>
      <x:c r="N132" s="8" t="str">
        <x:v>Cash on Delivery</x:v>
      </x:c>
      <x:c r="O132" s="8" t="str">
        <x:v>Completed</x:v>
      </x:c>
    </x:row>
    <x:row r="133">
      <x:c r="A133" s="8" t="str">
        <x:v>ORD-0129</x:v>
      </x:c>
      <x:c r="B133" s="22" t="n">
        <x:v>45907.297600763886</x:v>
      </x:c>
      <x:c r="C133" s="8" t="str">
        <x:v>CUS-030</x:v>
      </x:c>
      <x:c r="D133" s="8" t="str">
        <x:v>Saanvi Iyer 2</x:v>
      </x:c>
      <x:c r="E133" s="8" t="str">
        <x:v>Small Business</x:v>
      </x:c>
      <x:c r="F133" s="8" t="str">
        <x:v>Kolkata</x:v>
      </x:c>
      <x:c r="G133" s="8" t="str">
        <x:v>East</x:v>
      </x:c>
      <x:c r="H133" s="8" t="str">
        <x:v>PRD-006</x:v>
      </x:c>
      <x:c r="I133" s="8" t="str">
        <x:v>Desk Organiser</x:v>
      </x:c>
      <x:c r="J133" s="8" t="str">
        <x:v>Office Supplies</x:v>
      </x:c>
      <x:c r="K133" s="8" t="n">
        <x:v>2</x:v>
      </x:c>
      <x:c r="L133" s="9" t="n">
        <x:v>699</x:v>
      </x:c>
      <x:c r="M133" s="23" t="n">
        <x:v>0.1</x:v>
      </x:c>
      <x:c r="N133" s="8" t="str">
        <x:v>Cash on Delivery</x:v>
      </x:c>
      <x:c r="O133" s="8" t="str">
        <x:v>Completed</x:v>
      </x:c>
    </x:row>
    <x:row r="134">
      <x:c r="A134" s="8" t="str">
        <x:v>ORD-0130</x:v>
      </x:c>
      <x:c r="B134" s="22" t="n">
        <x:v>45907.917148148146</x:v>
      </x:c>
      <x:c r="C134" s="8" t="str">
        <x:v>CUS-059</x:v>
      </x:c>
      <x:c r="D134" s="8" t="str">
        <x:v>Siddharth Jain 3</x:v>
      </x:c>
      <x:c r="E134" s="8" t="str">
        <x:v>Corporate</x:v>
      </x:c>
      <x:c r="F134" s="8" t="str">
        <x:v>Ahmedabad</x:v>
      </x:c>
      <x:c r="G134" s="8" t="str">
        <x:v>West</x:v>
      </x:c>
      <x:c r="H134" s="8" t="str">
        <x:v>PRD-001</x:v>
      </x:c>
      <x:c r="I134" s="8" t="str">
        <x:v>Wireless Mouse</x:v>
      </x:c>
      <x:c r="J134" s="8" t="str">
        <x:v>Electronics</x:v>
      </x:c>
      <x:c r="K134" s="8" t="n">
        <x:v>2</x:v>
      </x:c>
      <x:c r="L134" s="9" t="n">
        <x:v>899</x:v>
      </x:c>
      <x:c r="M134" s="23" t="n">
        <x:v>0</x:v>
      </x:c>
      <x:c r="N134" s="8" t="str">
        <x:v>Net Banking</x:v>
      </x:c>
      <x:c r="O134" s="8" t="str">
        <x:v>Completed</x:v>
      </x:c>
    </x:row>
    <x:row r="135">
      <x:c r="A135" s="8" t="str">
        <x:v>ORD-0131</x:v>
      </x:c>
      <x:c r="B135" s="22" t="n">
        <x:v>45845.70707173611</x:v>
      </x:c>
      <x:c r="C135" s="8" t="str">
        <x:v>CUS-030</x:v>
      </x:c>
      <x:c r="D135" s="8" t="str">
        <x:v>Saanvi Iyer 2</x:v>
      </x:c>
      <x:c r="E135" s="8" t="str">
        <x:v>Small Business</x:v>
      </x:c>
      <x:c r="F135" s="8" t="str">
        <x:v>Hyderabad</x:v>
      </x:c>
      <x:c r="G135" s="8" t="str">
        <x:v>South</x:v>
      </x:c>
      <x:c r="H135" s="8" t="str">
        <x:v>PRD-010</x:v>
      </x:c>
      <x:c r="I135" s="8" t="str">
        <x:v>Travel Backpack</x:v>
      </x:c>
      <x:c r="J135" s="8" t="str">
        <x:v>Fashion</x:v>
      </x:c>
      <x:c r="K135" s="8" t="n">
        <x:v>5</x:v>
      </x:c>
      <x:c r="L135" s="9" t="n">
        <x:v>2199</x:v>
      </x:c>
      <x:c r="M135" s="23" t="n">
        <x:v>0.05</x:v>
      </x:c>
      <x:c r="N135" s="8" t="str">
        <x:v>Debit Card</x:v>
      </x:c>
      <x:c r="O135" s="8" t="str">
        <x:v>Completed</x:v>
      </x:c>
    </x:row>
    <x:row r="136">
      <x:c r="A136" s="8" t="str">
        <x:v>ORD-0132</x:v>
      </x:c>
      <x:c r="B136" s="22" t="n">
        <x:v>45737.8432791088</x:v>
      </x:c>
      <x:c r="C136" s="8" t="str">
        <x:v>CUS-052</x:v>
      </x:c>
      <x:c r="D136" s="8" t="str">
        <x:v>Priya Kapoor 3</x:v>
      </x:c>
      <x:c r="E136" s="8" t="str">
        <x:v>Consumer</x:v>
      </x:c>
      <x:c r="F136" s="8" t="str">
        <x:v>Bengaluru</x:v>
      </x:c>
      <x:c r="G136" s="8" t="str">
        <x:v>South</x:v>
      </x:c>
      <x:c r="H136" s="8" t="str">
        <x:v>PRD-010</x:v>
      </x:c>
      <x:c r="I136" s="8" t="str">
        <x:v>Travel Backpack</x:v>
      </x:c>
      <x:c r="J136" s="8" t="str">
        <x:v>Fashion</x:v>
      </x:c>
      <x:c r="K136" s="8" t="n">
        <x:v>2</x:v>
      </x:c>
      <x:c r="L136" s="9" t="n">
        <x:v>2199</x:v>
      </x:c>
      <x:c r="M136" s="23" t="n">
        <x:v>0.05</x:v>
      </x:c>
      <x:c r="N136" s="8" t="str">
        <x:v>Cash on Delivery</x:v>
      </x:c>
      <x:c r="O136" s="8" t="str">
        <x:v>Completed</x:v>
      </x:c>
    </x:row>
    <x:row r="137">
      <x:c r="A137" s="8" t="str">
        <x:v>ORD-0133</x:v>
      </x:c>
      <x:c r="B137" s="22" t="n">
        <x:v>45809.522971875</x:v>
      </x:c>
      <x:c r="C137" s="8" t="str">
        <x:v>CUS-023</x:v>
      </x:c>
      <x:c r="D137" s="8" t="str">
        <x:v>Vihaan Singh 2</x:v>
      </x:c>
      <x:c r="E137" s="8" t="str">
        <x:v>Corporate</x:v>
      </x:c>
      <x:c r="F137" s="8" t="str">
        <x:v>Pune</x:v>
      </x:c>
      <x:c r="G137" s="8" t="str">
        <x:v>West</x:v>
      </x:c>
      <x:c r="H137" s="8" t="str">
        <x:v>PRD-006</x:v>
      </x:c>
      <x:c r="I137" s="8" t="str">
        <x:v>Desk Organiser</x:v>
      </x:c>
      <x:c r="J137" s="8" t="str">
        <x:v>Office Supplies</x:v>
      </x:c>
      <x:c r="K137" s="8" t="n">
        <x:v>2</x:v>
      </x:c>
      <x:c r="L137" s="9" t="n">
        <x:v>699</x:v>
      </x:c>
      <x:c r="M137" s="23" t="n">
        <x:v>0.2</x:v>
      </x:c>
      <x:c r="N137" s="8" t="str">
        <x:v>Net Banking</x:v>
      </x:c>
      <x:c r="O137" s="8" t="str">
        <x:v>Returned</x:v>
      </x:c>
    </x:row>
    <x:row r="138">
      <x:c r="A138" s="8" t="str">
        <x:v>ORD-0134</x:v>
      </x:c>
      <x:c r="B138" s="22" t="n">
        <x:v>45935.8811481713</x:v>
      </x:c>
      <x:c r="C138" s="8" t="str">
        <x:v>CUS-019</x:v>
      </x:c>
      <x:c r="D138" s="8" t="str">
        <x:v>Siddharth Jain</x:v>
      </x:c>
      <x:c r="E138" s="8" t="str">
        <x:v>Consumer</x:v>
      </x:c>
      <x:c r="F138" s="8" t="str">
        <x:v>Jaipur</x:v>
      </x:c>
      <x:c r="G138" s="8" t="str">
        <x:v>North</x:v>
      </x:c>
      <x:c r="H138" s="8" t="str">
        <x:v>PRD-002</x:v>
      </x:c>
      <x:c r="I138" s="8" t="str">
        <x:v>Bluetooth Headphones</x:v>
      </x:c>
      <x:c r="J138" s="8" t="str">
        <x:v>Electronics</x:v>
      </x:c>
      <x:c r="K138" s="8" t="n">
        <x:v>1</x:v>
      </x:c>
      <x:c r="L138" s="9" t="n">
        <x:v>2499</x:v>
      </x:c>
      <x:c r="M138" s="23" t="n">
        <x:v>0.1</x:v>
      </x:c>
      <x:c r="N138" s="8" t="str">
        <x:v>UPI</x:v>
      </x:c>
      <x:c r="O138" s="8" t="str">
        <x:v>Returned</x:v>
      </x:c>
    </x:row>
    <x:row r="139">
      <x:c r="A139" s="8" t="str">
        <x:v>ORD-0135</x:v>
      </x:c>
      <x:c r="B139" s="22" t="n">
        <x:v>45922.63170238426</x:v>
      </x:c>
      <x:c r="C139" s="8" t="str">
        <x:v>CUS-032</x:v>
      </x:c>
      <x:c r="D139" s="8" t="str">
        <x:v>Priya Kapoor 2</x:v>
      </x:c>
      <x:c r="E139" s="8" t="str">
        <x:v>Corporate</x:v>
      </x:c>
      <x:c r="F139" s="8" t="str">
        <x:v>Mumbai</x:v>
      </x:c>
      <x:c r="G139" s="8" t="str">
        <x:v>West</x:v>
      </x:c>
      <x:c r="H139" s="8" t="str">
        <x:v>PRD-004</x:v>
      </x:c>
      <x:c r="I139" s="8" t="str">
        <x:v>Laptop Stand</x:v>
      </x:c>
      <x:c r="J139" s="8" t="str">
        <x:v>Office Supplies</x:v>
      </x:c>
      <x:c r="K139" s="8" t="n">
        <x:v>3</x:v>
      </x:c>
      <x:c r="L139" s="9" t="n">
        <x:v>1299</x:v>
      </x:c>
      <x:c r="M139" s="23" t="n">
        <x:v>0.15</x:v>
      </x:c>
      <x:c r="N139" s="8" t="str">
        <x:v>UPI</x:v>
      </x:c>
      <x:c r="O139" s="8" t="str">
        <x:v>Cancelled</x:v>
      </x:c>
    </x:row>
    <x:row r="140">
      <x:c r="A140" s="8" t="str">
        <x:v>ORD-0136</x:v>
      </x:c>
      <x:c r="B140" s="22" t="n">
        <x:v>45914.10853358796</x:v>
      </x:c>
      <x:c r="C140" s="8" t="str">
        <x:v>CUS-040</x:v>
      </x:c>
      <x:c r="D140" s="8" t="str">
        <x:v>Kavya Reddy 2</x:v>
      </x:c>
      <x:c r="E140" s="8" t="str">
        <x:v>Consumer</x:v>
      </x:c>
      <x:c r="F140" s="8" t="str">
        <x:v>Lucknow</x:v>
      </x:c>
      <x:c r="G140" s="8" t="str">
        <x:v>North</x:v>
      </x:c>
      <x:c r="H140" s="8" t="str">
        <x:v>PRD-001</x:v>
      </x:c>
      <x:c r="I140" s="8" t="str">
        <x:v>Wireless Mouse</x:v>
      </x:c>
      <x:c r="J140" s="8" t="str">
        <x:v>Electronics</x:v>
      </x:c>
      <x:c r="K140" s="8" t="n">
        <x:v>4</x:v>
      </x:c>
      <x:c r="L140" s="9" t="n">
        <x:v>899</x:v>
      </x:c>
      <x:c r="M140" s="23" t="n">
        <x:v>0</x:v>
      </x:c>
      <x:c r="N140" s="8" t="str">
        <x:v>Debit Card</x:v>
      </x:c>
      <x:c r="O140" s="8" t="str">
        <x:v>Completed</x:v>
      </x:c>
    </x:row>
    <x:row r="141">
      <x:c r="A141" s="8" t="str">
        <x:v>ORD-0137</x:v>
      </x:c>
      <x:c r="B141" s="22" t="n">
        <x:v>45844.14687491898</x:v>
      </x:c>
      <x:c r="C141" s="8" t="str">
        <x:v>CUS-080</x:v>
      </x:c>
      <x:c r="D141" s="8" t="str">
        <x:v>Kavya Reddy 4</x:v>
      </x:c>
      <x:c r="E141" s="8" t="str">
        <x:v>Corporate</x:v>
      </x:c>
      <x:c r="F141" s="8" t="str">
        <x:v>Lucknow</x:v>
      </x:c>
      <x:c r="G141" s="8" t="str">
        <x:v>North</x:v>
      </x:c>
      <x:c r="H141" s="8" t="str">
        <x:v>PRD-001</x:v>
      </x:c>
      <x:c r="I141" s="8" t="str">
        <x:v>Wireless Mouse</x:v>
      </x:c>
      <x:c r="J141" s="8" t="str">
        <x:v>Electronics</x:v>
      </x:c>
      <x:c r="K141" s="8" t="n">
        <x:v>1</x:v>
      </x:c>
      <x:c r="L141" s="9" t="n">
        <x:v>899</x:v>
      </x:c>
      <x:c r="M141" s="23" t="n">
        <x:v>0.05</x:v>
      </x:c>
      <x:c r="N141" s="8" t="str">
        <x:v>UPI</x:v>
      </x:c>
      <x:c r="O141" s="8" t="str">
        <x:v>Completed</x:v>
      </x:c>
    </x:row>
    <x:row r="142">
      <x:c r="A142" s="8" t="str">
        <x:v>ORD-0138</x:v>
      </x:c>
      <x:c r="B142" s="22" t="n">
        <x:v>45781.08647717592</x:v>
      </x:c>
      <x:c r="C142" s="8" t="str">
        <x:v>CUS-063</x:v>
      </x:c>
      <x:c r="D142" s="8" t="str">
        <x:v>Vihaan Singh 4</x:v>
      </x:c>
      <x:c r="E142" s="8" t="str">
        <x:v>Small Business</x:v>
      </x:c>
      <x:c r="F142" s="8" t="str">
        <x:v>Lucknow</x:v>
      </x:c>
      <x:c r="G142" s="8" t="str">
        <x:v>North</x:v>
      </x:c>
      <x:c r="H142" s="8" t="str">
        <x:v>PRD-010</x:v>
      </x:c>
      <x:c r="I142" s="8" t="str">
        <x:v>Travel Backpack</x:v>
      </x:c>
      <x:c r="J142" s="8" t="str">
        <x:v>Fashion</x:v>
      </x:c>
      <x:c r="K142" s="8" t="n">
        <x:v>1</x:v>
      </x:c>
      <x:c r="L142" s="9" t="n">
        <x:v>2199</x:v>
      </x:c>
      <x:c r="M142" s="23" t="n">
        <x:v>0</x:v>
      </x:c>
      <x:c r="N142" s="8" t="str">
        <x:v>Credit Card</x:v>
      </x:c>
      <x:c r="O142" s="8" t="str">
        <x:v>Completed</x:v>
      </x:c>
    </x:row>
    <x:row r="143">
      <x:c r="A143" s="8" t="str">
        <x:v>ORD-0139</x:v>
      </x:c>
      <x:c r="B143" s="22" t="n">
        <x:v>45998.02714662037</x:v>
      </x:c>
      <x:c r="C143" s="8" t="str">
        <x:v>CUS-011</x:v>
      </x:c>
      <x:c r="D143" s="8" t="str">
        <x:v>Aditya Joshi</x:v>
      </x:c>
      <x:c r="E143" s="8" t="str">
        <x:v>Corporate</x:v>
      </x:c>
      <x:c r="F143" s="8" t="str">
        <x:v>Delhi</x:v>
      </x:c>
      <x:c r="G143" s="8" t="str">
        <x:v>North</x:v>
      </x:c>
      <x:c r="H143" s="8" t="str">
        <x:v>PRD-003</x:v>
      </x:c>
      <x:c r="I143" s="8" t="str">
        <x:v>USB-C Hub</x:v>
      </x:c>
      <x:c r="J143" s="8" t="str">
        <x:v>Electronics</x:v>
      </x:c>
      <x:c r="K143" s="8" t="n">
        <x:v>3</x:v>
      </x:c>
      <x:c r="L143" s="9" t="n">
        <x:v>1899</x:v>
      </x:c>
      <x:c r="M143" s="23" t="n">
        <x:v>0.05</x:v>
      </x:c>
      <x:c r="N143" s="8" t="str">
        <x:v>Debit Card</x:v>
      </x:c>
      <x:c r="O143" s="8" t="str">
        <x:v>Cancelled</x:v>
      </x:c>
    </x:row>
    <x:row r="144">
      <x:c r="A144" s="8" t="str">
        <x:v>ORD-0140</x:v>
      </x:c>
      <x:c r="B144" s="22" t="n">
        <x:v>45688.92250369213</x:v>
      </x:c>
      <x:c r="C144" s="8" t="str">
        <x:v>CUS-020</x:v>
      </x:c>
      <x:c r="D144" s="8" t="str">
        <x:v>Kavya Reddy</x:v>
      </x:c>
      <x:c r="E144" s="8" t="str">
        <x:v>Corporate</x:v>
      </x:c>
      <x:c r="F144" s="8" t="str">
        <x:v>Kolkata</x:v>
      </x:c>
      <x:c r="G144" s="8" t="str">
        <x:v>East</x:v>
      </x:c>
      <x:c r="H144" s="8" t="str">
        <x:v>PRD-008</x:v>
      </x:c>
      <x:c r="I144" s="8" t="str">
        <x:v>Storage Container Set</x:v>
      </x:c>
      <x:c r="J144" s="8" t="str">
        <x:v>Home &amp; Kitchen</x:v>
      </x:c>
      <x:c r="K144" s="8" t="n">
        <x:v>3</x:v>
      </x:c>
      <x:c r="L144" s="9" t="n">
        <x:v>999</x:v>
      </x:c>
      <x:c r="M144" s="23" t="n">
        <x:v>0.1</x:v>
      </x:c>
      <x:c r="N144" s="8" t="str">
        <x:v>Net Banking</x:v>
      </x:c>
      <x:c r="O144" s="8" t="str">
        <x:v>Returned</x:v>
      </x:c>
    </x:row>
    <x:row r="145">
      <x:c r="A145" s="8" t="str">
        <x:v>ORD-0141</x:v>
      </x:c>
      <x:c r="B145" s="22" t="n">
        <x:v>45771.696678796296</x:v>
      </x:c>
      <x:c r="C145" s="8" t="str">
        <x:v>CUS-039</x:v>
      </x:c>
      <x:c r="D145" s="8" t="str">
        <x:v>Siddharth Jain 2</x:v>
      </x:c>
      <x:c r="E145" s="8" t="str">
        <x:v>Small Business</x:v>
      </x:c>
      <x:c r="F145" s="8" t="str">
        <x:v>Delhi</x:v>
      </x:c>
      <x:c r="G145" s="8" t="str">
        <x:v>North</x:v>
      </x:c>
      <x:c r="H145" s="8" t="str">
        <x:v>PRD-012</x:v>
      </x:c>
      <x:c r="I145" s="8" t="str">
        <x:v>Stainless Water Bottle</x:v>
      </x:c>
      <x:c r="J145" s="8" t="str">
        <x:v>Lifestyle</x:v>
      </x:c>
      <x:c r="K145" s="8" t="n">
        <x:v>3</x:v>
      </x:c>
      <x:c r="L145" s="9" t="n">
        <x:v>799</x:v>
      </x:c>
      <x:c r="M145" s="23" t="n">
        <x:v>0.1</x:v>
      </x:c>
      <x:c r="N145" s="8" t="str">
        <x:v>Net Banking</x:v>
      </x:c>
      <x:c r="O145" s="8" t="str">
        <x:v>Returned</x:v>
      </x:c>
    </x:row>
    <x:row r="146">
      <x:c r="A146" s="8" t="str">
        <x:v>ORD-0142</x:v>
      </x:c>
      <x:c r="B146" s="22" t="n">
        <x:v>45740.712398275464</x:v>
      </x:c>
      <x:c r="C146" s="8" t="str">
        <x:v>CUS-006</x:v>
      </x:c>
      <x:c r="D146" s="8" t="str">
        <x:v>Isha Mehta</x:v>
      </x:c>
      <x:c r="E146" s="8" t="str">
        <x:v>Small Business</x:v>
      </x:c>
      <x:c r="F146" s="8" t="str">
        <x:v>Bengaluru</x:v>
      </x:c>
      <x:c r="G146" s="8" t="str">
        <x:v>South</x:v>
      </x:c>
      <x:c r="H146" s="8" t="str">
        <x:v>PRD-010</x:v>
      </x:c>
      <x:c r="I146" s="8" t="str">
        <x:v>Travel Backpack</x:v>
      </x:c>
      <x:c r="J146" s="8" t="str">
        <x:v>Fashion</x:v>
      </x:c>
      <x:c r="K146" s="8" t="n">
        <x:v>1</x:v>
      </x:c>
      <x:c r="L146" s="9" t="n">
        <x:v>2199</x:v>
      </x:c>
      <x:c r="M146" s="23" t="n">
        <x:v>0</x:v>
      </x:c>
      <x:c r="N146" s="8" t="str">
        <x:v>Credit Card</x:v>
      </x:c>
      <x:c r="O146" s="8" t="str">
        <x:v>Completed</x:v>
      </x:c>
    </x:row>
    <x:row r="147">
      <x:c r="A147" s="8" t="str">
        <x:v>ORD-0143</x:v>
      </x:c>
      <x:c r="B147" s="22" t="n">
        <x:v>45812.640803078706</x:v>
      </x:c>
      <x:c r="C147" s="8" t="str">
        <x:v>CUS-032</x:v>
      </x:c>
      <x:c r="D147" s="8" t="str">
        <x:v>Priya Kapoor 2</x:v>
      </x:c>
      <x:c r="E147" s="8" t="str">
        <x:v>Corporate</x:v>
      </x:c>
      <x:c r="F147" s="8" t="str">
        <x:v>Hyderabad</x:v>
      </x:c>
      <x:c r="G147" s="8" t="str">
        <x:v>South</x:v>
      </x:c>
      <x:c r="H147" s="8" t="str">
        <x:v>PRD-001</x:v>
      </x:c>
      <x:c r="I147" s="8" t="str">
        <x:v>Wireless Mouse</x:v>
      </x:c>
      <x:c r="J147" s="8" t="str">
        <x:v>Electronics</x:v>
      </x:c>
      <x:c r="K147" s="8" t="n">
        <x:v>1</x:v>
      </x:c>
      <x:c r="L147" s="9" t="n">
        <x:v>899</x:v>
      </x:c>
      <x:c r="M147" s="23" t="n">
        <x:v>0.1</x:v>
      </x:c>
      <x:c r="N147" s="8" t="str">
        <x:v>Cash on Delivery</x:v>
      </x:c>
      <x:c r="O147" s="8" t="str">
        <x:v>Cancelled</x:v>
      </x:c>
    </x:row>
    <x:row r="148">
      <x:c r="A148" s="8" t="str">
        <x:v>ORD-0144</x:v>
      </x:c>
      <x:c r="B148" s="22" t="n">
        <x:v>45905.97088033565</x:v>
      </x:c>
      <x:c r="C148" s="8" t="str">
        <x:v>CUS-065</x:v>
      </x:c>
      <x:c r="D148" s="8"/>
      <x:c r="E148" s="8" t="str">
        <x:v>Corporate</x:v>
      </x:c>
      <x:c r="F148" s="8" t="str">
        <x:v>Ahmedabad</x:v>
      </x:c>
      <x:c r="G148" s="8" t="str">
        <x:v>West</x:v>
      </x:c>
      <x:c r="H148" s="8" t="str">
        <x:v>PRD-007</x:v>
      </x:c>
      <x:c r="I148" s="8" t="str">
        <x:v>Electric Kettle</x:v>
      </x:c>
      <x:c r="J148" s="8" t="str">
        <x:v>Home &amp; Kitchen</x:v>
      </x:c>
      <x:c r="K148" s="8" t="n">
        <x:v>4</x:v>
      </x:c>
      <x:c r="L148" s="9" t="n">
        <x:v>1699</x:v>
      </x:c>
      <x:c r="M148" s="23" t="n">
        <x:v>0</x:v>
      </x:c>
      <x:c r="N148" s="8" t="str">
        <x:v>Net Banking</x:v>
      </x:c>
      <x:c r="O148" s="8" t="str">
        <x:v>Completed</x:v>
      </x:c>
    </x:row>
    <x:row r="149">
      <x:c r="A149" s="8" t="str">
        <x:v>ORD-0145</x:v>
      </x:c>
      <x:c r="B149" s="22" t="n">
        <x:v>45901.44950672454</x:v>
      </x:c>
      <x:c r="C149" s="8" t="str">
        <x:v>CUS-026</x:v>
      </x:c>
      <x:c r="D149" s="8" t="str">
        <x:v>Isha Mehta 2</x:v>
      </x:c>
      <x:c r="E149" s="8" t="str">
        <x:v>Corporate</x:v>
      </x:c>
      <x:c r="F149" s="8" t="str">
        <x:v>Ahmedabad</x:v>
      </x:c>
      <x:c r="G149" s="8" t="str">
        <x:v>West</x:v>
      </x:c>
      <x:c r="H149" s="8" t="str">
        <x:v>PRD-005</x:v>
      </x:c>
      <x:c r="I149" s="8" t="str">
        <x:v>Executive Notebook</x:v>
      </x:c>
      <x:c r="J149" s="8" t="str">
        <x:v>Office Supplies</x:v>
      </x:c>
      <x:c r="K149" s="8" t="n">
        <x:v>3</x:v>
      </x:c>
      <x:c r="L149" s="9" t="n">
        <x:v>349</x:v>
      </x:c>
      <x:c r="M149" s="23" t="n">
        <x:v>0.1</x:v>
      </x:c>
      <x:c r="N149" s="8" t="str">
        <x:v>Debit Card</x:v>
      </x:c>
      <x:c r="O149" s="8" t="str">
        <x:v>Completed</x:v>
      </x:c>
    </x:row>
    <x:row r="150">
      <x:c r="A150" s="8" t="str">
        <x:v>ORD-0146</x:v>
      </x:c>
      <x:c r="B150" s="22" t="n">
        <x:v>45898.1468909375</x:v>
      </x:c>
      <x:c r="C150" s="8" t="str">
        <x:v>CUS-009</x:v>
      </x:c>
      <x:c r="D150" s="8" t="str">
        <x:v>Rohan Das</x:v>
      </x:c>
      <x:c r="E150" s="8" t="str">
        <x:v>Small Business</x:v>
      </x:c>
      <x:c r="F150" s="8" t="str">
        <x:v>Lucknow</x:v>
      </x:c>
      <x:c r="G150" s="8" t="str">
        <x:v>North</x:v>
      </x:c>
      <x:c r="H150" s="8" t="str">
        <x:v>PRD-008</x:v>
      </x:c>
      <x:c r="I150" s="8" t="str">
        <x:v>Storage Container Set</x:v>
      </x:c>
      <x:c r="J150" s="8" t="str">
        <x:v>Home &amp; Kitchen</x:v>
      </x:c>
      <x:c r="K150" s="8" t="n">
        <x:v>5</x:v>
      </x:c>
      <x:c r="L150" s="9" t="n">
        <x:v>999</x:v>
      </x:c>
      <x:c r="M150" s="23" t="n">
        <x:v>0</x:v>
      </x:c>
      <x:c r="N150" s="8" t="str">
        <x:v>Debit Card</x:v>
      </x:c>
      <x:c r="O150" s="8" t="str">
        <x:v>Completed</x:v>
      </x:c>
    </x:row>
    <x:row r="151">
      <x:c r="A151" s="8" t="str">
        <x:v>ORD-0147</x:v>
      </x:c>
      <x:c r="B151" s="22" t="n">
        <x:v>45944.37769569444</x:v>
      </x:c>
      <x:c r="C151" s="8" t="str">
        <x:v>CUS-067</x:v>
      </x:c>
      <x:c r="D151" s="8" t="str">
        <x:v>Kabir Khan 4</x:v>
      </x:c>
      <x:c r="E151" s="8" t="str">
        <x:v>Consumer</x:v>
      </x:c>
      <x:c r="F151" s="8" t="str">
        <x:v>Kolkata</x:v>
      </x:c>
      <x:c r="G151" s="8" t="str">
        <x:v>East</x:v>
      </x:c>
      <x:c r="H151" s="8" t="str">
        <x:v>PRD-007</x:v>
      </x:c>
      <x:c r="I151" s="8" t="str">
        <x:v>Electric Kettle</x:v>
      </x:c>
      <x:c r="J151" s="8" t="str">
        <x:v>Home &amp; Kitchen</x:v>
      </x:c>
      <x:c r="K151" s="8" t="n">
        <x:v>3</x:v>
      </x:c>
      <x:c r="L151" s="9" t="n">
        <x:v>1699</x:v>
      </x:c>
      <x:c r="M151" s="23" t="n">
        <x:v>0.15</x:v>
      </x:c>
      <x:c r="N151" s="8" t="str">
        <x:v>Credit Card</x:v>
      </x:c>
      <x:c r="O151" s="8" t="str">
        <x:v>Cancelled</x:v>
      </x:c>
    </x:row>
    <x:row r="152">
      <x:c r="A152" s="8" t="str">
        <x:v>ORD-0148</x:v>
      </x:c>
      <x:c r="B152" s="22" t="n">
        <x:v>45974.82431886574</x:v>
      </x:c>
      <x:c r="C152" s="8" t="str">
        <x:v>CUS-044</x:v>
      </x:c>
      <x:c r="D152" s="8" t="str">
        <x:v>Ananya Gupta 3</x:v>
      </x:c>
      <x:c r="E152" s="8" t="str">
        <x:v>Corporate</x:v>
      </x:c>
      <x:c r="F152" s="8" t="str">
        <x:v>Jaipur</x:v>
      </x:c>
      <x:c r="G152" s="8" t="str">
        <x:v>North</x:v>
      </x:c>
      <x:c r="H152" s="8" t="str">
        <x:v>PRD-005</x:v>
      </x:c>
      <x:c r="I152" s="8" t="str">
        <x:v>Executive Notebook</x:v>
      </x:c>
      <x:c r="J152" s="8" t="str">
        <x:v>Office Supplies</x:v>
      </x:c>
      <x:c r="K152" s="8" t="n">
        <x:v>4</x:v>
      </x:c>
      <x:c r="L152" s="9" t="n">
        <x:v>349</x:v>
      </x:c>
      <x:c r="M152" s="23" t="n">
        <x:v>0</x:v>
      </x:c>
      <x:c r="N152" s="8" t="str">
        <x:v>Net Banking</x:v>
      </x:c>
      <x:c r="O152" s="8" t="str">
        <x:v>Completed</x:v>
      </x:c>
    </x:row>
    <x:row r="153">
      <x:c r="A153" s="8" t="str">
        <x:v>ORD-0149</x:v>
      </x:c>
      <x:c r="B153" s="22" t="n">
        <x:v>45887.177917002315</x:v>
      </x:c>
      <x:c r="C153" s="8" t="str">
        <x:v>CUS-056</x:v>
      </x:c>
      <x:c r="D153" s="8" t="str">
        <x:v>Pooja Saxena 3</x:v>
      </x:c>
      <x:c r="E153" s="8" t="str">
        <x:v>Corporate</x:v>
      </x:c>
      <x:c r="F153" s="8" t="str">
        <x:v>Hyderabad</x:v>
      </x:c>
      <x:c r="G153" s="8" t="str">
        <x:v>South</x:v>
      </x:c>
      <x:c r="H153" s="8" t="str">
        <x:v>PRD-011</x:v>
      </x:c>
      <x:c r="I153" s="8" t="str">
        <x:v>Classic Wallet</x:v>
      </x:c>
      <x:c r="J153" s="8" t="str">
        <x:v>Fashion</x:v>
      </x:c>
      <x:c r="K153" s="8" t="n">
        <x:v>4</x:v>
      </x:c>
      <x:c r="L153" s="9" t="n">
        <x:v>1199</x:v>
      </x:c>
      <x:c r="M153" s="23" t="n">
        <x:v>0.2</x:v>
      </x:c>
      <x:c r="N153" s="8" t="str">
        <x:v>UPI</x:v>
      </x:c>
      <x:c r="O153" s="8" t="str">
        <x:v>Completed</x:v>
      </x:c>
    </x:row>
    <x:row r="154">
      <x:c r="A154" s="8" t="str">
        <x:v>ORD-0150</x:v>
      </x:c>
      <x:c r="B154" s="22" t="n">
        <x:v>45746.77383116898</x:v>
      </x:c>
      <x:c r="C154" s="8" t="str">
        <x:v>CUS-015</x:v>
      </x:c>
      <x:c r="D154" s="8" t="str">
        <x:v>Karan Malhotra</x:v>
      </x:c>
      <x:c r="E154" s="8" t="str">
        <x:v>Small Business</x:v>
      </x:c>
      <x:c r="F154" s="8" t="str">
        <x:v>Jaipur</x:v>
      </x:c>
      <x:c r="G154" s="8" t="str">
        <x:v>North</x:v>
      </x:c>
      <x:c r="H154" s="8" t="str">
        <x:v>PRD-006</x:v>
      </x:c>
      <x:c r="I154" s="8" t="str">
        <x:v>Desk Organiser</x:v>
      </x:c>
      <x:c r="J154" s="8" t="str">
        <x:v>Office Supplies</x:v>
      </x:c>
      <x:c r="K154" s="8" t="n">
        <x:v>2</x:v>
      </x:c>
      <x:c r="L154" s="9" t="n">
        <x:v>699</x:v>
      </x:c>
      <x:c r="M154" s="23" t="n">
        <x:v>0</x:v>
      </x:c>
      <x:c r="N154" s="8" t="str">
        <x:v>Debit Card</x:v>
      </x:c>
      <x:c r="O154" s="8" t="str">
        <x:v>Completed</x:v>
      </x:c>
    </x:row>
    <x:row r="155">
      <x:c r="A155" s="8" t="str">
        <x:v>ORD-0151</x:v>
      </x:c>
      <x:c r="B155" s="22" t="n">
        <x:v>45692.09517922454</x:v>
      </x:c>
      <x:c r="C155" s="8" t="str">
        <x:v>CUS-042</x:v>
      </x:c>
      <x:c r="D155" s="8" t="str">
        <x:v>Diya Patel 3</x:v>
      </x:c>
      <x:c r="E155" s="8" t="str">
        <x:v>Small Business</x:v>
      </x:c>
      <x:c r="F155" s="8" t="str">
        <x:v>Mumbai</x:v>
      </x:c>
      <x:c r="G155" s="8" t="str">
        <x:v>West</x:v>
      </x:c>
      <x:c r="H155" s="8" t="str">
        <x:v>PRD-005</x:v>
      </x:c>
      <x:c r="I155" s="8" t="str">
        <x:v>Executive Notebook</x:v>
      </x:c>
      <x:c r="J155" s="8" t="str">
        <x:v>Office Supplies</x:v>
      </x:c>
      <x:c r="K155" s="8" t="n">
        <x:v>1</x:v>
      </x:c>
      <x:c r="L155" s="9" t="n">
        <x:v>349</x:v>
      </x:c>
      <x:c r="M155" s="23" t="n">
        <x:v>0</x:v>
      </x:c>
      <x:c r="N155" s="8" t="str">
        <x:v>Credit Card</x:v>
      </x:c>
      <x:c r="O155" s="8" t="str">
        <x:v>Completed</x:v>
      </x:c>
    </x:row>
    <x:row r="156">
      <x:c r="A156" s="8" t="str">
        <x:v>ORD-0152</x:v>
      </x:c>
      <x:c r="B156" s="22" t="n">
        <x:v>45744.754566261574</x:v>
      </x:c>
      <x:c r="C156" s="8" t="str">
        <x:v>CUS-002</x:v>
      </x:c>
      <x:c r="D156" s="8" t="str">
        <x:v>Diya Patel</x:v>
      </x:c>
      <x:c r="E156" s="8" t="str">
        <x:v>Corporate</x:v>
      </x:c>
      <x:c r="F156" s="8" t="str">
        <x:v>Pune</x:v>
      </x:c>
      <x:c r="G156" s="8" t="str">
        <x:v>West</x:v>
      </x:c>
      <x:c r="H156" s="8" t="str">
        <x:v>PRD-003</x:v>
      </x:c>
      <x:c r="I156" s="8" t="str">
        <x:v>USB-C Hub</x:v>
      </x:c>
      <x:c r="J156" s="8" t="str">
        <x:v>Electronics</x:v>
      </x:c>
      <x:c r="K156" s="8" t="n">
        <x:v>2</x:v>
      </x:c>
      <x:c r="L156" s="9" t="n">
        <x:v>1899</x:v>
      </x:c>
      <x:c r="M156" s="23" t="n">
        <x:v>0.2</x:v>
      </x:c>
      <x:c r="N156" s="8" t="str">
        <x:v>Credit Card</x:v>
      </x:c>
      <x:c r="O156" s="8" t="str">
        <x:v>Cancelled</x:v>
      </x:c>
    </x:row>
    <x:row r="157">
      <x:c r="A157" s="8" t="str">
        <x:v>ORD-0153</x:v>
      </x:c>
      <x:c r="B157" s="22" t="n">
        <x:v>45717.88448914352</x:v>
      </x:c>
      <x:c r="C157" s="8" t="str">
        <x:v>CUS-030</x:v>
      </x:c>
      <x:c r="D157" s="8" t="str">
        <x:v>Saanvi Iyer 2</x:v>
      </x:c>
      <x:c r="E157" s="8" t="str">
        <x:v>Small Business</x:v>
      </x:c>
      <x:c r="F157" s="8" t="str">
        <x:v>Lucknow</x:v>
      </x:c>
      <x:c r="G157" s="8" t="str">
        <x:v>North</x:v>
      </x:c>
      <x:c r="H157" s="8" t="str">
        <x:v>PRD-002</x:v>
      </x:c>
      <x:c r="I157" s="8" t="str">
        <x:v>Bluetooth Headphones</x:v>
      </x:c>
      <x:c r="J157" s="8" t="str">
        <x:v>Electronics</x:v>
      </x:c>
      <x:c r="K157" s="8" t="n">
        <x:v>2</x:v>
      </x:c>
      <x:c r="L157" s="9" t="n">
        <x:v>2499</x:v>
      </x:c>
      <x:c r="M157" s="23" t="n">
        <x:v>0.2</x:v>
      </x:c>
      <x:c r="N157" s="8" t="str">
        <x:v>Cash on Delivery</x:v>
      </x:c>
      <x:c r="O157" s="8" t="str">
        <x:v>Returned</x:v>
      </x:c>
    </x:row>
    <x:row r="158">
      <x:c r="A158" s="8" t="str">
        <x:v>ORD-0154</x:v>
      </x:c>
      <x:c r="B158" s="22" t="n">
        <x:v>45787.03458358796</x:v>
      </x:c>
      <x:c r="C158" s="8" t="str">
        <x:v>CUS-066</x:v>
      </x:c>
      <x:c r="D158" s="8" t="str">
        <x:v>Isha Mehta 4</x:v>
      </x:c>
      <x:c r="E158" s="8" t="str">
        <x:v>Small Business</x:v>
      </x:c>
      <x:c r="F158" s="8" t="str">
        <x:v>Jaipur</x:v>
      </x:c>
      <x:c r="G158" s="8" t="str">
        <x:v>North</x:v>
      </x:c>
      <x:c r="H158" s="8" t="str">
        <x:v>PRD-001</x:v>
      </x:c>
      <x:c r="I158" s="8" t="str">
        <x:v>Wireless Mouse</x:v>
      </x:c>
      <x:c r="J158" s="8" t="str">
        <x:v>Electronics</x:v>
      </x:c>
      <x:c r="K158" s="8" t="n">
        <x:v>4</x:v>
      </x:c>
      <x:c r="L158" s="9" t="n">
        <x:v>899</x:v>
      </x:c>
      <x:c r="M158" s="23" t="n">
        <x:v>0</x:v>
      </x:c>
      <x:c r="N158" s="8" t="str">
        <x:v>Net Banking</x:v>
      </x:c>
      <x:c r="O158" s="8" t="str">
        <x:v>Completed</x:v>
      </x:c>
    </x:row>
    <x:row r="159">
      <x:c r="A159" s="8" t="str">
        <x:v>ORD-0155</x:v>
      </x:c>
      <x:c r="B159" s="22" t="n">
        <x:v>46008.16357384259</x:v>
      </x:c>
      <x:c r="C159" s="8" t="str">
        <x:v>CUS-017</x:v>
      </x:c>
      <x:c r="D159" s="8" t="str">
        <x:v>Vikram Yadav</x:v>
      </x:c>
      <x:c r="E159" s="8" t="str">
        <x:v>Corporate</x:v>
      </x:c>
      <x:c r="F159" s="8" t="str">
        <x:v>Chennai</x:v>
      </x:c>
      <x:c r="G159" s="8" t="str">
        <x:v>South</x:v>
      </x:c>
      <x:c r="H159" s="8" t="str">
        <x:v>PRD-004</x:v>
      </x:c>
      <x:c r="I159" s="8" t="str">
        <x:v>Laptop Stand</x:v>
      </x:c>
      <x:c r="J159" s="8" t="str">
        <x:v>Office Supplies</x:v>
      </x:c>
      <x:c r="K159" s="8" t="n">
        <x:v>1</x:v>
      </x:c>
      <x:c r="L159" s="9" t="n">
        <x:v>1299</x:v>
      </x:c>
      <x:c r="M159" s="23" t="n">
        <x:v>0</x:v>
      </x:c>
      <x:c r="N159" s="8" t="str">
        <x:v>Cash on Delivery</x:v>
      </x:c>
      <x:c r="O159" s="8" t="str">
        <x:v>Completed</x:v>
      </x:c>
    </x:row>
    <x:row r="160">
      <x:c r="A160" s="8" t="str">
        <x:v>ORD-0156</x:v>
      </x:c>
      <x:c r="B160" s="22" t="n">
        <x:v>45859.182949456015</x:v>
      </x:c>
      <x:c r="C160" s="8" t="str">
        <x:v>CUS-021</x:v>
      </x:c>
      <x:c r="D160" s="8" t="str">
        <x:v>Aarav Sharma 2</x:v>
      </x:c>
      <x:c r="E160" s="8" t="str">
        <x:v>Small Business</x:v>
      </x:c>
      <x:c r="F160" s="8" t="str">
        <x:v>Kolkata</x:v>
      </x:c>
      <x:c r="G160" s="8" t="str">
        <x:v>East</x:v>
      </x:c>
      <x:c r="H160" s="8" t="str">
        <x:v>PRD-004</x:v>
      </x:c>
      <x:c r="I160" s="8" t="str">
        <x:v>Laptop Stand</x:v>
      </x:c>
      <x:c r="J160" s="8" t="str">
        <x:v>Office Supplies</x:v>
      </x:c>
      <x:c r="K160" s="8" t="n">
        <x:v>2</x:v>
      </x:c>
      <x:c r="L160" s="9" t="n">
        <x:v>1299</x:v>
      </x:c>
      <x:c r="M160" s="23" t="n">
        <x:v>0</x:v>
      </x:c>
      <x:c r="N160" s="8" t="str">
        <x:v>Debit Card</x:v>
      </x:c>
      <x:c r="O160" s="8" t="str">
        <x:v>Completed</x:v>
      </x:c>
    </x:row>
    <x:row r="161">
      <x:c r="A161" s="8" t="str">
        <x:v>ORD-0157</x:v>
      </x:c>
      <x:c r="B161" s="22" t="n">
        <x:v>45988.727517708336</x:v>
      </x:c>
      <x:c r="C161" s="8" t="str">
        <x:v>CUS-075</x:v>
      </x:c>
      <x:c r="D161" s="8" t="str">
        <x:v>Karan Malhotra 4</x:v>
      </x:c>
      <x:c r="E161" s="8" t="str">
        <x:v>Small Business</x:v>
      </x:c>
      <x:c r="F161" s="8" t="str">
        <x:v>Ahmedabad</x:v>
      </x:c>
      <x:c r="G161" s="8" t="str">
        <x:v>West</x:v>
      </x:c>
      <x:c r="H161" s="8" t="str">
        <x:v>PRD-007</x:v>
      </x:c>
      <x:c r="I161" s="8" t="str">
        <x:v>Electric Kettle</x:v>
      </x:c>
      <x:c r="J161" s="8" t="str">
        <x:v>Home &amp; Kitchen</x:v>
      </x:c>
      <x:c r="K161" s="8" t="n">
        <x:v>1</x:v>
      </x:c>
      <x:c r="L161" s="9" t="n">
        <x:v>1699</x:v>
      </x:c>
      <x:c r="M161" s="23" t="n">
        <x:v>0.1</x:v>
      </x:c>
      <x:c r="N161" s="8" t="str">
        <x:v>Cash on Delivery</x:v>
      </x:c>
      <x:c r="O161" s="8" t="str">
        <x:v>Completed</x:v>
      </x:c>
    </x:row>
    <x:row r="162">
      <x:c r="A162" s="8" t="str">
        <x:v>ORD-0158</x:v>
      </x:c>
      <x:c r="B162" s="22" t="n">
        <x:v>45784.38780561343</x:v>
      </x:c>
      <x:c r="C162" s="8" t="str">
        <x:v>CUS-073</x:v>
      </x:c>
      <x:c r="D162" s="8" t="str">
        <x:v>Rahul Mishra 4</x:v>
      </x:c>
      <x:c r="E162" s="8" t="str">
        <x:v>Consumer</x:v>
      </x:c>
      <x:c r="F162" s="8" t="str">
        <x:v>Jaipur</x:v>
      </x:c>
      <x:c r="G162" s="8" t="str">
        <x:v>North</x:v>
      </x:c>
      <x:c r="H162" s="8" t="str">
        <x:v>PRD-007</x:v>
      </x:c>
      <x:c r="I162" s="8" t="str">
        <x:v>Electric Kettle</x:v>
      </x:c>
      <x:c r="J162" s="8" t="str">
        <x:v>Home &amp; Kitchen</x:v>
      </x:c>
      <x:c r="K162" s="8" t="n">
        <x:v>5</x:v>
      </x:c>
      <x:c r="L162" s="9" t="n">
        <x:v>1699</x:v>
      </x:c>
      <x:c r="M162" s="23" t="n">
        <x:v>0</x:v>
      </x:c>
      <x:c r="N162" s="8" t="str">
        <x:v>Debit Card</x:v>
      </x:c>
      <x:c r="O162" s="8" t="str">
        <x:v>Cancelled</x:v>
      </x:c>
    </x:row>
    <x:row r="163">
      <x:c r="A163" s="8" t="str">
        <x:v>ORD-0159</x:v>
      </x:c>
      <x:c r="B163" s="22" t="n">
        <x:v>45828.02965045139</x:v>
      </x:c>
      <x:c r="C163" s="8" t="str">
        <x:v>CUS-065</x:v>
      </x:c>
      <x:c r="D163" s="8" t="str">
        <x:v>Arjun Verma 4</x:v>
      </x:c>
      <x:c r="E163" s="8" t="str">
        <x:v>Corporate</x:v>
      </x:c>
      <x:c r="F163" s="8" t="str">
        <x:v>Chennai</x:v>
      </x:c>
      <x:c r="G163" s="8" t="str">
        <x:v>South</x:v>
      </x:c>
      <x:c r="H163" s="8" t="str">
        <x:v>PRD-001</x:v>
      </x:c>
      <x:c r="I163" s="8" t="str">
        <x:v>Wireless Mouse</x:v>
      </x:c>
      <x:c r="J163" s="8" t="str">
        <x:v>Electronics</x:v>
      </x:c>
      <x:c r="K163" s="8" t="n">
        <x:v>2</x:v>
      </x:c>
      <x:c r="L163" s="9" t="n">
        <x:v>899</x:v>
      </x:c>
      <x:c r="M163" s="23" t="n">
        <x:v>0.05</x:v>
      </x:c>
      <x:c r="N163" s="8" t="str">
        <x:v>Net Banking</x:v>
      </x:c>
      <x:c r="O163" s="8" t="str">
        <x:v>Completed</x:v>
      </x:c>
    </x:row>
    <x:row r="164">
      <x:c r="A164" s="8" t="str">
        <x:v>ORD-0160</x:v>
      </x:c>
      <x:c r="B164" s="22" t="n">
        <x:v>45765.321267719904</x:v>
      </x:c>
      <x:c r="C164" s="8" t="str">
        <x:v>CUS-042</x:v>
      </x:c>
      <x:c r="D164" s="8" t="str">
        <x:v>Diya Patel 3</x:v>
      </x:c>
      <x:c r="E164" s="8" t="str">
        <x:v>Small Business</x:v>
      </x:c>
      <x:c r="F164" s="8" t="str">
        <x:v>Kolkata</x:v>
      </x:c>
      <x:c r="G164" s="8" t="str">
        <x:v>East</x:v>
      </x:c>
      <x:c r="H164" s="8" t="str">
        <x:v>PRD-006</x:v>
      </x:c>
      <x:c r="I164" s="8" t="str">
        <x:v>Desk Organiser</x:v>
      </x:c>
      <x:c r="J164" s="8" t="str">
        <x:v>Office Supplies</x:v>
      </x:c>
      <x:c r="K164" s="8" t="n">
        <x:v>5</x:v>
      </x:c>
      <x:c r="L164" s="9" t="n">
        <x:v>699</x:v>
      </x:c>
      <x:c r="M164" s="23" t="n">
        <x:v>0.2</x:v>
      </x:c>
      <x:c r="N164" s="8" t="str">
        <x:v>UPI</x:v>
      </x:c>
      <x:c r="O164" s="8" t="str">
        <x:v>Completed</x:v>
      </x:c>
    </x:row>
    <x:row r="165">
      <x:c r="A165" s="8" t="str">
        <x:v>ORD-0161</x:v>
      </x:c>
      <x:c r="B165" s="22" t="n">
        <x:v>45851.25318991898</x:v>
      </x:c>
      <x:c r="C165" s="8" t="str">
        <x:v>CUS-041</x:v>
      </x:c>
      <x:c r="D165" s="8" t="str">
        <x:v>Aarav Sharma 3</x:v>
      </x:c>
      <x:c r="E165" s="8" t="str">
        <x:v>Corporate</x:v>
      </x:c>
      <x:c r="F165" s="8" t="str">
        <x:v>Delhi</x:v>
      </x:c>
      <x:c r="G165" s="8" t="str">
        <x:v>North</x:v>
      </x:c>
      <x:c r="H165" s="8" t="str">
        <x:v>PRD-008</x:v>
      </x:c>
      <x:c r="I165" s="8" t="str">
        <x:v>Storage Container Set</x:v>
      </x:c>
      <x:c r="J165" s="8" t="str">
        <x:v>Home &amp; Kitchen</x:v>
      </x:c>
      <x:c r="K165" s="8" t="n">
        <x:v>2</x:v>
      </x:c>
      <x:c r="L165" s="9" t="n">
        <x:v>999</x:v>
      </x:c>
      <x:c r="M165" s="23" t="n">
        <x:v>0.2</x:v>
      </x:c>
      <x:c r="N165" s="8" t="str">
        <x:v>Net Banking</x:v>
      </x:c>
      <x:c r="O165" s="8" t="str">
        <x:v>Completed</x:v>
      </x:c>
    </x:row>
    <x:row r="166">
      <x:c r="A166" s="8" t="str">
        <x:v>ORD-0162</x:v>
      </x:c>
      <x:c r="B166" s="22" t="n">
        <x:v>46015.240425474534</x:v>
      </x:c>
      <x:c r="C166" s="8" t="str">
        <x:v>CUS-041</x:v>
      </x:c>
      <x:c r="D166" s="8" t="str">
        <x:v>Aarav Sharma 3</x:v>
      </x:c>
      <x:c r="E166" s="8" t="str">
        <x:v>Corporate</x:v>
      </x:c>
      <x:c r="F166" s="8" t="str">
        <x:v>Delhi</x:v>
      </x:c>
      <x:c r="G166" s="8" t="str">
        <x:v>North</x:v>
      </x:c>
      <x:c r="H166" s="8" t="str">
        <x:v>PRD-012</x:v>
      </x:c>
      <x:c r="I166" s="8" t="str">
        <x:v>Stainless Water Bottle</x:v>
      </x:c>
      <x:c r="J166" s="8" t="str">
        <x:v>Lifestyle</x:v>
      </x:c>
      <x:c r="K166" s="8" t="n">
        <x:v>1</x:v>
      </x:c>
      <x:c r="L166" s="9" t="n">
        <x:v>799</x:v>
      </x:c>
      <x:c r="M166" s="23" t="n">
        <x:v>0.15</x:v>
      </x:c>
      <x:c r="N166" s="8" t="str">
        <x:v>Net Banking</x:v>
      </x:c>
      <x:c r="O166" s="8" t="str">
        <x:v>Completed</x:v>
      </x:c>
    </x:row>
    <x:row r="167">
      <x:c r="A167" s="8" t="str">
        <x:v>ORD-0163</x:v>
      </x:c>
      <x:c r="B167" s="22" t="n">
        <x:v>45708.57637798611</x:v>
      </x:c>
      <x:c r="C167" s="8" t="str">
        <x:v>CUS-047</x:v>
      </x:c>
      <x:c r="D167" s="8" t="str">
        <x:v>Kabir Khan 3</x:v>
      </x:c>
      <x:c r="E167" s="8" t="str">
        <x:v>Corporate</x:v>
      </x:c>
      <x:c r="F167" s="8" t="str">
        <x:v>Bengaluru</x:v>
      </x:c>
      <x:c r="G167" s="8" t="str">
        <x:v>South</x:v>
      </x:c>
      <x:c r="H167" s="8" t="str">
        <x:v>PRD-005</x:v>
      </x:c>
      <x:c r="I167" s="8" t="str">
        <x:v>Executive Notebook</x:v>
      </x:c>
      <x:c r="J167" s="8" t="str">
        <x:v>Office Supplies</x:v>
      </x:c>
      <x:c r="K167" s="8" t="n">
        <x:v>4</x:v>
      </x:c>
      <x:c r="L167" s="9" t="n">
        <x:v>349</x:v>
      </x:c>
      <x:c r="M167" s="23" t="n">
        <x:v>0.1</x:v>
      </x:c>
      <x:c r="N167" s="8" t="str">
        <x:v>Cash on Delivery</x:v>
      </x:c>
      <x:c r="O167" s="8" t="str">
        <x:v>Cancelled</x:v>
      </x:c>
    </x:row>
    <x:row r="168">
      <x:c r="A168" s="8" t="str">
        <x:v>ORD-0164</x:v>
      </x:c>
      <x:c r="B168" s="22" t="n">
        <x:v>45925.07637618056</x:v>
      </x:c>
      <x:c r="C168" s="8" t="str">
        <x:v>CUS-043</x:v>
      </x:c>
      <x:c r="D168" s="8" t="str">
        <x:v>Vihaan Singh 3</x:v>
      </x:c>
      <x:c r="E168" s="8" t="str">
        <x:v>Consumer</x:v>
      </x:c>
      <x:c r="F168" s="8" t="str">
        <x:v>Mumbai</x:v>
      </x:c>
      <x:c r="G168" s="8" t="str">
        <x:v>West</x:v>
      </x:c>
      <x:c r="H168" s="8" t="str">
        <x:v>PRD-004</x:v>
      </x:c>
      <x:c r="I168" s="8" t="str">
        <x:v>Laptop Stand</x:v>
      </x:c>
      <x:c r="J168" s="8" t="str">
        <x:v>Office Supplies</x:v>
      </x:c>
      <x:c r="K168" s="8" t="n">
        <x:v>5</x:v>
      </x:c>
      <x:c r="L168" s="9" t="n">
        <x:v>1299</x:v>
      </x:c>
      <x:c r="M168" s="23" t="n">
        <x:v>0.1</x:v>
      </x:c>
      <x:c r="N168" s="8" t="str">
        <x:v>Debit Card</x:v>
      </x:c>
      <x:c r="O168" s="8" t="str">
        <x:v>Completed</x:v>
      </x:c>
    </x:row>
    <x:row r="169">
      <x:c r="A169" s="8" t="str">
        <x:v>ORD-0165</x:v>
      </x:c>
      <x:c r="B169" s="22" t="n">
        <x:v>45858.756285069445</x:v>
      </x:c>
      <x:c r="C169" s="8" t="str">
        <x:v>CUS-001</x:v>
      </x:c>
      <x:c r="D169" s="8" t="str">
        <x:v>Aarav Sharma</x:v>
      </x:c>
      <x:c r="E169" s="8" t="str">
        <x:v>Consumer</x:v>
      </x:c>
      <x:c r="F169" s="8" t="str">
        <x:v>Pune</x:v>
      </x:c>
      <x:c r="G169" s="8" t="str">
        <x:v>West</x:v>
      </x:c>
      <x:c r="H169" s="8" t="str">
        <x:v>PRD-006</x:v>
      </x:c>
      <x:c r="I169" s="8" t="str">
        <x:v>Desk Organiser</x:v>
      </x:c>
      <x:c r="J169" s="8" t="str">
        <x:v>Office Supplies</x:v>
      </x:c>
      <x:c r="K169" s="8" t="n">
        <x:v>5</x:v>
      </x:c>
      <x:c r="L169" s="9" t="n">
        <x:v>699</x:v>
      </x:c>
      <x:c r="M169" s="23" t="n">
        <x:v>0.15</x:v>
      </x:c>
      <x:c r="N169" s="8" t="str">
        <x:v>UPI</x:v>
      </x:c>
      <x:c r="O169" s="8" t="str">
        <x:v>Completed</x:v>
      </x:c>
    </x:row>
    <x:row r="170">
      <x:c r="A170" s="8" t="str">
        <x:v>ORD-0166</x:v>
      </x:c>
      <x:c r="B170" s="22" t="n">
        <x:v>45756.854312731484</x:v>
      </x:c>
      <x:c r="C170" s="8" t="str">
        <x:v>CUS-067</x:v>
      </x:c>
      <x:c r="D170" s="8" t="str">
        <x:v>Kabir Khan 4</x:v>
      </x:c>
      <x:c r="E170" s="8" t="str">
        <x:v>Consumer</x:v>
      </x:c>
      <x:c r="F170" s="8" t="str">
        <x:v>Pune</x:v>
      </x:c>
      <x:c r="G170" s="8" t="str">
        <x:v>West</x:v>
      </x:c>
      <x:c r="H170" s="8" t="str">
        <x:v>PRD-006</x:v>
      </x:c>
      <x:c r="I170" s="8" t="str">
        <x:v>Desk Organiser</x:v>
      </x:c>
      <x:c r="J170" s="8" t="str">
        <x:v>Office Supplies</x:v>
      </x:c>
      <x:c r="K170" s="8" t="n">
        <x:v>5</x:v>
      </x:c>
      <x:c r="L170" s="9" t="n">
        <x:v>699</x:v>
      </x:c>
      <x:c r="M170" s="23" t="n">
        <x:v>0.2</x:v>
      </x:c>
      <x:c r="N170" s="8" t="str">
        <x:v>Credit Card</x:v>
      </x:c>
      <x:c r="O170" s="8" t="str">
        <x:v>Completed</x:v>
      </x:c>
    </x:row>
    <x:row r="171">
      <x:c r="A171" s="8" t="str">
        <x:v>ORD-0167</x:v>
      </x:c>
      <x:c r="B171" s="22" t="n">
        <x:v>45735.54925228009</x:v>
      </x:c>
      <x:c r="C171" s="8" t="str">
        <x:v>CUS-076</x:v>
      </x:c>
      <x:c r="D171" s="8" t="str">
        <x:v>Pooja Saxena 4</x:v>
      </x:c>
      <x:c r="E171" s="8" t="str">
        <x:v>Consumer</x:v>
      </x:c>
      <x:c r="F171" s="8" t="str">
        <x:v>Delhi</x:v>
      </x:c>
      <x:c r="G171" s="8" t="str">
        <x:v>North</x:v>
      </x:c>
      <x:c r="H171" s="8" t="str">
        <x:v>PRD-004</x:v>
      </x:c>
      <x:c r="I171" s="8" t="str">
        <x:v>Laptop Stand</x:v>
      </x:c>
      <x:c r="J171" s="8" t="str">
        <x:v>Office Supplies</x:v>
      </x:c>
      <x:c r="K171" s="8" t="n">
        <x:v>1</x:v>
      </x:c>
      <x:c r="L171" s="9" t="n">
        <x:v>1299</x:v>
      </x:c>
      <x:c r="M171" s="23" t="n">
        <x:v>0.05</x:v>
      </x:c>
      <x:c r="N171" s="8" t="str">
        <x:v>Debit Card</x:v>
      </x:c>
      <x:c r="O171" s="8" t="str">
        <x:v>Returned</x:v>
      </x:c>
    </x:row>
    <x:row r="172">
      <x:c r="A172" s="8" t="str">
        <x:v>ORD-0168</x:v>
      </x:c>
      <x:c r="B172" s="22" t="n">
        <x:v>46005.008781226854</x:v>
      </x:c>
      <x:c r="C172" s="8" t="str">
        <x:v>CUS-028</x:v>
      </x:c>
      <x:c r="D172" s="8" t="str">
        <x:v>Meera Nair 2</x:v>
      </x:c>
      <x:c r="E172" s="8" t="str">
        <x:v>Consumer</x:v>
      </x:c>
      <x:c r="F172" s="8" t="str">
        <x:v>Pune</x:v>
      </x:c>
      <x:c r="G172" s="8" t="str">
        <x:v>West</x:v>
      </x:c>
      <x:c r="H172" s="8" t="str">
        <x:v>PRD-011</x:v>
      </x:c>
      <x:c r="I172" s="8" t="str">
        <x:v>Classic Wallet</x:v>
      </x:c>
      <x:c r="J172" s="8" t="str">
        <x:v>Fashion</x:v>
      </x:c>
      <x:c r="K172" s="8" t="n">
        <x:v>2</x:v>
      </x:c>
      <x:c r="L172" s="9" t="n">
        <x:v>1199</x:v>
      </x:c>
      <x:c r="M172" s="23" t="n">
        <x:v>0.15</x:v>
      </x:c>
      <x:c r="N172" s="8" t="str">
        <x:v>Cash on Delivery</x:v>
      </x:c>
      <x:c r="O172" s="8" t="str">
        <x:v>Returned</x:v>
      </x:c>
    </x:row>
    <x:row r="173">
      <x:c r="A173" s="8" t="str">
        <x:v>ORD-0169</x:v>
      </x:c>
      <x:c r="B173" s="22" t="n">
        <x:v>45992.39101042824</x:v>
      </x:c>
      <x:c r="C173" s="8" t="str">
        <x:v>CUS-077</x:v>
      </x:c>
      <x:c r="D173" s="8" t="str">
        <x:v>Vikram Yadav 4</x:v>
      </x:c>
      <x:c r="E173" s="8" t="str">
        <x:v>Corporate</x:v>
      </x:c>
      <x:c r="F173" s="8" t="str">
        <x:v>Chennai</x:v>
      </x:c>
      <x:c r="G173" s="8" t="str">
        <x:v>South</x:v>
      </x:c>
      <x:c r="H173" s="8" t="str">
        <x:v>PRD-001</x:v>
      </x:c>
      <x:c r="I173" s="8" t="str">
        <x:v>Wireless Mouse</x:v>
      </x:c>
      <x:c r="J173" s="8" t="str">
        <x:v>Electronics</x:v>
      </x:c>
      <x:c r="K173" s="8" t="n">
        <x:v>4</x:v>
      </x:c>
      <x:c r="L173" s="9" t="n">
        <x:v>899</x:v>
      </x:c>
      <x:c r="M173" s="23" t="n">
        <x:v>0</x:v>
      </x:c>
      <x:c r="N173" s="8" t="str">
        <x:v>Debit Card</x:v>
      </x:c>
      <x:c r="O173" s="8" t="str">
        <x:v>Completed</x:v>
      </x:c>
    </x:row>
    <x:row r="174">
      <x:c r="A174" s="8" t="str">
        <x:v>ORD-0170</x:v>
      </x:c>
      <x:c r="B174" s="22" t="n">
        <x:v>45936.28255525463</x:v>
      </x:c>
      <x:c r="C174" s="8" t="str">
        <x:v>CUS-036</x:v>
      </x:c>
      <x:c r="D174" s="8" t="str">
        <x:v>Pooja Saxena 2</x:v>
      </x:c>
      <x:c r="E174" s="8" t="str">
        <x:v>Small Business</x:v>
      </x:c>
      <x:c r="F174" s="8" t="str">
        <x:v>Pune</x:v>
      </x:c>
      <x:c r="G174" s="8" t="str">
        <x:v>West</x:v>
      </x:c>
      <x:c r="H174" s="8" t="str">
        <x:v>PRD-005</x:v>
      </x:c>
      <x:c r="I174" s="8" t="str">
        <x:v>Executive Notebook</x:v>
      </x:c>
      <x:c r="J174" s="8" t="str">
        <x:v>Office Supplies</x:v>
      </x:c>
      <x:c r="K174" s="8" t="n">
        <x:v>2</x:v>
      </x:c>
      <x:c r="L174" s="9" t="n">
        <x:v>349</x:v>
      </x:c>
      <x:c r="M174" s="23" t="n">
        <x:v>0</x:v>
      </x:c>
      <x:c r="N174" s="8" t="str">
        <x:v>Cash on Delivery</x:v>
      </x:c>
      <x:c r="O174" s="8" t="str">
        <x:v>Returned</x:v>
      </x:c>
    </x:row>
    <x:row r="175">
      <x:c r="A175" s="8" t="str">
        <x:v>ORD-0171</x:v>
      </x:c>
      <x:c r="B175" s="22" t="n">
        <x:v>45977.92879689815</x:v>
      </x:c>
      <x:c r="C175" s="8" t="str">
        <x:v>CUS-020</x:v>
      </x:c>
      <x:c r="D175" s="8" t="str">
        <x:v>Kavya Reddy</x:v>
      </x:c>
      <x:c r="E175" s="8" t="str">
        <x:v>Corporate</x:v>
      </x:c>
      <x:c r="F175" s="8" t="str">
        <x:v>Ahmedabad</x:v>
      </x:c>
      <x:c r="G175" s="8" t="str">
        <x:v>West</x:v>
      </x:c>
      <x:c r="H175" s="8" t="str">
        <x:v>PRD-010</x:v>
      </x:c>
      <x:c r="I175" s="8" t="str">
        <x:v>Travel Backpack</x:v>
      </x:c>
      <x:c r="J175" s="8" t="str">
        <x:v>Fashion</x:v>
      </x:c>
      <x:c r="K175" s="8" t="n">
        <x:v>4</x:v>
      </x:c>
      <x:c r="L175" s="9" t="n">
        <x:v>2199</x:v>
      </x:c>
      <x:c r="M175" s="23" t="n">
        <x:v>0.05</x:v>
      </x:c>
      <x:c r="N175" s="8" t="str">
        <x:v>Credit Card</x:v>
      </x:c>
      <x:c r="O175" s="8" t="str">
        <x:v>Returned</x:v>
      </x:c>
    </x:row>
    <x:row r="176">
      <x:c r="A176" s="8" t="str">
        <x:v>ORD-0172</x:v>
      </x:c>
      <x:c r="B176" s="22" t="n">
        <x:v>45820.00070936343</x:v>
      </x:c>
      <x:c r="C176" s="8" t="str">
        <x:v>CUS-077</x:v>
      </x:c>
      <x:c r="D176" s="8" t="str">
        <x:v>Vikram Yadav 4</x:v>
      </x:c>
      <x:c r="E176" s="8" t="str">
        <x:v>Corporate</x:v>
      </x:c>
      <x:c r="F176" s="8" t="str">
        <x:v>Mumbai</x:v>
      </x:c>
      <x:c r="G176" s="8" t="str">
        <x:v>West</x:v>
      </x:c>
      <x:c r="H176" s="8" t="str">
        <x:v>PRD-010</x:v>
      </x:c>
      <x:c r="I176" s="8" t="str">
        <x:v>Travel Backpack</x:v>
      </x:c>
      <x:c r="J176" s="8" t="str">
        <x:v>Fashion</x:v>
      </x:c>
      <x:c r="K176" s="8" t="n">
        <x:v>1</x:v>
      </x:c>
      <x:c r="L176" s="9" t="n">
        <x:v>2199</x:v>
      </x:c>
      <x:c r="M176" s="23" t="n">
        <x:v>0</x:v>
      </x:c>
      <x:c r="N176" s="8" t="str">
        <x:v>Net Banking</x:v>
      </x:c>
      <x:c r="O176" s="8" t="str">
        <x:v>Completed</x:v>
      </x:c>
    </x:row>
    <x:row r="177">
      <x:c r="A177" s="8" t="str">
        <x:v>ORD-0173</x:v>
      </x:c>
      <x:c r="B177" s="22" t="n">
        <x:v>45752.42378040509</x:v>
      </x:c>
      <x:c r="C177" s="8" t="str">
        <x:v>CUS-078</x:v>
      </x:c>
      <x:c r="D177" s="8" t="str">
        <x:v>Nisha Bansal 4</x:v>
      </x:c>
      <x:c r="E177" s="8" t="str">
        <x:v>Small Business</x:v>
      </x:c>
      <x:c r="F177" s="8" t="str">
        <x:v>Ahmedabad</x:v>
      </x:c>
      <x:c r="G177" s="8" t="str">
        <x:v>West</x:v>
      </x:c>
      <x:c r="H177" s="8" t="str">
        <x:v>PRD-011</x:v>
      </x:c>
      <x:c r="I177" s="8" t="str">
        <x:v>Classic Wallet</x:v>
      </x:c>
      <x:c r="J177" s="8" t="str">
        <x:v>Fashion</x:v>
      </x:c>
      <x:c r="K177" s="8" t="n">
        <x:v>3</x:v>
      </x:c>
      <x:c r="L177" s="9" t="n">
        <x:v>1199</x:v>
      </x:c>
      <x:c r="M177" s="23" t="n">
        <x:v>0.2</x:v>
      </x:c>
      <x:c r="N177" s="8" t="str">
        <x:v>Debit Card</x:v>
      </x:c>
      <x:c r="O177" s="8" t="str">
        <x:v>Completed</x:v>
      </x:c>
    </x:row>
    <x:row r="178">
      <x:c r="A178" s="8" t="str">
        <x:v>ORD-0174</x:v>
      </x:c>
      <x:c r="B178" s="22" t="n">
        <x:v>45889.24131726852</x:v>
      </x:c>
      <x:c r="C178" s="8" t="str">
        <x:v>CUS-067</x:v>
      </x:c>
      <x:c r="D178" s="8" t="str">
        <x:v>Kabir Khan 4</x:v>
      </x:c>
      <x:c r="E178" s="8" t="str">
        <x:v>Consumer</x:v>
      </x:c>
      <x:c r="F178" s="8" t="str">
        <x:v>Pune</x:v>
      </x:c>
      <x:c r="G178" s="8" t="str">
        <x:v>West</x:v>
      </x:c>
      <x:c r="H178" s="8" t="str">
        <x:v>PRD-002</x:v>
      </x:c>
      <x:c r="I178" s="8" t="str">
        <x:v>Bluetooth Headphones</x:v>
      </x:c>
      <x:c r="J178" s="8" t="str">
        <x:v>Electronics</x:v>
      </x:c>
      <x:c r="K178" s="8" t="n">
        <x:v>1</x:v>
      </x:c>
      <x:c r="L178" s="9" t="n">
        <x:v>2499</x:v>
      </x:c>
      <x:c r="M178" s="23" t="n">
        <x:v>0</x:v>
      </x:c>
      <x:c r="N178" s="8" t="str">
        <x:v>UPI</x:v>
      </x:c>
      <x:c r="O178" s="8" t="str">
        <x:v>Completed</x:v>
      </x:c>
    </x:row>
    <x:row r="179">
      <x:c r="A179" s="8" t="str">
        <x:v>ORD-0175</x:v>
      </x:c>
      <x:c r="B179" s="22" t="n">
        <x:v>45790.601994571756</x:v>
      </x:c>
      <x:c r="C179" s="8" t="str">
        <x:v>CUS-028</x:v>
      </x:c>
      <x:c r="D179" s="8" t="str">
        <x:v>Meera Nair 2</x:v>
      </x:c>
      <x:c r="E179" s="8" t="str">
        <x:v>Consumer</x:v>
      </x:c>
      <x:c r="F179" s="8" t="str">
        <x:v>Delhi</x:v>
      </x:c>
      <x:c r="G179" s="8" t="str">
        <x:v>North</x:v>
      </x:c>
      <x:c r="H179" s="8" t="str">
        <x:v>PRD-002</x:v>
      </x:c>
      <x:c r="I179" s="8" t="str">
        <x:v>Bluetooth Headphones</x:v>
      </x:c>
      <x:c r="J179" s="8" t="str">
        <x:v>Electronics</x:v>
      </x:c>
      <x:c r="K179" s="8" t="n">
        <x:v>2</x:v>
      </x:c>
      <x:c r="L179" s="9" t="n">
        <x:v>2499</x:v>
      </x:c>
      <x:c r="M179" s="23" t="n">
        <x:v>0.05</x:v>
      </x:c>
      <x:c r="N179" s="8" t="str">
        <x:v>Credit Card</x:v>
      </x:c>
      <x:c r="O179" s="8" t="str">
        <x:v>Completed</x:v>
      </x:c>
    </x:row>
    <x:row r="180">
      <x:c r="A180" s="8" t="str">
        <x:v>ORD-0176</x:v>
      </x:c>
      <x:c r="B180" s="22" t="n">
        <x:v>45823.49707878472</x:v>
      </x:c>
      <x:c r="C180" s="8" t="str">
        <x:v>CUS-031</x:v>
      </x:c>
      <x:c r="D180" s="8" t="str">
        <x:v>Aditya Joshi 2</x:v>
      </x:c>
      <x:c r="E180" s="8" t="str">
        <x:v>Consumer</x:v>
      </x:c>
      <x:c r="F180" s="8" t="str">
        <x:v>Hyderabad</x:v>
      </x:c>
      <x:c r="G180" s="8" t="str">
        <x:v>South</x:v>
      </x:c>
      <x:c r="H180" s="8" t="str">
        <x:v>PRD-002</x:v>
      </x:c>
      <x:c r="I180" s="8" t="str">
        <x:v>Bluetooth Headphones</x:v>
      </x:c>
      <x:c r="J180" s="8" t="str">
        <x:v>Electronics</x:v>
      </x:c>
      <x:c r="K180" s="8" t="n">
        <x:v>1</x:v>
      </x:c>
      <x:c r="L180" s="9" t="n">
        <x:v>2499</x:v>
      </x:c>
      <x:c r="M180" s="23" t="n">
        <x:v>0.1</x:v>
      </x:c>
      <x:c r="N180" s="8" t="str">
        <x:v>Cash on Delivery</x:v>
      </x:c>
      <x:c r="O180" s="8" t="str">
        <x:v>Returned</x:v>
      </x:c>
    </x:row>
    <x:row r="181">
      <x:c r="A181" s="8" t="str">
        <x:v>ORD-0177</x:v>
      </x:c>
      <x:c r="B181" s="22" t="n">
        <x:v>45786.61841145833</x:v>
      </x:c>
      <x:c r="C181" s="8" t="str">
        <x:v>CUS-018</x:v>
      </x:c>
      <x:c r="D181" s="8" t="str">
        <x:v>Nisha Bansal</x:v>
      </x:c>
      <x:c r="E181" s="8" t="str">
        <x:v>Small Business</x:v>
      </x:c>
      <x:c r="F181" s="8" t="str">
        <x:v>Bengaluru</x:v>
      </x:c>
      <x:c r="G181" s="8" t="str">
        <x:v>South</x:v>
      </x:c>
      <x:c r="H181" s="8" t="str">
        <x:v>PRD-002</x:v>
      </x:c>
      <x:c r="I181" s="8" t="str">
        <x:v>Bluetooth Headphones</x:v>
      </x:c>
      <x:c r="J181" s="8" t="str">
        <x:v>Electronics</x:v>
      </x:c>
      <x:c r="K181" s="8" t="n">
        <x:v>5</x:v>
      </x:c>
      <x:c r="L181" s="9" t="n">
        <x:v>2499</x:v>
      </x:c>
      <x:c r="M181" s="23" t="n">
        <x:v>0.2</x:v>
      </x:c>
      <x:c r="N181" s="8" t="str">
        <x:v>Net Banking</x:v>
      </x:c>
      <x:c r="O181" s="8" t="str">
        <x:v>Cancelled</x:v>
      </x:c>
    </x:row>
    <x:row r="182">
      <x:c r="A182" s="8" t="str">
        <x:v>ORD-0178</x:v>
      </x:c>
      <x:c r="B182" s="22" t="n">
        <x:v>45698.624943587965</x:v>
      </x:c>
      <x:c r="C182" s="8" t="str">
        <x:v>CUS-073</x:v>
      </x:c>
      <x:c r="D182" s="8" t="str">
        <x:v>Rahul Mishra 4</x:v>
      </x:c>
      <x:c r="E182" s="8" t="str">
        <x:v>Consumer</x:v>
      </x:c>
      <x:c r="F182" s="8" t="str">
        <x:v>Ahmedabad</x:v>
      </x:c>
      <x:c r="G182" s="8" t="str">
        <x:v>West</x:v>
      </x:c>
      <x:c r="H182" s="8" t="str">
        <x:v>PRD-011</x:v>
      </x:c>
      <x:c r="I182" s="8" t="str">
        <x:v>Classic Wallet</x:v>
      </x:c>
      <x:c r="J182" s="8" t="str">
        <x:v>Fashion</x:v>
      </x:c>
      <x:c r="K182" s="8" t="n">
        <x:v>5</x:v>
      </x:c>
      <x:c r="L182" s="9" t="n">
        <x:v>1199</x:v>
      </x:c>
      <x:c r="M182" s="23" t="n">
        <x:v>0.05</x:v>
      </x:c>
      <x:c r="N182" s="8" t="str">
        <x:v>Cash on Delivery</x:v>
      </x:c>
      <x:c r="O182" s="8" t="str">
        <x:v>Completed</x:v>
      </x:c>
    </x:row>
    <x:row r="183">
      <x:c r="A183" s="8" t="str">
        <x:v>ORD-0179</x:v>
      </x:c>
      <x:c r="B183" s="22" t="n">
        <x:v>45762.197593993056</x:v>
      </x:c>
      <x:c r="C183" s="8" t="str">
        <x:v>CUS-066</x:v>
      </x:c>
      <x:c r="D183" s="8" t="str">
        <x:v>Isha Mehta 4</x:v>
      </x:c>
      <x:c r="E183" s="8" t="str">
        <x:v>Small Business</x:v>
      </x:c>
      <x:c r="F183" s="8" t="str">
        <x:v>Hyderabad</x:v>
      </x:c>
      <x:c r="G183" s="8" t="str">
        <x:v>South</x:v>
      </x:c>
      <x:c r="H183" s="8" t="str">
        <x:v>PRD-007</x:v>
      </x:c>
      <x:c r="I183" s="8" t="str">
        <x:v>Electric Kettle</x:v>
      </x:c>
      <x:c r="J183" s="8" t="str">
        <x:v>Home &amp; Kitchen</x:v>
      </x:c>
      <x:c r="K183" s="8" t="n">
        <x:v>2</x:v>
      </x:c>
      <x:c r="L183" s="9" t="n">
        <x:v>1699</x:v>
      </x:c>
      <x:c r="M183" s="23" t="n">
        <x:v>0</x:v>
      </x:c>
      <x:c r="N183" s="8" t="str">
        <x:v>Credit Card</x:v>
      </x:c>
      <x:c r="O183" s="8" t="str">
        <x:v>Completed</x:v>
      </x:c>
    </x:row>
    <x:row r="184">
      <x:c r="A184" s="8" t="str">
        <x:v>ORD-0180</x:v>
      </x:c>
      <x:c r="B184" s="22" t="n">
        <x:v>45799.02652582176</x:v>
      </x:c>
      <x:c r="C184" s="8" t="str">
        <x:v>CUS-033</x:v>
      </x:c>
      <x:c r="D184" s="8" t="str">
        <x:v>Rahul Mishra 2</x:v>
      </x:c>
      <x:c r="E184" s="8" t="str">
        <x:v>Small Business</x:v>
      </x:c>
      <x:c r="F184" s="8" t="str">
        <x:v>Mumbai</x:v>
      </x:c>
      <x:c r="G184" s="8" t="str">
        <x:v>West</x:v>
      </x:c>
      <x:c r="H184" s="8" t="str">
        <x:v>PRD-008</x:v>
      </x:c>
      <x:c r="I184" s="8" t="str">
        <x:v>Storage Container Set</x:v>
      </x:c>
      <x:c r="J184" s="8" t="str">
        <x:v>Home &amp; Kitchen</x:v>
      </x:c>
      <x:c r="K184" s="8" t="n">
        <x:v>1</x:v>
      </x:c>
      <x:c r="L184" s="9" t="n">
        <x:v>999</x:v>
      </x:c>
      <x:c r="M184" s="23" t="n">
        <x:v>0</x:v>
      </x:c>
      <x:c r="N184" s="8" t="str">
        <x:v>UPI</x:v>
      </x:c>
      <x:c r="O184" s="8" t="str">
        <x:v>Completed</x:v>
      </x:c>
    </x:row>
    <x:row r="185">
      <x:c r="A185" s="8" t="str">
        <x:v>ORD-0181</x:v>
      </x:c>
      <x:c r="B185" s="22" t="n">
        <x:v>45944.16266193287</x:v>
      </x:c>
      <x:c r="C185" s="8" t="str">
        <x:v>CUS-009</x:v>
      </x:c>
      <x:c r="D185" s="8" t="str">
        <x:v>Rohan Das</x:v>
      </x:c>
      <x:c r="E185" s="8" t="str">
        <x:v>Small Business</x:v>
      </x:c>
      <x:c r="F185" s="8" t="str">
        <x:v>Ahmedabad</x:v>
      </x:c>
      <x:c r="G185" s="8" t="str">
        <x:v>West</x:v>
      </x:c>
      <x:c r="H185" s="8" t="str">
        <x:v>PRD-010</x:v>
      </x:c>
      <x:c r="I185" s="8" t="str">
        <x:v>Travel Backpack</x:v>
      </x:c>
      <x:c r="J185" s="8" t="str">
        <x:v>Fashion</x:v>
      </x:c>
      <x:c r="K185" s="8" t="n">
        <x:v>2</x:v>
      </x:c>
      <x:c r="L185" s="9" t="n">
        <x:v>2199</x:v>
      </x:c>
      <x:c r="M185" s="23" t="n">
        <x:v>0.1</x:v>
      </x:c>
      <x:c r="N185" s="8" t="str">
        <x:v>Net Banking</x:v>
      </x:c>
      <x:c r="O185" s="8" t="str">
        <x:v>Completed</x:v>
      </x:c>
    </x:row>
    <x:row r="186">
      <x:c r="A186" s="8" t="str">
        <x:v>ORD-0182</x:v>
      </x:c>
      <x:c r="B186" s="22" t="n">
        <x:v>45905.80708247685</x:v>
      </x:c>
      <x:c r="C186" s="8" t="str">
        <x:v>CUS-025</x:v>
      </x:c>
      <x:c r="D186" s="8" t="str">
        <x:v>Arjun Verma 2</x:v>
      </x:c>
      <x:c r="E186" s="8" t="str">
        <x:v>Consumer</x:v>
      </x:c>
      <x:c r="F186" s="8" t="str">
        <x:v>Pune</x:v>
      </x:c>
      <x:c r="G186" s="8" t="str">
        <x:v>West</x:v>
      </x:c>
      <x:c r="H186" s="8" t="str">
        <x:v>PRD-007</x:v>
      </x:c>
      <x:c r="I186" s="8" t="str">
        <x:v>Electric Kettle</x:v>
      </x:c>
      <x:c r="J186" s="8" t="str">
        <x:v>Home &amp; Kitchen</x:v>
      </x:c>
      <x:c r="K186" s="8" t="n">
        <x:v>1</x:v>
      </x:c>
      <x:c r="L186" s="9" t="n">
        <x:v>1699</x:v>
      </x:c>
      <x:c r="M186" s="23" t="n">
        <x:v>0.15</x:v>
      </x:c>
      <x:c r="N186" s="8" t="str">
        <x:v>Credit Card</x:v>
      </x:c>
      <x:c r="O186" s="8" t="str">
        <x:v>Completed</x:v>
      </x:c>
    </x:row>
    <x:row r="187">
      <x:c r="A187" s="8" t="str">
        <x:v>ORD-0183</x:v>
      </x:c>
      <x:c r="B187" s="22" t="n">
        <x:v>45739.485076192126</x:v>
      </x:c>
      <x:c r="C187" s="8" t="str">
        <x:v>CUS-035</x:v>
      </x:c>
      <x:c r="D187" s="8" t="str">
        <x:v>Karan Malhotra 2</x:v>
      </x:c>
      <x:c r="E187" s="8" t="str">
        <x:v>Corporate</x:v>
      </x:c>
      <x:c r="F187" s="8" t="str">
        <x:v>Jaipur</x:v>
      </x:c>
      <x:c r="G187" s="8" t="str">
        <x:v>North</x:v>
      </x:c>
      <x:c r="H187" s="8" t="str">
        <x:v>PRD-011</x:v>
      </x:c>
      <x:c r="I187" s="8" t="str">
        <x:v>Classic Wallet</x:v>
      </x:c>
      <x:c r="J187" s="8" t="str">
        <x:v>Fashion</x:v>
      </x:c>
      <x:c r="K187" s="8" t="n">
        <x:v>4</x:v>
      </x:c>
      <x:c r="L187" s="9" t="n">
        <x:v>1199</x:v>
      </x:c>
      <x:c r="M187" s="23" t="n">
        <x:v>0.2</x:v>
      </x:c>
      <x:c r="N187" s="8" t="str">
        <x:v>UPI</x:v>
      </x:c>
      <x:c r="O187" s="8" t="str">
        <x:v>Completed</x:v>
      </x:c>
    </x:row>
    <x:row r="188">
      <x:c r="A188" s="8" t="str">
        <x:v>ORD-0184</x:v>
      </x:c>
      <x:c r="B188" s="22" t="n">
        <x:v>45781.96108116898</x:v>
      </x:c>
      <x:c r="C188" s="8" t="str">
        <x:v>CUS-080</x:v>
      </x:c>
      <x:c r="D188" s="8" t="str">
        <x:v>Kavya Reddy 4</x:v>
      </x:c>
      <x:c r="E188" s="8" t="str">
        <x:v>Corporate</x:v>
      </x:c>
      <x:c r="F188" s="8" t="str">
        <x:v>Ahmedabad</x:v>
      </x:c>
      <x:c r="G188" s="8" t="str">
        <x:v>West</x:v>
      </x:c>
      <x:c r="H188" s="8" t="str">
        <x:v>PRD-004</x:v>
      </x:c>
      <x:c r="I188" s="8" t="str">
        <x:v>Laptop Stand</x:v>
      </x:c>
      <x:c r="J188" s="8" t="str">
        <x:v>Office Supplies</x:v>
      </x:c>
      <x:c r="K188" s="8" t="n">
        <x:v>1</x:v>
      </x:c>
      <x:c r="L188" s="9" t="n">
        <x:v>1299</x:v>
      </x:c>
      <x:c r="M188" s="23" t="n">
        <x:v>0.2</x:v>
      </x:c>
      <x:c r="N188" s="8" t="str">
        <x:v>Net Banking</x:v>
      </x:c>
      <x:c r="O188" s="8" t="str">
        <x:v>Completed</x:v>
      </x:c>
    </x:row>
    <x:row r="189">
      <x:c r="A189" s="8" t="str">
        <x:v>ORD-0185</x:v>
      </x:c>
      <x:c r="B189" s="22" t="n">
        <x:v>45868.369556909725</x:v>
      </x:c>
      <x:c r="C189" s="8" t="str">
        <x:v>CUS-026</x:v>
      </x:c>
      <x:c r="D189" s="8" t="str">
        <x:v>Isha Mehta 2</x:v>
      </x:c>
      <x:c r="E189" s="8" t="str">
        <x:v>Corporate</x:v>
      </x:c>
      <x:c r="F189" s="8" t="str">
        <x:v>Lucknow</x:v>
      </x:c>
      <x:c r="G189" s="8" t="str">
        <x:v>North</x:v>
      </x:c>
      <x:c r="H189" s="8" t="str">
        <x:v>PRD-011</x:v>
      </x:c>
      <x:c r="I189" s="8" t="str">
        <x:v>Classic Wallet</x:v>
      </x:c>
      <x:c r="J189" s="8" t="str">
        <x:v>Fashion</x:v>
      </x:c>
      <x:c r="K189" s="8" t="n">
        <x:v>1</x:v>
      </x:c>
      <x:c r="L189" s="9" t="n">
        <x:v>1199</x:v>
      </x:c>
      <x:c r="M189" s="23" t="n">
        <x:v>0.15</x:v>
      </x:c>
      <x:c r="N189" s="8" t="str">
        <x:v>Cash on Delivery</x:v>
      </x:c>
      <x:c r="O189" s="8" t="str">
        <x:v>Cancelled</x:v>
      </x:c>
    </x:row>
    <x:row r="190">
      <x:c r="A190" s="8" t="str">
        <x:v>ORD-0186</x:v>
      </x:c>
      <x:c r="B190" s="22" t="n">
        <x:v>45691.75837369213</x:v>
      </x:c>
      <x:c r="C190" s="8" t="str">
        <x:v>CUS-039</x:v>
      </x:c>
      <x:c r="D190" s="8" t="str">
        <x:v>Siddharth Jain 2</x:v>
      </x:c>
      <x:c r="E190" s="8" t="str">
        <x:v>Small Business</x:v>
      </x:c>
      <x:c r="F190" s="8" t="str">
        <x:v>Jaipur</x:v>
      </x:c>
      <x:c r="G190" s="8" t="str">
        <x:v>North</x:v>
      </x:c>
      <x:c r="H190" s="8" t="str">
        <x:v>PRD-007</x:v>
      </x:c>
      <x:c r="I190" s="8" t="str">
        <x:v>Electric Kettle</x:v>
      </x:c>
      <x:c r="J190" s="8" t="str">
        <x:v>Home &amp; Kitchen</x:v>
      </x:c>
      <x:c r="K190" s="8" t="n">
        <x:v>2</x:v>
      </x:c>
      <x:c r="L190" s="9" t="n">
        <x:v>1699</x:v>
      </x:c>
      <x:c r="M190" s="23" t="n">
        <x:v>0.05</x:v>
      </x:c>
      <x:c r="N190" s="8" t="str">
        <x:v>Credit Card</x:v>
      </x:c>
      <x:c r="O190" s="8" t="str">
        <x:v>Completed</x:v>
      </x:c>
    </x:row>
    <x:row r="191">
      <x:c r="A191" s="8" t="str">
        <x:v>ORD-0187</x:v>
      </x:c>
      <x:c r="B191" s="22" t="n">
        <x:v>45886.25935435185</x:v>
      </x:c>
      <x:c r="C191" s="8" t="str">
        <x:v>CUS-016</x:v>
      </x:c>
      <x:c r="D191" s="8" t="str">
        <x:v>Pooja Saxena</x:v>
      </x:c>
      <x:c r="E191" s="8" t="str">
        <x:v>Consumer</x:v>
      </x:c>
      <x:c r="F191" s="8" t="str">
        <x:v>Delhi</x:v>
      </x:c>
      <x:c r="G191" s="8" t="str">
        <x:v>North</x:v>
      </x:c>
      <x:c r="H191" s="8" t="str">
        <x:v>PRD-003</x:v>
      </x:c>
      <x:c r="I191" s="8" t="str">
        <x:v>USB-C Hub</x:v>
      </x:c>
      <x:c r="J191" s="8" t="str">
        <x:v>Electronics</x:v>
      </x:c>
      <x:c r="K191" s="8" t="n">
        <x:v>2</x:v>
      </x:c>
      <x:c r="L191" s="9" t="n">
        <x:v>1899</x:v>
      </x:c>
      <x:c r="M191" s="23" t="n">
        <x:v>0.05</x:v>
      </x:c>
      <x:c r="N191" s="8" t="str">
        <x:v>Net Banking</x:v>
      </x:c>
      <x:c r="O191" s="8" t="str">
        <x:v>Returned</x:v>
      </x:c>
    </x:row>
    <x:row r="192">
      <x:c r="A192" s="8" t="str">
        <x:v>ORD-0188</x:v>
      </x:c>
      <x:c r="B192" s="22" t="n">
        <x:v>45943.76850091435</x:v>
      </x:c>
      <x:c r="C192" s="8" t="str">
        <x:v>CUS-016</x:v>
      </x:c>
      <x:c r="D192" s="8" t="str">
        <x:v>Pooja Saxena</x:v>
      </x:c>
      <x:c r="E192" s="8" t="str">
        <x:v>Consumer</x:v>
      </x:c>
      <x:c r="F192" s="8" t="str">
        <x:v>Mumbai</x:v>
      </x:c>
      <x:c r="G192" s="8" t="str">
        <x:v>West</x:v>
      </x:c>
      <x:c r="H192" s="8" t="str">
        <x:v>PRD-006</x:v>
      </x:c>
      <x:c r="I192" s="8" t="str">
        <x:v>Desk Organiser</x:v>
      </x:c>
      <x:c r="J192" s="8" t="str">
        <x:v>Office Supplies</x:v>
      </x:c>
      <x:c r="K192" s="8" t="n">
        <x:v>5</x:v>
      </x:c>
      <x:c r="L192" s="9" t="n">
        <x:v>699</x:v>
      </x:c>
      <x:c r="M192" s="23" t="n">
        <x:v>0</x:v>
      </x:c>
      <x:c r="N192" s="8" t="str">
        <x:v>Debit Card</x:v>
      </x:c>
      <x:c r="O192" s="8" t="str">
        <x:v>Completed</x:v>
      </x:c>
    </x:row>
    <x:row r="193">
      <x:c r="A193" s="8" t="str">
        <x:v>ORD-0189</x:v>
      </x:c>
      <x:c r="B193" s="22" t="n">
        <x:v>45685.84356094908</x:v>
      </x:c>
      <x:c r="C193" s="8" t="str">
        <x:v>CUS-022</x:v>
      </x:c>
      <x:c r="D193" s="8" t="str">
        <x:v>Diya Patel 2</x:v>
      </x:c>
      <x:c r="E193" s="8" t="str">
        <x:v>Consumer</x:v>
      </x:c>
      <x:c r="F193" s="8" t="str">
        <x:v>Lucknow</x:v>
      </x:c>
      <x:c r="G193" s="8" t="str">
        <x:v>North</x:v>
      </x:c>
      <x:c r="H193" s="8" t="str">
        <x:v>PRD-007</x:v>
      </x:c>
      <x:c r="I193" s="8" t="str">
        <x:v>Electric Kettle</x:v>
      </x:c>
      <x:c r="J193" s="8" t="str">
        <x:v>Home &amp; Kitchen</x:v>
      </x:c>
      <x:c r="K193" s="8" t="n">
        <x:v>4</x:v>
      </x:c>
      <x:c r="L193" s="9" t="n">
        <x:v>1699</x:v>
      </x:c>
      <x:c r="M193" s="23" t="n">
        <x:v>0</x:v>
      </x:c>
      <x:c r="N193" s="8" t="str">
        <x:v>Debit Card</x:v>
      </x:c>
      <x:c r="O193" s="8" t="str">
        <x:v>Completed</x:v>
      </x:c>
    </x:row>
    <x:row r="194">
      <x:c r="A194" s="8" t="str">
        <x:v>ORD-0190</x:v>
      </x:c>
      <x:c r="B194" s="22" t="n">
        <x:v>45818.828771458335</x:v>
      </x:c>
      <x:c r="C194" s="8" t="str">
        <x:v>CUS-015</x:v>
      </x:c>
      <x:c r="D194" s="8" t="str">
        <x:v>Karan Malhotra</x:v>
      </x:c>
      <x:c r="E194" s="8" t="str">
        <x:v>Small Business</x:v>
      </x:c>
      <x:c r="F194" s="8" t="str">
        <x:v>Jaipur</x:v>
      </x:c>
      <x:c r="G194" s="8" t="str">
        <x:v>North</x:v>
      </x:c>
      <x:c r="H194" s="8" t="str">
        <x:v>PRD-002</x:v>
      </x:c>
      <x:c r="I194" s="8" t="str">
        <x:v>Bluetooth Headphones</x:v>
      </x:c>
      <x:c r="J194" s="8" t="str">
        <x:v>Electronics</x:v>
      </x:c>
      <x:c r="K194" s="8" t="n">
        <x:v>2</x:v>
      </x:c>
      <x:c r="L194" s="9" t="n">
        <x:v>2499</x:v>
      </x:c>
      <x:c r="M194" s="23" t="n">
        <x:v>0</x:v>
      </x:c>
      <x:c r="N194" s="8" t="str">
        <x:v>UPI</x:v>
      </x:c>
      <x:c r="O194" s="8" t="str">
        <x:v>Returned</x:v>
      </x:c>
    </x:row>
    <x:row r="195">
      <x:c r="A195" s="8" t="str">
        <x:v>ORD-0191</x:v>
      </x:c>
      <x:c r="B195" s="22" t="n">
        <x:v>45743.40759793981</x:v>
      </x:c>
      <x:c r="C195" s="8" t="str">
        <x:v>CUS-069</x:v>
      </x:c>
      <x:c r="D195" s="8" t="str">
        <x:v>Rohan Das 4</x:v>
      </x:c>
      <x:c r="E195" s="8" t="str">
        <x:v>Small Business</x:v>
      </x:c>
      <x:c r="F195" s="8" t="str">
        <x:v>Delhi</x:v>
      </x:c>
      <x:c r="G195" s="8" t="str">
        <x:v> north </x:v>
      </x:c>
      <x:c r="H195" s="8" t="str">
        <x:v>PRD-009</x:v>
      </x:c>
      <x:c r="I195" s="8" t="str">
        <x:v>Table Lamp</x:v>
      </x:c>
      <x:c r="J195" s="8" t="str">
        <x:v>Home &amp; Kitchen</x:v>
      </x:c>
      <x:c r="K195" s="8" t="n">
        <x:v>5</x:v>
      </x:c>
      <x:c r="L195" s="9" t="n">
        <x:v>1499</x:v>
      </x:c>
      <x:c r="M195" s="23" t="n">
        <x:v>0.1</x:v>
      </x:c>
      <x:c r="N195" s="8" t="str">
        <x:v>Debit Card</x:v>
      </x:c>
      <x:c r="O195" s="8" t="str">
        <x:v>Completed</x:v>
      </x:c>
    </x:row>
    <x:row r="196">
      <x:c r="A196" s="8" t="str">
        <x:v>ORD-0192</x:v>
      </x:c>
      <x:c r="B196" s="22" t="n">
        <x:v>45718.36167982639</x:v>
      </x:c>
      <x:c r="C196" s="8" t="str">
        <x:v>CUS-037</x:v>
      </x:c>
      <x:c r="D196" s="8" t="str">
        <x:v>Vikram Yadav 2</x:v>
      </x:c>
      <x:c r="E196" s="8" t="str">
        <x:v>Consumer</x:v>
      </x:c>
      <x:c r="F196" s="8" t="str">
        <x:v>Delhi</x:v>
      </x:c>
      <x:c r="G196" s="8" t="str">
        <x:v>North</x:v>
      </x:c>
      <x:c r="H196" s="8" t="str">
        <x:v>PRD-012</x:v>
      </x:c>
      <x:c r="I196" s="8" t="str">
        <x:v>Stainless Water Bottle</x:v>
      </x:c>
      <x:c r="J196" s="8" t="str">
        <x:v>Lifestyle</x:v>
      </x:c>
      <x:c r="K196" s="8" t="n">
        <x:v>4</x:v>
      </x:c>
      <x:c r="L196" s="9" t="n">
        <x:v>799</x:v>
      </x:c>
      <x:c r="M196" s="23" t="n">
        <x:v>0.2</x:v>
      </x:c>
      <x:c r="N196" s="8" t="str">
        <x:v>UPI</x:v>
      </x:c>
      <x:c r="O196" s="8" t="str">
        <x:v>Completed</x:v>
      </x:c>
    </x:row>
    <x:row r="197">
      <x:c r="A197" s="8" t="str">
        <x:v>ORD-0193</x:v>
      </x:c>
      <x:c r="B197" s="22" t="n">
        <x:v>45802.75993528935</x:v>
      </x:c>
      <x:c r="C197" s="8" t="str">
        <x:v>CUS-015</x:v>
      </x:c>
      <x:c r="D197" s="8" t="str">
        <x:v>Karan Malhotra</x:v>
      </x:c>
      <x:c r="E197" s="8" t="str">
        <x:v>Small Business</x:v>
      </x:c>
      <x:c r="F197" s="8" t="str">
        <x:v>Ahmedabad</x:v>
      </x:c>
      <x:c r="G197" s="8" t="str">
        <x:v>West</x:v>
      </x:c>
      <x:c r="H197" s="8" t="str">
        <x:v>PRD-003</x:v>
      </x:c>
      <x:c r="I197" s="8" t="str">
        <x:v>USB-C Hub</x:v>
      </x:c>
      <x:c r="J197" s="8" t="str">
        <x:v>Electronics</x:v>
      </x:c>
      <x:c r="K197" s="8" t="n">
        <x:v>3</x:v>
      </x:c>
      <x:c r="L197" s="9" t="n">
        <x:v>1899</x:v>
      </x:c>
      <x:c r="M197" s="23" t="n">
        <x:v>0.2</x:v>
      </x:c>
      <x:c r="N197" s="8" t="str">
        <x:v>Cash on Delivery</x:v>
      </x:c>
      <x:c r="O197" s="8" t="str">
        <x:v>Cancelled</x:v>
      </x:c>
    </x:row>
    <x:row r="198">
      <x:c r="A198" s="8" t="str">
        <x:v>ORD-0194</x:v>
      </x:c>
      <x:c r="B198" s="22" t="n">
        <x:v>45747.27917142361</x:v>
      </x:c>
      <x:c r="C198" s="8" t="str">
        <x:v>CUS-002</x:v>
      </x:c>
      <x:c r="D198" s="8" t="str">
        <x:v>Diya Patel</x:v>
      </x:c>
      <x:c r="E198" s="8" t="str">
        <x:v>Corporate</x:v>
      </x:c>
      <x:c r="F198" s="8" t="str">
        <x:v>Jaipur</x:v>
      </x:c>
      <x:c r="G198" s="8" t="str">
        <x:v>North</x:v>
      </x:c>
      <x:c r="H198" s="8" t="str">
        <x:v>PRD-001</x:v>
      </x:c>
      <x:c r="I198" s="8" t="str">
        <x:v>Wireless Mouse</x:v>
      </x:c>
      <x:c r="J198" s="8" t="str">
        <x:v>Electronics</x:v>
      </x:c>
      <x:c r="K198" s="8" t="n">
        <x:v>1</x:v>
      </x:c>
      <x:c r="L198" s="9" t="n">
        <x:v>899</x:v>
      </x:c>
      <x:c r="M198" s="23" t="n">
        <x:v>0.05</x:v>
      </x:c>
      <x:c r="N198" s="8" t="str">
        <x:v>Cash on Delivery</x:v>
      </x:c>
      <x:c r="O198" s="8" t="str">
        <x:v>Cancelled</x:v>
      </x:c>
    </x:row>
    <x:row r="199">
      <x:c r="A199" s="8" t="str">
        <x:v>ORD-0195</x:v>
      </x:c>
      <x:c r="B199" s="22" t="n">
        <x:v>45933.88039579861</x:v>
      </x:c>
      <x:c r="C199" s="8" t="str">
        <x:v>CUS-030</x:v>
      </x:c>
      <x:c r="D199" s="8" t="str">
        <x:v>Saanvi Iyer 2</x:v>
      </x:c>
      <x:c r="E199" s="8" t="str">
        <x:v>Small Business</x:v>
      </x:c>
      <x:c r="F199" s="8" t="str">
        <x:v>Hyderabad</x:v>
      </x:c>
      <x:c r="G199" s="8" t="str">
        <x:v>South</x:v>
      </x:c>
      <x:c r="H199" s="8" t="str">
        <x:v>PRD-004</x:v>
      </x:c>
      <x:c r="I199" s="8" t="str">
        <x:v>Laptop Stand</x:v>
      </x:c>
      <x:c r="J199" s="8" t="str">
        <x:v>Office Supplies</x:v>
      </x:c>
      <x:c r="K199" s="8" t="n">
        <x:v>4</x:v>
      </x:c>
      <x:c r="L199" s="9" t="n">
        <x:v>1299</x:v>
      </x:c>
      <x:c r="M199" s="23" t="n">
        <x:v>0.2</x:v>
      </x:c>
      <x:c r="N199" s="8" t="str">
        <x:v>UPI</x:v>
      </x:c>
      <x:c r="O199" s="8" t="str">
        <x:v>Completed</x:v>
      </x:c>
    </x:row>
    <x:row r="200">
      <x:c r="A200" s="8" t="str">
        <x:v>ORD-0196</x:v>
      </x:c>
      <x:c r="B200" s="22" t="n">
        <x:v>45940.929157418985</x:v>
      </x:c>
      <x:c r="C200" s="8" t="str">
        <x:v>CUS-006</x:v>
      </x:c>
      <x:c r="D200" s="8" t="str">
        <x:v>Isha Mehta</x:v>
      </x:c>
      <x:c r="E200" s="8" t="str">
        <x:v>Small Business</x:v>
      </x:c>
      <x:c r="F200" s="8" t="str">
        <x:v>Jaipur</x:v>
      </x:c>
      <x:c r="G200" s="8" t="str">
        <x:v>North</x:v>
      </x:c>
      <x:c r="H200" s="8" t="str">
        <x:v>PRD-007</x:v>
      </x:c>
      <x:c r="I200" s="8" t="str">
        <x:v>Electric Kettle</x:v>
      </x:c>
      <x:c r="J200" s="8" t="str">
        <x:v>Home &amp; Kitchen</x:v>
      </x:c>
      <x:c r="K200" s="8" t="n">
        <x:v>2</x:v>
      </x:c>
      <x:c r="L200" s="9" t="n">
        <x:v>1699</x:v>
      </x:c>
      <x:c r="M200" s="23" t="n">
        <x:v>0</x:v>
      </x:c>
      <x:c r="N200" s="8" t="str">
        <x:v>Cash on Delivery</x:v>
      </x:c>
      <x:c r="O200" s="8" t="str">
        <x:v>Completed</x:v>
      </x:c>
    </x:row>
    <x:row r="201">
      <x:c r="A201" s="8" t="str">
        <x:v>ORD-0197</x:v>
      </x:c>
      <x:c r="B201" s="22" t="n">
        <x:v>45801.20834326389</x:v>
      </x:c>
      <x:c r="C201" s="8" t="str">
        <x:v>CUS-032</x:v>
      </x:c>
      <x:c r="D201" s="8" t="str">
        <x:v>Priya Kapoor 2</x:v>
      </x:c>
      <x:c r="E201" s="8" t="str">
        <x:v>Corporate</x:v>
      </x:c>
      <x:c r="F201" s="8" t="str">
        <x:v>Kolkata</x:v>
      </x:c>
      <x:c r="G201" s="8" t="str">
        <x:v>East</x:v>
      </x:c>
      <x:c r="H201" s="8" t="str">
        <x:v>PRD-006</x:v>
      </x:c>
      <x:c r="I201" s="8" t="str">
        <x:v>Desk Organiser</x:v>
      </x:c>
      <x:c r="J201" s="8" t="str">
        <x:v>Office Supplies</x:v>
      </x:c>
      <x:c r="K201" s="8" t="n">
        <x:v>1</x:v>
      </x:c>
      <x:c r="L201" s="9" t="n">
        <x:v>699</x:v>
      </x:c>
      <x:c r="M201" s="23" t="n">
        <x:v>0</x:v>
      </x:c>
      <x:c r="N201" s="8" t="str">
        <x:v>Cash on Delivery</x:v>
      </x:c>
      <x:c r="O201" s="8" t="str">
        <x:v>Completed</x:v>
      </x:c>
    </x:row>
    <x:row r="202">
      <x:c r="A202" s="8" t="str">
        <x:v>ORD-0198</x:v>
      </x:c>
      <x:c r="B202" s="22" t="n">
        <x:v>45713.47206695602</x:v>
      </x:c>
      <x:c r="C202" s="8" t="str">
        <x:v>CUS-037</x:v>
      </x:c>
      <x:c r="D202" s="8" t="str">
        <x:v>Vikram Yadav 2</x:v>
      </x:c>
      <x:c r="E202" s="8" t="str">
        <x:v>Consumer</x:v>
      </x:c>
      <x:c r="F202" s="8" t="str">
        <x:v>Chennai</x:v>
      </x:c>
      <x:c r="G202" s="8" t="str">
        <x:v>South</x:v>
      </x:c>
      <x:c r="H202" s="8" t="str">
        <x:v>PRD-005</x:v>
      </x:c>
      <x:c r="I202" s="8" t="str">
        <x:v>Executive Notebook</x:v>
      </x:c>
      <x:c r="J202" s="8" t="str">
        <x:v>Office Supplies</x:v>
      </x:c>
      <x:c r="K202" s="8" t="n">
        <x:v>5</x:v>
      </x:c>
      <x:c r="L202" s="9" t="n">
        <x:v>349</x:v>
      </x:c>
      <x:c r="M202" s="23" t="n">
        <x:v>0.15</x:v>
      </x:c>
      <x:c r="N202" s="8" t="str">
        <x:v>UPI</x:v>
      </x:c>
      <x:c r="O202" s="8" t="str">
        <x:v>Completed</x:v>
      </x:c>
    </x:row>
    <x:row r="203">
      <x:c r="A203" s="8" t="str">
        <x:v>ORD-0199</x:v>
      </x:c>
      <x:c r="B203" s="22" t="n">
        <x:v>46008.42859472222</x:v>
      </x:c>
      <x:c r="C203" s="8" t="str">
        <x:v>CUS-022</x:v>
      </x:c>
      <x:c r="D203" s="8" t="str">
        <x:v>Diya Patel 2</x:v>
      </x:c>
      <x:c r="E203" s="8" t="str">
        <x:v>Consumer</x:v>
      </x:c>
      <x:c r="F203" s="8" t="str">
        <x:v>Jaipur</x:v>
      </x:c>
      <x:c r="G203" s="8" t="str">
        <x:v>North</x:v>
      </x:c>
      <x:c r="H203" s="8" t="str">
        <x:v>PRD-004</x:v>
      </x:c>
      <x:c r="I203" s="8" t="str">
        <x:v>Laptop Stand</x:v>
      </x:c>
      <x:c r="J203" s="8" t="str">
        <x:v>Office Supplies</x:v>
      </x:c>
      <x:c r="K203" s="8" t="n">
        <x:v>4</x:v>
      </x:c>
      <x:c r="L203" s="9" t="n">
        <x:v>1299</x:v>
      </x:c>
      <x:c r="M203" s="23" t="n">
        <x:v>0.05</x:v>
      </x:c>
      <x:c r="N203" s="8" t="str">
        <x:v>Debit Card</x:v>
      </x:c>
      <x:c r="O203" s="8" t="str">
        <x:v>Completed</x:v>
      </x:c>
    </x:row>
    <x:row r="204">
      <x:c r="A204" s="8" t="str">
        <x:v>ORD-0200</x:v>
      </x:c>
      <x:c r="B204" s="22" t="n">
        <x:v>45896.33812709491</x:v>
      </x:c>
      <x:c r="C204" s="8" t="str">
        <x:v>CUS-036</x:v>
      </x:c>
      <x:c r="D204" s="8" t="str">
        <x:v>Pooja Saxena 2</x:v>
      </x:c>
      <x:c r="E204" s="8" t="str">
        <x:v>Small Business</x:v>
      </x:c>
      <x:c r="F204" s="8" t="str">
        <x:v>Pune</x:v>
      </x:c>
      <x:c r="G204" s="8" t="str">
        <x:v>West</x:v>
      </x:c>
      <x:c r="H204" s="8" t="str">
        <x:v>PRD-007</x:v>
      </x:c>
      <x:c r="I204" s="8" t="str">
        <x:v>Electric Kettle</x:v>
      </x:c>
      <x:c r="J204" s="8" t="str">
        <x:v>Home &amp; Kitchen</x:v>
      </x:c>
      <x:c r="K204" s="8" t="n">
        <x:v>4</x:v>
      </x:c>
      <x:c r="L204" s="9" t="n">
        <x:v>1699</x:v>
      </x:c>
      <x:c r="M204" s="23" t="n">
        <x:v>0</x:v>
      </x:c>
      <x:c r="N204" s="8" t="str">
        <x:v>Credit Card</x:v>
      </x:c>
      <x:c r="O204" s="8" t="str">
        <x:v>Returned</x:v>
      </x:c>
    </x:row>
    <x:row r="205">
      <x:c r="A205" s="8" t="str">
        <x:v>ORD-0201</x:v>
      </x:c>
      <x:c r="B205" s="22" t="n">
        <x:v>45839.79992237269</x:v>
      </x:c>
      <x:c r="C205" s="8" t="str">
        <x:v>CUS-012</x:v>
      </x:c>
      <x:c r="D205" s="8" t="str">
        <x:v>Priya Kapoor</x:v>
      </x:c>
      <x:c r="E205" s="8" t="str">
        <x:v>Small Business</x:v>
      </x:c>
      <x:c r="F205" s="8" t="str">
        <x:v>Hyderabad</x:v>
      </x:c>
      <x:c r="G205" s="8" t="str">
        <x:v>South</x:v>
      </x:c>
      <x:c r="H205" s="8" t="str">
        <x:v>PRD-011</x:v>
      </x:c>
      <x:c r="I205" s="8" t="str">
        <x:v>Classic Wallet</x:v>
      </x:c>
      <x:c r="J205" s="8" t="str">
        <x:v>Fashion</x:v>
      </x:c>
      <x:c r="K205" s="8" t="n">
        <x:v>3</x:v>
      </x:c>
      <x:c r="L205" s="9" t="n">
        <x:v>1199</x:v>
      </x:c>
      <x:c r="M205" s="23" t="n">
        <x:v>0.15</x:v>
      </x:c>
      <x:c r="N205" s="8" t="str">
        <x:v>Credit Card</x:v>
      </x:c>
      <x:c r="O205" s="8" t="str">
        <x:v>Completed</x:v>
      </x:c>
    </x:row>
    <x:row r="206">
      <x:c r="A206" s="8" t="str">
        <x:v>ORD-0202</x:v>
      </x:c>
      <x:c r="B206" s="22" t="n">
        <x:v>45916.24506085648</x:v>
      </x:c>
      <x:c r="C206" s="8" t="str">
        <x:v>CUS-058</x:v>
      </x:c>
      <x:c r="D206" s="8" t="str">
        <x:v>Nisha Bansal 3</x:v>
      </x:c>
      <x:c r="E206" s="8" t="str">
        <x:v>Consumer</x:v>
      </x:c>
      <x:c r="F206" s="8" t="str">
        <x:v>Pune</x:v>
      </x:c>
      <x:c r="G206" s="8" t="str">
        <x:v>West</x:v>
      </x:c>
      <x:c r="H206" s="8" t="str">
        <x:v>PRD-003</x:v>
      </x:c>
      <x:c r="I206" s="8" t="str">
        <x:v>USB-C Hub</x:v>
      </x:c>
      <x:c r="J206" s="8" t="str">
        <x:v>Electronics</x:v>
      </x:c>
      <x:c r="K206" s="8" t="n">
        <x:v>3</x:v>
      </x:c>
      <x:c r="L206" s="9" t="n">
        <x:v>1899</x:v>
      </x:c>
      <x:c r="M206" s="23" t="n">
        <x:v>0.2</x:v>
      </x:c>
      <x:c r="N206" s="8" t="str">
        <x:v>Cash on Delivery</x:v>
      </x:c>
      <x:c r="O206" s="8" t="str">
        <x:v>Cancelled</x:v>
      </x:c>
    </x:row>
    <x:row r="207">
      <x:c r="A207" s="8" t="str">
        <x:v>ORD-0203</x:v>
      </x:c>
      <x:c r="B207" s="22" t="n">
        <x:v>45764.01430877315</x:v>
      </x:c>
      <x:c r="C207" s="8" t="str">
        <x:v>CUS-024</x:v>
      </x:c>
      <x:c r="D207" s="8" t="str">
        <x:v>Ananya Gupta 2</x:v>
      </x:c>
      <x:c r="E207" s="8" t="str">
        <x:v>Small Business</x:v>
      </x:c>
      <x:c r="F207" s="8" t="str">
        <x:v>Hyderabad</x:v>
      </x:c>
      <x:c r="G207" s="8" t="str">
        <x:v>South</x:v>
      </x:c>
      <x:c r="H207" s="8" t="str">
        <x:v>PRD-006</x:v>
      </x:c>
      <x:c r="I207" s="8" t="str">
        <x:v>Desk Organiser</x:v>
      </x:c>
      <x:c r="J207" s="8" t="str">
        <x:v>Office Supplies</x:v>
      </x:c>
      <x:c r="K207" s="8" t="n">
        <x:v>1</x:v>
      </x:c>
      <x:c r="L207" s="9" t="n">
        <x:v>699</x:v>
      </x:c>
      <x:c r="M207" s="23" t="n">
        <x:v>0.1</x:v>
      </x:c>
      <x:c r="N207" s="8" t="str">
        <x:v>Cash on Delivery</x:v>
      </x:c>
      <x:c r="O207" s="8" t="str">
        <x:v>Returned</x:v>
      </x:c>
    </x:row>
    <x:row r="208">
      <x:c r="A208" s="8" t="str">
        <x:v>ORD-0204</x:v>
      </x:c>
      <x:c r="B208" s="22" t="n">
        <x:v>45832.93329663194</x:v>
      </x:c>
      <x:c r="C208" s="8" t="str">
        <x:v>CUS-025</x:v>
      </x:c>
      <x:c r="D208" s="8" t="str">
        <x:v>Arjun Verma 2</x:v>
      </x:c>
      <x:c r="E208" s="8" t="str">
        <x:v>Consumer</x:v>
      </x:c>
      <x:c r="F208" s="8" t="str">
        <x:v>Pune</x:v>
      </x:c>
      <x:c r="G208" s="8" t="str">
        <x:v>West</x:v>
      </x:c>
      <x:c r="H208" s="8" t="str">
        <x:v>PRD-010</x:v>
      </x:c>
      <x:c r="I208" s="8" t="str">
        <x:v>Travel Backpack</x:v>
      </x:c>
      <x:c r="J208" s="8" t="str">
        <x:v>Fashion</x:v>
      </x:c>
      <x:c r="K208" s="8" t="n">
        <x:v>2</x:v>
      </x:c>
      <x:c r="L208" s="9" t="n">
        <x:v>2199</x:v>
      </x:c>
      <x:c r="M208" s="23" t="n">
        <x:v>0.15</x:v>
      </x:c>
      <x:c r="N208" s="8" t="str">
        <x:v>Cash on Delivery</x:v>
      </x:c>
      <x:c r="O208" s="8" t="str">
        <x:v>Completed</x:v>
      </x:c>
    </x:row>
    <x:row r="209">
      <x:c r="A209" s="8" t="str">
        <x:v>ORD-0205</x:v>
      </x:c>
      <x:c r="B209" s="22" t="n">
        <x:v>45697.17650815972</x:v>
      </x:c>
      <x:c r="C209" s="8" t="str">
        <x:v>CUS-057</x:v>
      </x:c>
      <x:c r="D209" s="8" t="str">
        <x:v>Vikram Yadav 3</x:v>
      </x:c>
      <x:c r="E209" s="8" t="str">
        <x:v>Small Business</x:v>
      </x:c>
      <x:c r="F209" s="8" t="str">
        <x:v>Bengaluru</x:v>
      </x:c>
      <x:c r="G209" s="8" t="str">
        <x:v>South</x:v>
      </x:c>
      <x:c r="H209" s="8" t="str">
        <x:v>PRD-007</x:v>
      </x:c>
      <x:c r="I209" s="8" t="str">
        <x:v>Electric Kettle</x:v>
      </x:c>
      <x:c r="J209" s="8" t="str">
        <x:v>Home &amp; Kitchen</x:v>
      </x:c>
      <x:c r="K209" s="8" t="n">
        <x:v>2</x:v>
      </x:c>
      <x:c r="L209" s="9" t="n">
        <x:v>1699</x:v>
      </x:c>
      <x:c r="M209" s="23" t="n">
        <x:v>0.2</x:v>
      </x:c>
      <x:c r="N209" s="8" t="str">
        <x:v>Cash on Delivery</x:v>
      </x:c>
      <x:c r="O209" s="8" t="str">
        <x:v>Completed</x:v>
      </x:c>
    </x:row>
    <x:row r="210">
      <x:c r="A210" s="8" t="str">
        <x:v>ORD-0206</x:v>
      </x:c>
      <x:c r="B210" s="22" t="n">
        <x:v>45827.04610708333</x:v>
      </x:c>
      <x:c r="C210" s="8" t="str">
        <x:v>CUS-069</x:v>
      </x:c>
      <x:c r="D210" s="8" t="str">
        <x:v>Rohan Das 4</x:v>
      </x:c>
      <x:c r="E210" s="8" t="str">
        <x:v>Small Business</x:v>
      </x:c>
      <x:c r="F210" s="8" t="str">
        <x:v>Hyderabad</x:v>
      </x:c>
      <x:c r="G210" s="8" t="str">
        <x:v>South</x:v>
      </x:c>
      <x:c r="H210" s="8" t="str">
        <x:v>PRD-001</x:v>
      </x:c>
      <x:c r="I210" s="8" t="str">
        <x:v>Wireless Mouse</x:v>
      </x:c>
      <x:c r="J210" s="8" t="str">
        <x:v>Electronics</x:v>
      </x:c>
      <x:c r="K210" s="8" t="n">
        <x:v>4</x:v>
      </x:c>
      <x:c r="L210" s="9" t="n">
        <x:v>899</x:v>
      </x:c>
      <x:c r="M210" s="23" t="n">
        <x:v>0.2</x:v>
      </x:c>
      <x:c r="N210" s="8" t="str">
        <x:v>Debit Card</x:v>
      </x:c>
      <x:c r="O210" s="8" t="str">
        <x:v>Returned</x:v>
      </x:c>
    </x:row>
    <x:row r="211">
      <x:c r="A211" s="8" t="str">
        <x:v>ORD-0207</x:v>
      </x:c>
      <x:c r="B211" s="22" t="n">
        <x:v>46004.00979065972</x:v>
      </x:c>
      <x:c r="C211" s="8" t="str">
        <x:v>CUS-009</x:v>
      </x:c>
      <x:c r="D211" s="8" t="str">
        <x:v>Rohan Das</x:v>
      </x:c>
      <x:c r="E211" s="8" t="str">
        <x:v>Small Business</x:v>
      </x:c>
      <x:c r="F211" s="8" t="str">
        <x:v>Kolkata</x:v>
      </x:c>
      <x:c r="G211" s="8" t="str">
        <x:v>East</x:v>
      </x:c>
      <x:c r="H211" s="8" t="str">
        <x:v>PRD-011</x:v>
      </x:c>
      <x:c r="I211" s="8" t="str">
        <x:v>Classic Wallet</x:v>
      </x:c>
      <x:c r="J211" s="8" t="str">
        <x:v>Fashion</x:v>
      </x:c>
      <x:c r="K211" s="8" t="n">
        <x:v>3</x:v>
      </x:c>
      <x:c r="L211" s="9" t="n">
        <x:v>1199</x:v>
      </x:c>
      <x:c r="M211" s="23" t="n">
        <x:v>0.1</x:v>
      </x:c>
      <x:c r="N211" s="8" t="str">
        <x:v>Cash on Delivery</x:v>
      </x:c>
      <x:c r="O211" s="8" t="str">
        <x:v>Completed</x:v>
      </x:c>
    </x:row>
    <x:row r="212">
      <x:c r="A212" s="8" t="str">
        <x:v>ORD-0208</x:v>
      </x:c>
      <x:c r="B212" s="22" t="n">
        <x:v>45908.79741516204</x:v>
      </x:c>
      <x:c r="C212" s="8" t="str">
        <x:v>CUS-048</x:v>
      </x:c>
      <x:c r="D212" s="8" t="str">
        <x:v>Meera Nair 3</x:v>
      </x:c>
      <x:c r="E212" s="8" t="str">
        <x:v>Small Business</x:v>
      </x:c>
      <x:c r="F212" s="8" t="str">
        <x:v>Bengaluru</x:v>
      </x:c>
      <x:c r="G212" s="8" t="str">
        <x:v>South</x:v>
      </x:c>
      <x:c r="H212" s="8" t="str">
        <x:v>PRD-007</x:v>
      </x:c>
      <x:c r="I212" s="8" t="str">
        <x:v>Electric Kettle</x:v>
      </x:c>
      <x:c r="J212" s="8" t="str">
        <x:v>Home &amp; Kitchen</x:v>
      </x:c>
      <x:c r="K212" s="8" t="n">
        <x:v>5</x:v>
      </x:c>
      <x:c r="L212" s="9" t="n">
        <x:v>1699</x:v>
      </x:c>
      <x:c r="M212" s="23" t="n">
        <x:v>0</x:v>
      </x:c>
      <x:c r="N212" s="8" t="str">
        <x:v>UPI</x:v>
      </x:c>
      <x:c r="O212" s="8" t="str">
        <x:v>Completed</x:v>
      </x:c>
    </x:row>
    <x:row r="213">
      <x:c r="A213" s="8" t="str">
        <x:v>ORD-0209</x:v>
      </x:c>
      <x:c r="B213" s="22" t="n">
        <x:v>45819.7463287963</x:v>
      </x:c>
      <x:c r="C213" s="8" t="str">
        <x:v>CUS-004</x:v>
      </x:c>
      <x:c r="D213" s="8" t="str">
        <x:v>Ananya Gupta</x:v>
      </x:c>
      <x:c r="E213" s="8" t="str">
        <x:v>Consumer</x:v>
      </x:c>
      <x:c r="F213" s="8" t="str">
        <x:v>Ahmedabad</x:v>
      </x:c>
      <x:c r="G213" s="8" t="str">
        <x:v>West</x:v>
      </x:c>
      <x:c r="H213" s="8" t="str">
        <x:v>PRD-008</x:v>
      </x:c>
      <x:c r="I213" s="8" t="str">
        <x:v>Storage Container Set</x:v>
      </x:c>
      <x:c r="J213" s="8" t="str">
        <x:v>Home &amp; Kitchen</x:v>
      </x:c>
      <x:c r="K213" s="8" t="n">
        <x:v>5</x:v>
      </x:c>
      <x:c r="L213" s="9" t="n">
        <x:v>999</x:v>
      </x:c>
      <x:c r="M213" s="23" t="n">
        <x:v>0.2</x:v>
      </x:c>
      <x:c r="N213" s="8" t="str">
        <x:v>Net Banking</x:v>
      </x:c>
      <x:c r="O213" s="8" t="str">
        <x:v>Returned</x:v>
      </x:c>
    </x:row>
    <x:row r="214">
      <x:c r="A214" s="8" t="str">
        <x:v>ORD-0210</x:v>
      </x:c>
      <x:c r="B214" s="22" t="n">
        <x:v>45809.22580746528</x:v>
      </x:c>
      <x:c r="C214" s="8" t="str">
        <x:v>CUS-021</x:v>
      </x:c>
      <x:c r="D214" s="8" t="str">
        <x:v>Aarav Sharma 2</x:v>
      </x:c>
      <x:c r="E214" s="8" t="str">
        <x:v>Small Business</x:v>
      </x:c>
      <x:c r="F214" s="8" t="str">
        <x:v>Jaipur</x:v>
      </x:c>
      <x:c r="G214" s="8" t="str">
        <x:v>North</x:v>
      </x:c>
      <x:c r="H214" s="8" t="str">
        <x:v>PRD-001</x:v>
      </x:c>
      <x:c r="I214" s="8" t="str">
        <x:v>Wireless Mouse</x:v>
      </x:c>
      <x:c r="J214" s="8" t="str">
        <x:v>Electronics</x:v>
      </x:c>
      <x:c r="K214" s="8" t="n">
        <x:v>3</x:v>
      </x:c>
      <x:c r="L214" s="9" t="n">
        <x:v>899</x:v>
      </x:c>
      <x:c r="M214" s="23" t="n">
        <x:v>0</x:v>
      </x:c>
      <x:c r="N214" s="8" t="str">
        <x:v>Cash on Delivery</x:v>
      </x:c>
      <x:c r="O214" s="8" t="str">
        <x:v>Completed</x:v>
      </x:c>
    </x:row>
    <x:row r="215">
      <x:c r="A215" s="8" t="str">
        <x:v>ORD-0211</x:v>
      </x:c>
      <x:c r="B215" s="22" t="n">
        <x:v>45764.66781774306</x:v>
      </x:c>
      <x:c r="C215" s="8" t="str">
        <x:v>CUS-049</x:v>
      </x:c>
      <x:c r="D215" s="8" t="str">
        <x:v>Rohan Das 3</x:v>
      </x:c>
      <x:c r="E215" s="8" t="str">
        <x:v>Consumer</x:v>
      </x:c>
      <x:c r="F215" s="8" t="str">
        <x:v>Chennai</x:v>
      </x:c>
      <x:c r="G215" s="8" t="str">
        <x:v>South</x:v>
      </x:c>
      <x:c r="H215" s="8" t="str">
        <x:v>PRD-010</x:v>
      </x:c>
      <x:c r="I215" s="8" t="str">
        <x:v>Travel Backpack</x:v>
      </x:c>
      <x:c r="J215" s="8" t="str">
        <x:v>Fashion</x:v>
      </x:c>
      <x:c r="K215" s="8" t="n">
        <x:v>2</x:v>
      </x:c>
      <x:c r="L215" s="9" t="n">
        <x:v>2199</x:v>
      </x:c>
      <x:c r="M215" s="23" t="n">
        <x:v>0.05</x:v>
      </x:c>
      <x:c r="N215" s="8" t="str">
        <x:v>Net Banking</x:v>
      </x:c>
      <x:c r="O215" s="8" t="str">
        <x:v>Cancelled</x:v>
      </x:c>
    </x:row>
    <x:row r="216">
      <x:c r="A216" s="8" t="str">
        <x:v>ORD-0212</x:v>
      </x:c>
      <x:c r="B216" s="22" t="n">
        <x:v>45699.39500030092</x:v>
      </x:c>
      <x:c r="C216" s="8" t="str">
        <x:v>CUS-068</x:v>
      </x:c>
      <x:c r="D216" s="8" t="str">
        <x:v>Meera Nair 4</x:v>
      </x:c>
      <x:c r="E216" s="8" t="str">
        <x:v>Corporate</x:v>
      </x:c>
      <x:c r="F216" s="8" t="str">
        <x:v>Jaipur</x:v>
      </x:c>
      <x:c r="G216" s="8" t="str">
        <x:v>North</x:v>
      </x:c>
      <x:c r="H216" s="8" t="str">
        <x:v>PRD-010</x:v>
      </x:c>
      <x:c r="I216" s="8" t="str">
        <x:v>Travel Backpack</x:v>
      </x:c>
      <x:c r="J216" s="8" t="str">
        <x:v>Fashion</x:v>
      </x:c>
      <x:c r="K216" s="8" t="n">
        <x:v>3</x:v>
      </x:c>
      <x:c r="L216" s="9" t="n">
        <x:v>2199</x:v>
      </x:c>
      <x:c r="M216" s="23" t="n">
        <x:v>0.05</x:v>
      </x:c>
      <x:c r="N216" s="8" t="str">
        <x:v>Debit Card</x:v>
      </x:c>
      <x:c r="O216" s="8" t="str">
        <x:v>Completed</x:v>
      </x:c>
    </x:row>
    <x:row r="217">
      <x:c r="A217" s="8" t="str">
        <x:v>ORD-0213</x:v>
      </x:c>
      <x:c r="B217" s="22" t="n">
        <x:v>45939.87247542824</x:v>
      </x:c>
      <x:c r="C217" s="8" t="str">
        <x:v>CUS-032</x:v>
      </x:c>
      <x:c r="D217" s="8" t="str">
        <x:v>Priya Kapoor 2</x:v>
      </x:c>
      <x:c r="E217" s="8" t="str">
        <x:v>Corporate</x:v>
      </x:c>
      <x:c r="F217" s="8" t="str">
        <x:v>Jaipur</x:v>
      </x:c>
      <x:c r="G217" s="8" t="str">
        <x:v>North</x:v>
      </x:c>
      <x:c r="H217" s="8" t="str">
        <x:v>PRD-012</x:v>
      </x:c>
      <x:c r="I217" s="8" t="str">
        <x:v>Stainless Water Bottle</x:v>
      </x:c>
      <x:c r="J217" s="8" t="str">
        <x:v>Lifestyle</x:v>
      </x:c>
      <x:c r="K217" s="8" t="n">
        <x:v>2</x:v>
      </x:c>
      <x:c r="L217" s="9" t="n">
        <x:v>799</x:v>
      </x:c>
      <x:c r="M217" s="23" t="n">
        <x:v>0</x:v>
      </x:c>
      <x:c r="N217" s="8" t="str">
        <x:v>Credit Card</x:v>
      </x:c>
      <x:c r="O217" s="8" t="str">
        <x:v>Returned</x:v>
      </x:c>
    </x:row>
    <x:row r="218">
      <x:c r="A218" s="8" t="str">
        <x:v>ORD-0214</x:v>
      </x:c>
      <x:c r="B218" s="22" t="n">
        <x:v>45960.5410541088</x:v>
      </x:c>
      <x:c r="C218" s="8" t="str">
        <x:v>CUS-024</x:v>
      </x:c>
      <x:c r="D218" s="8" t="str">
        <x:v>Ananya Gupta 2</x:v>
      </x:c>
      <x:c r="E218" s="8" t="str">
        <x:v>Small Business</x:v>
      </x:c>
      <x:c r="F218" s="8" t="str">
        <x:v>Jaipur</x:v>
      </x:c>
      <x:c r="G218" s="8" t="str">
        <x:v>North</x:v>
      </x:c>
      <x:c r="H218" s="8" t="str">
        <x:v>PRD-012</x:v>
      </x:c>
      <x:c r="I218" s="8" t="str">
        <x:v>Stainless Water Bottle</x:v>
      </x:c>
      <x:c r="J218" s="8" t="str">
        <x:v>Lifestyle</x:v>
      </x:c>
      <x:c r="K218" s="8" t="n">
        <x:v>1</x:v>
      </x:c>
      <x:c r="L218" s="9" t="n">
        <x:v>799</x:v>
      </x:c>
      <x:c r="M218" s="23" t="n">
        <x:v>0</x:v>
      </x:c>
      <x:c r="N218" s="8" t="str">
        <x:v>Cash on Delivery</x:v>
      </x:c>
      <x:c r="O218" s="8" t="str">
        <x:v>Returned</x:v>
      </x:c>
    </x:row>
    <x:row r="219">
      <x:c r="A219" s="8" t="str">
        <x:v>ORD-0215</x:v>
      </x:c>
      <x:c r="B219" s="22" t="n">
        <x:v>45660.342619282404</x:v>
      </x:c>
      <x:c r="C219" s="8" t="str">
        <x:v>CUS-024</x:v>
      </x:c>
      <x:c r="D219" s="8" t="str">
        <x:v>Ananya Gupta 2</x:v>
      </x:c>
      <x:c r="E219" s="8" t="str">
        <x:v>Small Business</x:v>
      </x:c>
      <x:c r="F219" s="8" t="str">
        <x:v>Kolkata</x:v>
      </x:c>
      <x:c r="G219" s="8" t="str">
        <x:v>East</x:v>
      </x:c>
      <x:c r="H219" s="8" t="str">
        <x:v>PRD-011</x:v>
      </x:c>
      <x:c r="I219" s="8" t="str">
        <x:v>Classic Wallet</x:v>
      </x:c>
      <x:c r="J219" s="8" t="str">
        <x:v>Fashion</x:v>
      </x:c>
      <x:c r="K219" s="8" t="n">
        <x:v>2</x:v>
      </x:c>
      <x:c r="L219" s="9" t="n">
        <x:v>1199</x:v>
      </x:c>
      <x:c r="M219" s="23" t="n">
        <x:v>0.05</x:v>
      </x:c>
      <x:c r="N219" s="8" t="str">
        <x:v>UPI</x:v>
      </x:c>
      <x:c r="O219" s="8" t="str">
        <x:v>Returned</x:v>
      </x:c>
    </x:row>
    <x:row r="220">
      <x:c r="A220" s="8" t="str">
        <x:v>ORD-0216</x:v>
      </x:c>
      <x:c r="B220" s="22" t="n">
        <x:v>45726.47796480324</x:v>
      </x:c>
      <x:c r="C220" s="8" t="str">
        <x:v>CUS-005</x:v>
      </x:c>
      <x:c r="D220" s="8" t="str">
        <x:v>Arjun Verma</x:v>
      </x:c>
      <x:c r="E220" s="8" t="str">
        <x:v>Corporate</x:v>
      </x:c>
      <x:c r="F220" s="8" t="str">
        <x:v>Pune</x:v>
      </x:c>
      <x:c r="G220" s="8" t="str">
        <x:v>West</x:v>
      </x:c>
      <x:c r="H220" s="8" t="str">
        <x:v>PRD-009</x:v>
      </x:c>
      <x:c r="I220" s="8" t="str">
        <x:v>Table Lamp</x:v>
      </x:c>
      <x:c r="J220" s="8" t="str">
        <x:v>Home &amp; Kitchen</x:v>
      </x:c>
      <x:c r="K220" s="8" t="n">
        <x:v>1</x:v>
      </x:c>
      <x:c r="L220" s="9" t="n">
        <x:v>1499</x:v>
      </x:c>
      <x:c r="M220" s="23" t="n">
        <x:v>0.1</x:v>
      </x:c>
      <x:c r="N220" s="8" t="str">
        <x:v>Cash on Delivery</x:v>
      </x:c>
      <x:c r="O220" s="8" t="str">
        <x:v>Completed</x:v>
      </x:c>
    </x:row>
    <x:row r="221">
      <x:c r="A221" s="8" t="str">
        <x:v>ORD-0217</x:v>
      </x:c>
      <x:c r="B221" s="22" t="n">
        <x:v>45923.24577429398</x:v>
      </x:c>
      <x:c r="C221" s="8" t="str">
        <x:v>CUS-041</x:v>
      </x:c>
      <x:c r="D221" s="8" t="str">
        <x:v>Aarav Sharma 3</x:v>
      </x:c>
      <x:c r="E221" s="8" t="str">
        <x:v>Corporate</x:v>
      </x:c>
      <x:c r="F221" s="8" t="str">
        <x:v>Pune</x:v>
      </x:c>
      <x:c r="G221" s="8" t="str">
        <x:v>West</x:v>
      </x:c>
      <x:c r="H221" s="8" t="str">
        <x:v>PRD-008</x:v>
      </x:c>
      <x:c r="I221" s="8" t="str">
        <x:v>Storage Container Set</x:v>
      </x:c>
      <x:c r="J221" s="8" t="str">
        <x:v>Home &amp; Kitchen</x:v>
      </x:c>
      <x:c r="K221" s="8" t="n">
        <x:v>3</x:v>
      </x:c>
      <x:c r="L221" s="9" t="n">
        <x:v>999</x:v>
      </x:c>
      <x:c r="M221" s="23" t="n">
        <x:v>0</x:v>
      </x:c>
      <x:c r="N221" s="8" t="str">
        <x:v>Cash on Delivery</x:v>
      </x:c>
      <x:c r="O221" s="8" t="str">
        <x:v>Returned</x:v>
      </x:c>
    </x:row>
    <x:row r="222">
      <x:c r="A222" s="8" t="str">
        <x:v>ORD-0218</x:v>
      </x:c>
      <x:c r="B222" s="22" t="n">
        <x:v>45908.577859363424</x:v>
      </x:c>
      <x:c r="C222" s="8" t="str">
        <x:v>CUS-001</x:v>
      </x:c>
      <x:c r="D222" s="8" t="str">
        <x:v>Aarav Sharma</x:v>
      </x:c>
      <x:c r="E222" s="8" t="str">
        <x:v>Consumer</x:v>
      </x:c>
      <x:c r="F222" s="8" t="str">
        <x:v>Ahmedabad</x:v>
      </x:c>
      <x:c r="G222" s="8" t="str">
        <x:v>West</x:v>
      </x:c>
      <x:c r="H222" s="8" t="str">
        <x:v>PRD-002</x:v>
      </x:c>
      <x:c r="I222" s="8" t="str">
        <x:v>Bluetooth Headphones</x:v>
      </x:c>
      <x:c r="J222" s="8" t="str">
        <x:v>Electronics</x:v>
      </x:c>
      <x:c r="K222" s="8" t="n">
        <x:v>4</x:v>
      </x:c>
      <x:c r="L222" s="9" t="n">
        <x:v>2499</x:v>
      </x:c>
      <x:c r="M222" s="23" t="n">
        <x:v>0.2</x:v>
      </x:c>
      <x:c r="N222" s="8" t="str">
        <x:v>Credit Card</x:v>
      </x:c>
      <x:c r="O222" s="8" t="str">
        <x:v>Completed</x:v>
      </x:c>
    </x:row>
    <x:row r="223">
      <x:c r="A223" s="8" t="str">
        <x:v>ORD-0219</x:v>
      </x:c>
      <x:c r="B223" s="22" t="n">
        <x:v>45751.249792905095</x:v>
      </x:c>
      <x:c r="C223" s="8" t="str">
        <x:v>CUS-047</x:v>
      </x:c>
      <x:c r="D223" s="8" t="str">
        <x:v>Kabir Khan 3</x:v>
      </x:c>
      <x:c r="E223" s="8" t="str">
        <x:v>Corporate</x:v>
      </x:c>
      <x:c r="F223" s="8" t="str">
        <x:v>Delhi</x:v>
      </x:c>
      <x:c r="G223" s="8" t="str">
        <x:v>North</x:v>
      </x:c>
      <x:c r="H223" s="8" t="str">
        <x:v>PRD-006</x:v>
      </x:c>
      <x:c r="I223" s="8" t="str">
        <x:v>Desk Organiser</x:v>
      </x:c>
      <x:c r="J223" s="8" t="str">
        <x:v>Office Supplies</x:v>
      </x:c>
      <x:c r="K223" s="8" t="n">
        <x:v>2</x:v>
      </x:c>
      <x:c r="L223" s="9" t="n">
        <x:v>699</x:v>
      </x:c>
      <x:c r="M223" s="23" t="n">
        <x:v>0.2</x:v>
      </x:c>
      <x:c r="N223" s="8" t="str">
        <x:v>UPI</x:v>
      </x:c>
      <x:c r="O223" s="8" t="str">
        <x:v>Returned</x:v>
      </x:c>
    </x:row>
    <x:row r="224">
      <x:c r="A224" s="8" t="str">
        <x:v>ORD-0220</x:v>
      </x:c>
      <x:c r="B224" s="22" t="n">
        <x:v>45925.26477511574</x:v>
      </x:c>
      <x:c r="C224" s="8" t="str">
        <x:v>CUS-027</x:v>
      </x:c>
      <x:c r="D224" s="8" t="str">
        <x:v>Kabir Khan 2</x:v>
      </x:c>
      <x:c r="E224" s="8" t="str">
        <x:v>Small Business</x:v>
      </x:c>
      <x:c r="F224" s="8" t="str">
        <x:v>Lucknow</x:v>
      </x:c>
      <x:c r="G224" s="8" t="str">
        <x:v>North</x:v>
      </x:c>
      <x:c r="H224" s="8" t="str">
        <x:v>PRD-007</x:v>
      </x:c>
      <x:c r="I224" s="8" t="str">
        <x:v>Electric Kettle</x:v>
      </x:c>
      <x:c r="J224" s="8" t="str">
        <x:v>Home &amp; Kitchen</x:v>
      </x:c>
      <x:c r="K224" s="8" t="n">
        <x:v>2</x:v>
      </x:c>
      <x:c r="L224" s="9" t="n">
        <x:v>1699</x:v>
      </x:c>
      <x:c r="M224" s="23" t="n">
        <x:v>0</x:v>
      </x:c>
      <x:c r="N224" s="8" t="str">
        <x:v>Debit Card</x:v>
      </x:c>
      <x:c r="O224" s="8" t="str">
        <x:v>Completed</x:v>
      </x:c>
    </x:row>
    <x:row r="225">
      <x:c r="A225" s="8" t="str">
        <x:v>ORD-0221</x:v>
      </x:c>
      <x:c r="B225" s="22" t="n">
        <x:v>45688.6583837037</x:v>
      </x:c>
      <x:c r="C225" s="8" t="str">
        <x:v>CUS-010</x:v>
      </x:c>
      <x:c r="D225" s="8" t="str">
        <x:v>Saanvi Iyer</x:v>
      </x:c>
      <x:c r="E225" s="8" t="str">
        <x:v>Consumer</x:v>
      </x:c>
      <x:c r="F225" s="8" t="str">
        <x:v>Delhi</x:v>
      </x:c>
      <x:c r="G225" s="8" t="str">
        <x:v>North</x:v>
      </x:c>
      <x:c r="H225" s="8" t="str">
        <x:v>PRD-004</x:v>
      </x:c>
      <x:c r="I225" s="8" t="str">
        <x:v>Laptop Stand</x:v>
      </x:c>
      <x:c r="J225" s="8" t="str">
        <x:v>Office Supplies</x:v>
      </x:c>
      <x:c r="K225" s="8" t="n">
        <x:v>4</x:v>
      </x:c>
      <x:c r="L225" s="9" t="n">
        <x:v>1299</x:v>
      </x:c>
      <x:c r="M225" s="23" t="n">
        <x:v>0.15</x:v>
      </x:c>
      <x:c r="N225" s="8" t="str">
        <x:v>Net Banking</x:v>
      </x:c>
      <x:c r="O225" s="8" t="str">
        <x:v>Returned</x:v>
      </x:c>
    </x:row>
    <x:row r="226">
      <x:c r="A226" s="8" t="str">
        <x:v>ORD-0222</x:v>
      </x:c>
      <x:c r="B226" s="22" t="n">
        <x:v>45853.700958298614</x:v>
      </x:c>
      <x:c r="C226" s="8" t="str">
        <x:v>CUS-024</x:v>
      </x:c>
      <x:c r="D226" s="8"/>
      <x:c r="E226" s="8" t="str">
        <x:v>Small Business</x:v>
      </x:c>
      <x:c r="F226" s="8" t="str">
        <x:v>Hyderabad</x:v>
      </x:c>
      <x:c r="G226" s="8" t="str">
        <x:v>South</x:v>
      </x:c>
      <x:c r="H226" s="8" t="str">
        <x:v>PRD-012</x:v>
      </x:c>
      <x:c r="I226" s="8" t="str">
        <x:v>Stainless Water Bottle</x:v>
      </x:c>
      <x:c r="J226" s="8" t="str">
        <x:v>Lifestyle</x:v>
      </x:c>
      <x:c r="K226" s="8" t="n">
        <x:v>1</x:v>
      </x:c>
      <x:c r="L226" s="9" t="n">
        <x:v>799</x:v>
      </x:c>
      <x:c r="M226" s="23" t="n">
        <x:v>0.2</x:v>
      </x:c>
      <x:c r="N226" s="8" t="str">
        <x:v>Credit Card</x:v>
      </x:c>
      <x:c r="O226" s="8" t="str">
        <x:v>Completed</x:v>
      </x:c>
    </x:row>
    <x:row r="227">
      <x:c r="A227" s="8" t="str">
        <x:v>ORD-0223</x:v>
      </x:c>
      <x:c r="B227" s="22" t="n">
        <x:v>45724.66675244213</x:v>
      </x:c>
      <x:c r="C227" s="8" t="str">
        <x:v>CUS-075</x:v>
      </x:c>
      <x:c r="D227" s="8" t="str">
        <x:v>Karan Malhotra 4</x:v>
      </x:c>
      <x:c r="E227" s="8" t="str">
        <x:v>Small Business</x:v>
      </x:c>
      <x:c r="F227" s="8" t="str">
        <x:v>Lucknow</x:v>
      </x:c>
      <x:c r="G227" s="8" t="str">
        <x:v>North</x:v>
      </x:c>
      <x:c r="H227" s="8" t="str">
        <x:v>PRD-011</x:v>
      </x:c>
      <x:c r="I227" s="8" t="str">
        <x:v>Classic Wallet</x:v>
      </x:c>
      <x:c r="J227" s="8" t="str">
        <x:v>Fashion</x:v>
      </x:c>
      <x:c r="K227" s="8" t="n">
        <x:v>1</x:v>
      </x:c>
      <x:c r="L227" s="9" t="n">
        <x:v>1199</x:v>
      </x:c>
      <x:c r="M227" s="23" t="n">
        <x:v>0.05</x:v>
      </x:c>
      <x:c r="N227" s="8" t="str">
        <x:v>Debit Card</x:v>
      </x:c>
      <x:c r="O227" s="8" t="str">
        <x:v>Completed</x:v>
      </x:c>
    </x:row>
    <x:row r="228">
      <x:c r="A228" s="8" t="str">
        <x:v>ORD-0224</x:v>
      </x:c>
      <x:c r="B228" s="22" t="n">
        <x:v>45940.06411784722</x:v>
      </x:c>
      <x:c r="C228" s="8" t="str">
        <x:v>CUS-071</x:v>
      </x:c>
      <x:c r="D228" s="8" t="str">
        <x:v>Aditya Joshi 4</x:v>
      </x:c>
      <x:c r="E228" s="8" t="str">
        <x:v>Corporate</x:v>
      </x:c>
      <x:c r="F228" s="8" t="str">
        <x:v>Mumbai</x:v>
      </x:c>
      <x:c r="G228" s="8" t="str">
        <x:v>West</x:v>
      </x:c>
      <x:c r="H228" s="8" t="str">
        <x:v>PRD-008</x:v>
      </x:c>
      <x:c r="I228" s="8" t="str">
        <x:v>Storage Container Set</x:v>
      </x:c>
      <x:c r="J228" s="8" t="str">
        <x:v>Home &amp; Kitchen</x:v>
      </x:c>
      <x:c r="K228" s="8" t="n">
        <x:v>3</x:v>
      </x:c>
      <x:c r="L228" s="9" t="n">
        <x:v>999</x:v>
      </x:c>
      <x:c r="M228" s="23" t="n">
        <x:v>0.15</x:v>
      </x:c>
      <x:c r="N228" s="8" t="str">
        <x:v>UPI</x:v>
      </x:c>
      <x:c r="O228" s="8" t="str">
        <x:v>Completed</x:v>
      </x:c>
    </x:row>
    <x:row r="229">
      <x:c r="A229" s="8" t="str">
        <x:v>ORD-0225</x:v>
      </x:c>
      <x:c r="B229" s="22" t="n">
        <x:v>45956.45417701389</x:v>
      </x:c>
      <x:c r="C229" s="8" t="str">
        <x:v>CUS-053</x:v>
      </x:c>
      <x:c r="D229" s="8" t="str">
        <x:v>Rahul Mishra 3</x:v>
      </x:c>
      <x:c r="E229" s="8" t="str">
        <x:v>Corporate</x:v>
      </x:c>
      <x:c r="F229" s="8" t="str">
        <x:v>Bengaluru</x:v>
      </x:c>
      <x:c r="G229" s="8" t="str">
        <x:v>South</x:v>
      </x:c>
      <x:c r="H229" s="8" t="str">
        <x:v>PRD-003</x:v>
      </x:c>
      <x:c r="I229" s="8" t="str">
        <x:v>USB-C Hub</x:v>
      </x:c>
      <x:c r="J229" s="8" t="str">
        <x:v>Electronics</x:v>
      </x:c>
      <x:c r="K229" s="8" t="n">
        <x:v>2</x:v>
      </x:c>
      <x:c r="L229" s="9" t="n">
        <x:v>1899</x:v>
      </x:c>
      <x:c r="M229" s="23" t="n">
        <x:v>0</x:v>
      </x:c>
      <x:c r="N229" s="8" t="str">
        <x:v>Debit Card</x:v>
      </x:c>
      <x:c r="O229" s="8" t="str">
        <x:v>Completed</x:v>
      </x:c>
    </x:row>
    <x:row r="230">
      <x:c r="A230" s="8" t="str">
        <x:v>ORD-0226</x:v>
      </x:c>
      <x:c r="B230" s="22" t="n">
        <x:v>45968.762015092594</x:v>
      </x:c>
      <x:c r="C230" s="8" t="str">
        <x:v>CUS-064</x:v>
      </x:c>
      <x:c r="D230" s="8" t="str">
        <x:v>Ananya Gupta 4</x:v>
      </x:c>
      <x:c r="E230" s="8" t="str">
        <x:v>Consumer</x:v>
      </x:c>
      <x:c r="F230" s="8" t="str">
        <x:v>Mumbai</x:v>
      </x:c>
      <x:c r="G230" s="8" t="str">
        <x:v>West</x:v>
      </x:c>
      <x:c r="H230" s="8" t="str">
        <x:v>PRD-002</x:v>
      </x:c>
      <x:c r="I230" s="8" t="str">
        <x:v>Bluetooth Headphones</x:v>
      </x:c>
      <x:c r="J230" s="8" t="str">
        <x:v>Electronics</x:v>
      </x:c>
      <x:c r="K230" s="8" t="n">
        <x:v>1</x:v>
      </x:c>
      <x:c r="L230" s="9" t="n">
        <x:v>2499</x:v>
      </x:c>
      <x:c r="M230" s="23" t="n">
        <x:v>0</x:v>
      </x:c>
      <x:c r="N230" s="8" t="str">
        <x:v>Cash on Delivery</x:v>
      </x:c>
      <x:c r="O230" s="8" t="str">
        <x:v>Returned</x:v>
      </x:c>
    </x:row>
    <x:row r="231">
      <x:c r="A231" s="8" t="str">
        <x:v>ORD-0227</x:v>
      </x:c>
      <x:c r="B231" s="22" t="n">
        <x:v>45660.414628101855</x:v>
      </x:c>
      <x:c r="C231" s="8" t="str">
        <x:v>CUS-044</x:v>
      </x:c>
      <x:c r="D231" s="8" t="str">
        <x:v>Ananya Gupta 3</x:v>
      </x:c>
      <x:c r="E231" s="8" t="str">
        <x:v>Corporate</x:v>
      </x:c>
      <x:c r="F231" s="8" t="str">
        <x:v>Hyderabad</x:v>
      </x:c>
      <x:c r="G231" s="8" t="str">
        <x:v>South</x:v>
      </x:c>
      <x:c r="H231" s="8" t="str">
        <x:v>PRD-008</x:v>
      </x:c>
      <x:c r="I231" s="8" t="str">
        <x:v>Storage Container Set</x:v>
      </x:c>
      <x:c r="J231" s="8" t="str">
        <x:v>Home &amp; Kitchen</x:v>
      </x:c>
      <x:c r="K231" s="8" t="n">
        <x:v>2</x:v>
      </x:c>
      <x:c r="L231" s="9" t="n">
        <x:v>999</x:v>
      </x:c>
      <x:c r="M231" s="23" t="n">
        <x:v>0.05</x:v>
      </x:c>
      <x:c r="N231" s="8" t="str">
        <x:v>UPI</x:v>
      </x:c>
      <x:c r="O231" s="8" t="str">
        <x:v>Returned</x:v>
      </x:c>
    </x:row>
    <x:row r="232">
      <x:c r="A232" s="8" t="str">
        <x:v>ORD-0228</x:v>
      </x:c>
      <x:c r="B232" s="22" t="n">
        <x:v>45675.590879131945</x:v>
      </x:c>
      <x:c r="C232" s="8" t="str">
        <x:v>CUS-013</x:v>
      </x:c>
      <x:c r="D232" s="8" t="str">
        <x:v>Rahul Mishra</x:v>
      </x:c>
      <x:c r="E232" s="8" t="str">
        <x:v>Consumer</x:v>
      </x:c>
      <x:c r="F232" s="8" t="str">
        <x:v>Pune</x:v>
      </x:c>
      <x:c r="G232" s="8" t="str">
        <x:v>West</x:v>
      </x:c>
      <x:c r="H232" s="8" t="str">
        <x:v>PRD-002</x:v>
      </x:c>
      <x:c r="I232" s="8" t="str">
        <x:v>Bluetooth Headphones</x:v>
      </x:c>
      <x:c r="J232" s="8" t="str">
        <x:v>Electronics</x:v>
      </x:c>
      <x:c r="K232" s="8" t="n">
        <x:v>5</x:v>
      </x:c>
      <x:c r="L232" s="9" t="n">
        <x:v>2499</x:v>
      </x:c>
      <x:c r="M232" s="23" t="n">
        <x:v>0.2</x:v>
      </x:c>
      <x:c r="N232" s="8" t="str">
        <x:v>Debit Card</x:v>
      </x:c>
      <x:c r="O232" s="8" t="str">
        <x:v>Returned</x:v>
      </x:c>
    </x:row>
    <x:row r="233">
      <x:c r="A233" s="8" t="str">
        <x:v>ORD-0229</x:v>
      </x:c>
      <x:c r="B233" s="22" t="n">
        <x:v>45894.91744775463</x:v>
      </x:c>
      <x:c r="C233" s="8" t="str">
        <x:v>CUS-006</x:v>
      </x:c>
      <x:c r="D233" s="8" t="str">
        <x:v>Isha Mehta</x:v>
      </x:c>
      <x:c r="E233" s="8" t="str">
        <x:v>Small Business</x:v>
      </x:c>
      <x:c r="F233" s="8" t="str">
        <x:v>Lucknow</x:v>
      </x:c>
      <x:c r="G233" s="8" t="str">
        <x:v>North</x:v>
      </x:c>
      <x:c r="H233" s="8" t="str">
        <x:v>PRD-012</x:v>
      </x:c>
      <x:c r="I233" s="8" t="str">
        <x:v>Stainless Water Bottle</x:v>
      </x:c>
      <x:c r="J233" s="8" t="str">
        <x:v>Lifestyle</x:v>
      </x:c>
      <x:c r="K233" s="8" t="n">
        <x:v>2</x:v>
      </x:c>
      <x:c r="L233" s="9" t="n">
        <x:v>799</x:v>
      </x:c>
      <x:c r="M233" s="23" t="n">
        <x:v>0.05</x:v>
      </x:c>
      <x:c r="N233" s="8" t="str">
        <x:v>UPI</x:v>
      </x:c>
      <x:c r="O233" s="8" t="str">
        <x:v>Returned</x:v>
      </x:c>
    </x:row>
    <x:row r="234">
      <x:c r="A234" s="8" t="str">
        <x:v>ORD-0230</x:v>
      </x:c>
      <x:c r="B234" s="22" t="n">
        <x:v>45994.26293362268</x:v>
      </x:c>
      <x:c r="C234" s="8" t="str">
        <x:v>CUS-022</x:v>
      </x:c>
      <x:c r="D234" s="8" t="str">
        <x:v>Diya Patel 2</x:v>
      </x:c>
      <x:c r="E234" s="8" t="str">
        <x:v>Consumer</x:v>
      </x:c>
      <x:c r="F234" s="8" t="str">
        <x:v>Ahmedabad</x:v>
      </x:c>
      <x:c r="G234" s="8" t="str">
        <x:v>West</x:v>
      </x:c>
      <x:c r="H234" s="8" t="str">
        <x:v>PRD-009</x:v>
      </x:c>
      <x:c r="I234" s="8" t="str">
        <x:v>Table Lamp</x:v>
      </x:c>
      <x:c r="J234" s="8" t="str">
        <x:v>Home &amp; Kitchen</x:v>
      </x:c>
      <x:c r="K234" s="8" t="n">
        <x:v>5</x:v>
      </x:c>
      <x:c r="L234" s="9" t="n">
        <x:v>1499</x:v>
      </x:c>
      <x:c r="M234" s="23" t="n">
        <x:v>0.05</x:v>
      </x:c>
      <x:c r="N234" s="8" t="str">
        <x:v>Cash on Delivery</x:v>
      </x:c>
      <x:c r="O234" s="8" t="str">
        <x:v>Completed</x:v>
      </x:c>
    </x:row>
    <x:row r="235">
      <x:c r="A235" s="8" t="str">
        <x:v>ORD-0231</x:v>
      </x:c>
      <x:c r="B235" s="22" t="n">
        <x:v>45970.36237484954</x:v>
      </x:c>
      <x:c r="C235" s="8" t="str">
        <x:v>CUS-043</x:v>
      </x:c>
      <x:c r="D235" s="8" t="str">
        <x:v>Vihaan Singh 3</x:v>
      </x:c>
      <x:c r="E235" s="8" t="str">
        <x:v>Consumer</x:v>
      </x:c>
      <x:c r="F235" s="8" t="str">
        <x:v>Pune</x:v>
      </x:c>
      <x:c r="G235" s="8" t="str">
        <x:v>West</x:v>
      </x:c>
      <x:c r="H235" s="8" t="str">
        <x:v>PRD-005</x:v>
      </x:c>
      <x:c r="I235" s="8" t="str">
        <x:v>Executive Notebook</x:v>
      </x:c>
      <x:c r="J235" s="8" t="str">
        <x:v>Office Supplies</x:v>
      </x:c>
      <x:c r="K235" s="8" t="n">
        <x:v>1</x:v>
      </x:c>
      <x:c r="L235" s="9" t="n">
        <x:v>349</x:v>
      </x:c>
      <x:c r="M235" s="23" t="n">
        <x:v>0.2</x:v>
      </x:c>
      <x:c r="N235" s="8" t="str">
        <x:v>Net Banking</x:v>
      </x:c>
      <x:c r="O235" s="8" t="str">
        <x:v>Completed</x:v>
      </x:c>
    </x:row>
    <x:row r="236">
      <x:c r="A236" s="8" t="str">
        <x:v>ORD-0232</x:v>
      </x:c>
      <x:c r="B236" s="22" t="n">
        <x:v>45984.139417349536</x:v>
      </x:c>
      <x:c r="C236" s="8" t="str">
        <x:v>CUS-044</x:v>
      </x:c>
      <x:c r="D236" s="8" t="str">
        <x:v>Ananya Gupta 3</x:v>
      </x:c>
      <x:c r="E236" s="8" t="str">
        <x:v>Corporate</x:v>
      </x:c>
      <x:c r="F236" s="8" t="str">
        <x:v>Kolkata</x:v>
      </x:c>
      <x:c r="G236" s="8" t="str">
        <x:v>East</x:v>
      </x:c>
      <x:c r="H236" s="8" t="str">
        <x:v>PRD-010</x:v>
      </x:c>
      <x:c r="I236" s="8" t="str">
        <x:v>Travel Backpack</x:v>
      </x:c>
      <x:c r="J236" s="8" t="str">
        <x:v>Fashion</x:v>
      </x:c>
      <x:c r="K236" s="8" t="n">
        <x:v>3</x:v>
      </x:c>
      <x:c r="L236" s="9" t="n">
        <x:v>2199</x:v>
      </x:c>
      <x:c r="M236" s="23" t="n">
        <x:v>0.1</x:v>
      </x:c>
      <x:c r="N236" s="8" t="str">
        <x:v>Net Banking</x:v>
      </x:c>
      <x:c r="O236" s="8" t="str">
        <x:v>Completed</x:v>
      </x:c>
    </x:row>
    <x:row r="237">
      <x:c r="A237" s="8" t="str">
        <x:v>ORD-0233</x:v>
      </x:c>
      <x:c r="B237" s="22" t="n">
        <x:v>45732.69505357639</x:v>
      </x:c>
      <x:c r="C237" s="8" t="str">
        <x:v>CUS-024</x:v>
      </x:c>
      <x:c r="D237" s="8" t="str">
        <x:v>Ananya Gupta 2</x:v>
      </x:c>
      <x:c r="E237" s="8" t="str">
        <x:v>Small Business</x:v>
      </x:c>
      <x:c r="F237" s="8" t="str">
        <x:v>Mumbai</x:v>
      </x:c>
      <x:c r="G237" s="8" t="str">
        <x:v>West</x:v>
      </x:c>
      <x:c r="H237" s="8" t="str">
        <x:v>PRD-010</x:v>
      </x:c>
      <x:c r="I237" s="8" t="str">
        <x:v>Travel Backpack</x:v>
      </x:c>
      <x:c r="J237" s="8" t="str">
        <x:v>Fashion</x:v>
      </x:c>
      <x:c r="K237" s="8" t="n">
        <x:v>4</x:v>
      </x:c>
      <x:c r="L237" s="9" t="n">
        <x:v>2199</x:v>
      </x:c>
      <x:c r="M237" s="23" t="n">
        <x:v>0.1</x:v>
      </x:c>
      <x:c r="N237" s="8" t="str">
        <x:v>Credit Card</x:v>
      </x:c>
      <x:c r="O237" s="8" t="str">
        <x:v>Returned</x:v>
      </x:c>
    </x:row>
    <x:row r="238">
      <x:c r="A238" s="8" t="str">
        <x:v>ORD-0234</x:v>
      </x:c>
      <x:c r="B238" s="22" t="n">
        <x:v>46008.6896119213</x:v>
      </x:c>
      <x:c r="C238" s="8" t="str">
        <x:v>CUS-052</x:v>
      </x:c>
      <x:c r="D238" s="8" t="str">
        <x:v>Priya Kapoor 3</x:v>
      </x:c>
      <x:c r="E238" s="8" t="str">
        <x:v>Consumer</x:v>
      </x:c>
      <x:c r="F238" s="8" t="str">
        <x:v>Kolkata</x:v>
      </x:c>
      <x:c r="G238" s="8" t="str">
        <x:v>East</x:v>
      </x:c>
      <x:c r="H238" s="8" t="str">
        <x:v>PRD-006</x:v>
      </x:c>
      <x:c r="I238" s="8" t="str">
        <x:v>Desk Organiser</x:v>
      </x:c>
      <x:c r="J238" s="8" t="str">
        <x:v>Office Supplies</x:v>
      </x:c>
      <x:c r="K238" s="8" t="n">
        <x:v>2</x:v>
      </x:c>
      <x:c r="L238" s="9" t="n">
        <x:v>699</x:v>
      </x:c>
      <x:c r="M238" s="23" t="n">
        <x:v>0</x:v>
      </x:c>
      <x:c r="N238" s="8" t="str">
        <x:v>Net Banking</x:v>
      </x:c>
      <x:c r="O238" s="8" t="str">
        <x:v>Returned</x:v>
      </x:c>
    </x:row>
    <x:row r="239">
      <x:c r="A239" s="8" t="str">
        <x:v>ORD-0235</x:v>
      </x:c>
      <x:c r="B239" s="22" t="n">
        <x:v>45887.96261070602</x:v>
      </x:c>
      <x:c r="C239" s="8" t="str">
        <x:v>CUS-005</x:v>
      </x:c>
      <x:c r="D239" s="8" t="str">
        <x:v>Arjun Verma</x:v>
      </x:c>
      <x:c r="E239" s="8" t="str">
        <x:v>Corporate</x:v>
      </x:c>
      <x:c r="F239" s="8" t="str">
        <x:v>Hyderabad</x:v>
      </x:c>
      <x:c r="G239" s="8" t="str">
        <x:v>South</x:v>
      </x:c>
      <x:c r="H239" s="8" t="str">
        <x:v>PRD-002</x:v>
      </x:c>
      <x:c r="I239" s="8" t="str">
        <x:v>Bluetooth Headphones</x:v>
      </x:c>
      <x:c r="J239" s="8" t="str">
        <x:v>Electronics</x:v>
      </x:c>
      <x:c r="K239" s="8" t="n">
        <x:v>3</x:v>
      </x:c>
      <x:c r="L239" s="9" t="n">
        <x:v>2499</x:v>
      </x:c>
      <x:c r="M239" s="23" t="n">
        <x:v>0</x:v>
      </x:c>
      <x:c r="N239" s="8" t="str">
        <x:v>Credit Card</x:v>
      </x:c>
      <x:c r="O239" s="8" t="str">
        <x:v>Completed</x:v>
      </x:c>
    </x:row>
    <x:row r="240">
      <x:c r="A240" s="8" t="str">
        <x:v>ORD-0236</x:v>
      </x:c>
      <x:c r="B240" s="22" t="n">
        <x:v>45920.92913751157</x:v>
      </x:c>
      <x:c r="C240" s="8" t="str">
        <x:v>CUS-025</x:v>
      </x:c>
      <x:c r="D240" s="8" t="str">
        <x:v>Arjun Verma 2</x:v>
      </x:c>
      <x:c r="E240" s="8" t="str">
        <x:v>Consumer</x:v>
      </x:c>
      <x:c r="F240" s="8" t="str">
        <x:v>Delhi</x:v>
      </x:c>
      <x:c r="G240" s="8" t="str">
        <x:v>North</x:v>
      </x:c>
      <x:c r="H240" s="8" t="str">
        <x:v>PRD-012</x:v>
      </x:c>
      <x:c r="I240" s="8" t="str">
        <x:v>Stainless Water Bottle</x:v>
      </x:c>
      <x:c r="J240" s="8" t="str">
        <x:v>Lifestyle</x:v>
      </x:c>
      <x:c r="K240" s="8" t="n">
        <x:v>2</x:v>
      </x:c>
      <x:c r="L240" s="9" t="n">
        <x:v>799</x:v>
      </x:c>
      <x:c r="M240" s="23" t="n">
        <x:v>0.05</x:v>
      </x:c>
      <x:c r="N240" s="8" t="str">
        <x:v>Cash on Delivery</x:v>
      </x:c>
      <x:c r="O240" s="8" t="str">
        <x:v>Completed</x:v>
      </x:c>
    </x:row>
    <x:row r="241">
      <x:c r="A241" s="8" t="str">
        <x:v>ORD-0237</x:v>
      </x:c>
      <x:c r="B241" s="22" t="n">
        <x:v>45968.182636840276</x:v>
      </x:c>
      <x:c r="C241" s="8" t="str">
        <x:v>CUS-012</x:v>
      </x:c>
      <x:c r="D241" s="8" t="str">
        <x:v>Priya Kapoor</x:v>
      </x:c>
      <x:c r="E241" s="8" t="str">
        <x:v>Small Business</x:v>
      </x:c>
      <x:c r="F241" s="8" t="str">
        <x:v>Hyderabad</x:v>
      </x:c>
      <x:c r="G241" s="8" t="str">
        <x:v>South</x:v>
      </x:c>
      <x:c r="H241" s="8" t="str">
        <x:v>PRD-001</x:v>
      </x:c>
      <x:c r="I241" s="8" t="str">
        <x:v>Wireless Mouse</x:v>
      </x:c>
      <x:c r="J241" s="8" t="str">
        <x:v>Electronics</x:v>
      </x:c>
      <x:c r="K241" s="8" t="n">
        <x:v>5</x:v>
      </x:c>
      <x:c r="L241" s="9" t="n">
        <x:v>899</x:v>
      </x:c>
      <x:c r="M241" s="23" t="n">
        <x:v>0</x:v>
      </x:c>
      <x:c r="N241" s="8" t="str">
        <x:v>Net Banking</x:v>
      </x:c>
      <x:c r="O241" s="8" t="str">
        <x:v>Returned</x:v>
      </x:c>
    </x:row>
    <x:row r="242">
      <x:c r="A242" s="8" t="str">
        <x:v>ORD-0238</x:v>
      </x:c>
      <x:c r="B242" s="22" t="n">
        <x:v>45970.77830466435</x:v>
      </x:c>
      <x:c r="C242" s="8" t="str">
        <x:v>CUS-062</x:v>
      </x:c>
      <x:c r="D242" s="8" t="str">
        <x:v>Diya Patel 4</x:v>
      </x:c>
      <x:c r="E242" s="8" t="str">
        <x:v>Corporate</x:v>
      </x:c>
      <x:c r="F242" s="8" t="str">
        <x:v>Bengaluru</x:v>
      </x:c>
      <x:c r="G242" s="8" t="str">
        <x:v>South</x:v>
      </x:c>
      <x:c r="H242" s="8" t="str">
        <x:v>PRD-012</x:v>
      </x:c>
      <x:c r="I242" s="8" t="str">
        <x:v>Stainless Water Bottle</x:v>
      </x:c>
      <x:c r="J242" s="8" t="str">
        <x:v>Lifestyle</x:v>
      </x:c>
      <x:c r="K242" s="8" t="n">
        <x:v>5</x:v>
      </x:c>
      <x:c r="L242" s="9" t="n">
        <x:v>799</x:v>
      </x:c>
      <x:c r="M242" s="23" t="n">
        <x:v>0.15</x:v>
      </x:c>
      <x:c r="N242" s="8" t="str">
        <x:v>Credit Card</x:v>
      </x:c>
      <x:c r="O242" s="8" t="str">
        <x:v>Returned</x:v>
      </x:c>
    </x:row>
    <x:row r="243">
      <x:c r="A243" s="8" t="str">
        <x:v>ORD-0239</x:v>
      </x:c>
      <x:c r="B243" s="22" t="n">
        <x:v>45915.160594305555</x:v>
      </x:c>
      <x:c r="C243" s="8" t="str">
        <x:v>CUS-057</x:v>
      </x:c>
      <x:c r="D243" s="8" t="str">
        <x:v>Vikram Yadav 3</x:v>
      </x:c>
      <x:c r="E243" s="8" t="str">
        <x:v>Small Business</x:v>
      </x:c>
      <x:c r="F243" s="8" t="str">
        <x:v>Ahmedabad</x:v>
      </x:c>
      <x:c r="G243" s="8" t="str">
        <x:v>West</x:v>
      </x:c>
      <x:c r="H243" s="8" t="str">
        <x:v>PRD-010</x:v>
      </x:c>
      <x:c r="I243" s="8" t="str">
        <x:v>Travel Backpack</x:v>
      </x:c>
      <x:c r="J243" s="8" t="str">
        <x:v>Fashion</x:v>
      </x:c>
      <x:c r="K243" s="8" t="n">
        <x:v>3</x:v>
      </x:c>
      <x:c r="L243" s="9" t="n">
        <x:v>2199</x:v>
      </x:c>
      <x:c r="M243" s="23" t="n">
        <x:v>0.2</x:v>
      </x:c>
      <x:c r="N243" s="8" t="str">
        <x:v>Credit Card</x:v>
      </x:c>
      <x:c r="O243" s="8" t="str">
        <x:v>Cancelled</x:v>
      </x:c>
    </x:row>
    <x:row r="244">
      <x:c r="A244" s="8" t="str">
        <x:v>ORD-0240</x:v>
      </x:c>
      <x:c r="B244" s="22" t="n">
        <x:v>45772.62185333333</x:v>
      </x:c>
      <x:c r="C244" s="8" t="str">
        <x:v>CUS-079</x:v>
      </x:c>
      <x:c r="D244" s="8" t="str">
        <x:v>Siddharth Jain 4</x:v>
      </x:c>
      <x:c r="E244" s="8" t="str">
        <x:v>Consumer</x:v>
      </x:c>
      <x:c r="F244" s="8" t="str">
        <x:v>Lucknow</x:v>
      </x:c>
      <x:c r="G244" s="8" t="str">
        <x:v>North</x:v>
      </x:c>
      <x:c r="H244" s="8" t="str">
        <x:v>PRD-007</x:v>
      </x:c>
      <x:c r="I244" s="8" t="str">
        <x:v>Electric Kettle</x:v>
      </x:c>
      <x:c r="J244" s="8" t="str">
        <x:v>Home &amp; Kitchen</x:v>
      </x:c>
      <x:c r="K244" s="8" t="n">
        <x:v>3</x:v>
      </x:c>
      <x:c r="L244" s="9" t="n">
        <x:v>1699</x:v>
      </x:c>
      <x:c r="M244" s="23" t="n">
        <x:v>0.15</x:v>
      </x:c>
      <x:c r="N244" s="8" t="str">
        <x:v>Cash on Delivery</x:v>
      </x:c>
      <x:c r="O244" s="8" t="str">
        <x:v>Completed</x:v>
      </x:c>
    </x:row>
    <x:row r="245">
      <x:c r="A245" s="8" t="str">
        <x:v>ORD-0241</x:v>
      </x:c>
      <x:c r="B245" s="22" t="n">
        <x:v>45706.95085974537</x:v>
      </x:c>
      <x:c r="C245" s="8" t="str">
        <x:v>CUS-035</x:v>
      </x:c>
      <x:c r="D245" s="8" t="str">
        <x:v>Karan Malhotra 2</x:v>
      </x:c>
      <x:c r="E245" s="8" t="str">
        <x:v>Corporate</x:v>
      </x:c>
      <x:c r="F245" s="8" t="str">
        <x:v>Ahmedabad</x:v>
      </x:c>
      <x:c r="G245" s="8" t="str">
        <x:v>West</x:v>
      </x:c>
      <x:c r="H245" s="8" t="str">
        <x:v>PRD-007</x:v>
      </x:c>
      <x:c r="I245" s="8" t="str">
        <x:v>Electric Kettle</x:v>
      </x:c>
      <x:c r="J245" s="8" t="str">
        <x:v>Home &amp; Kitchen</x:v>
      </x:c>
      <x:c r="K245" s="8" t="n">
        <x:v>4</x:v>
      </x:c>
      <x:c r="L245" s="9" t="n">
        <x:v>1699</x:v>
      </x:c>
      <x:c r="M245" s="23" t="n">
        <x:v>0.2</x:v>
      </x:c>
      <x:c r="N245" s="8" t="str">
        <x:v>Net Banking</x:v>
      </x:c>
      <x:c r="O245" s="8" t="str">
        <x:v>Completed</x:v>
      </x:c>
    </x:row>
    <x:row r="246">
      <x:c r="A246" s="8" t="str">
        <x:v>ORD-0242</x:v>
      </x:c>
      <x:c r="B246" s="22" t="n">
        <x:v>45923.16126946759</x:v>
      </x:c>
      <x:c r="C246" s="8" t="str">
        <x:v>CUS-025</x:v>
      </x:c>
      <x:c r="D246" s="8" t="str">
        <x:v>Arjun Verma 2</x:v>
      </x:c>
      <x:c r="E246" s="8" t="str">
        <x:v>Consumer</x:v>
      </x:c>
      <x:c r="F246" s="8" t="str">
        <x:v>Chennai</x:v>
      </x:c>
      <x:c r="G246" s="8" t="str">
        <x:v>South</x:v>
      </x:c>
      <x:c r="H246" s="8" t="str">
        <x:v>PRD-009</x:v>
      </x:c>
      <x:c r="I246" s="8" t="str">
        <x:v>Table Lamp</x:v>
      </x:c>
      <x:c r="J246" s="8" t="str">
        <x:v>Home &amp; Kitchen</x:v>
      </x:c>
      <x:c r="K246" s="8" t="n">
        <x:v>3</x:v>
      </x:c>
      <x:c r="L246" s="9" t="n">
        <x:v>1499</x:v>
      </x:c>
      <x:c r="M246" s="23" t="n">
        <x:v>0.05</x:v>
      </x:c>
      <x:c r="N246" s="8" t="str">
        <x:v>UPI</x:v>
      </x:c>
      <x:c r="O246" s="8" t="str">
        <x:v>Completed</x:v>
      </x:c>
    </x:row>
    <x:row r="247">
      <x:c r="A247" s="8" t="str">
        <x:v>ORD-0243</x:v>
      </x:c>
      <x:c r="B247" s="22" t="n">
        <x:v>45748.2247621412</x:v>
      </x:c>
      <x:c r="C247" s="8" t="str">
        <x:v>CUS-015</x:v>
      </x:c>
      <x:c r="D247" s="8" t="str">
        <x:v>Karan Malhotra</x:v>
      </x:c>
      <x:c r="E247" s="8" t="str">
        <x:v>Small Business</x:v>
      </x:c>
      <x:c r="F247" s="8" t="str">
        <x:v>Ahmedabad</x:v>
      </x:c>
      <x:c r="G247" s="8" t="str">
        <x:v>West</x:v>
      </x:c>
      <x:c r="H247" s="8" t="str">
        <x:v>PRD-003</x:v>
      </x:c>
      <x:c r="I247" s="8" t="str">
        <x:v>USB-C Hub</x:v>
      </x:c>
      <x:c r="J247" s="8" t="str">
        <x:v>Electronics</x:v>
      </x:c>
      <x:c r="K247" s="8" t="n">
        <x:v>1</x:v>
      </x:c>
      <x:c r="L247" s="9" t="n">
        <x:v>1899</x:v>
      </x:c>
      <x:c r="M247" s="23" t="n">
        <x:v>0</x:v>
      </x:c>
      <x:c r="N247" s="8" t="str">
        <x:v>Debit Card</x:v>
      </x:c>
      <x:c r="O247" s="8" t="str">
        <x:v>Completed</x:v>
      </x:c>
    </x:row>
    <x:row r="248">
      <x:c r="A248" s="8" t="str">
        <x:v>ORD-0244</x:v>
      </x:c>
      <x:c r="B248" s="22" t="n">
        <x:v>45904.76019855324</x:v>
      </x:c>
      <x:c r="C248" s="8" t="str">
        <x:v>CUS-049</x:v>
      </x:c>
      <x:c r="D248" s="8" t="str">
        <x:v>Rohan Das 3</x:v>
      </x:c>
      <x:c r="E248" s="8" t="str">
        <x:v>Consumer</x:v>
      </x:c>
      <x:c r="F248" s="8" t="str">
        <x:v>Mumbai</x:v>
      </x:c>
      <x:c r="G248" s="8" t="str">
        <x:v>West</x:v>
      </x:c>
      <x:c r="H248" s="8" t="str">
        <x:v>PRD-005</x:v>
      </x:c>
      <x:c r="I248" s="8" t="str">
        <x:v>Executive Notebook</x:v>
      </x:c>
      <x:c r="J248" s="8" t="str">
        <x:v>Office Supplies</x:v>
      </x:c>
      <x:c r="K248" s="8" t="n">
        <x:v>3</x:v>
      </x:c>
      <x:c r="L248" s="9" t="n">
        <x:v>349</x:v>
      </x:c>
      <x:c r="M248" s="23" t="n">
        <x:v>0.1</x:v>
      </x:c>
      <x:c r="N248" s="8" t="str">
        <x:v>UPI</x:v>
      </x:c>
      <x:c r="O248" s="8" t="str">
        <x:v>Completed</x:v>
      </x:c>
    </x:row>
    <x:row r="249">
      <x:c r="A249" s="8" t="str">
        <x:v>ORD-0245</x:v>
      </x:c>
      <x:c r="B249" s="22" t="n">
        <x:v>46003.67112782408</x:v>
      </x:c>
      <x:c r="C249" s="8" t="str">
        <x:v>CUS-020</x:v>
      </x:c>
      <x:c r="D249" s="8" t="str">
        <x:v>Kavya Reddy</x:v>
      </x:c>
      <x:c r="E249" s="8" t="str">
        <x:v>Corporate</x:v>
      </x:c>
      <x:c r="F249" s="8" t="str">
        <x:v>Chennai</x:v>
      </x:c>
      <x:c r="G249" s="8" t="str">
        <x:v>South</x:v>
      </x:c>
      <x:c r="H249" s="8" t="str">
        <x:v>PRD-012</x:v>
      </x:c>
      <x:c r="I249" s="8" t="str">
        <x:v>Stainless Water Bottle</x:v>
      </x:c>
      <x:c r="J249" s="8" t="str">
        <x:v>Lifestyle</x:v>
      </x:c>
      <x:c r="K249" s="8" t="n">
        <x:v>5</x:v>
      </x:c>
      <x:c r="L249" s="9" t="n">
        <x:v>799</x:v>
      </x:c>
      <x:c r="M249" s="23" t="n">
        <x:v>0.05</x:v>
      </x:c>
      <x:c r="N249" s="8" t="str">
        <x:v>UPI</x:v>
      </x:c>
      <x:c r="O249" s="8" t="str">
        <x:v>Completed</x:v>
      </x:c>
    </x:row>
    <x:row r="250">
      <x:c r="A250" s="8" t="str">
        <x:v>ORD-0246</x:v>
      </x:c>
      <x:c r="B250" s="22" t="n">
        <x:v>45857.687556400466</x:v>
      </x:c>
      <x:c r="C250" s="8" t="str">
        <x:v>CUS-033</x:v>
      </x:c>
      <x:c r="D250" s="8" t="str">
        <x:v>Rahul Mishra 2</x:v>
      </x:c>
      <x:c r="E250" s="8" t="str">
        <x:v>Small Business</x:v>
      </x:c>
      <x:c r="F250" s="8" t="str">
        <x:v>Lucknow</x:v>
      </x:c>
      <x:c r="G250" s="8" t="str">
        <x:v>North</x:v>
      </x:c>
      <x:c r="H250" s="8" t="str">
        <x:v>PRD-009</x:v>
      </x:c>
      <x:c r="I250" s="8" t="str">
        <x:v>Table Lamp</x:v>
      </x:c>
      <x:c r="J250" s="8" t="str">
        <x:v>Home &amp; Kitchen</x:v>
      </x:c>
      <x:c r="K250" s="8" t="n">
        <x:v>4</x:v>
      </x:c>
      <x:c r="L250" s="9" t="n">
        <x:v>1499</x:v>
      </x:c>
      <x:c r="M250" s="23" t="n">
        <x:v>0.2</x:v>
      </x:c>
      <x:c r="N250" s="8" t="str">
        <x:v>UPI</x:v>
      </x:c>
      <x:c r="O250" s="8" t="str">
        <x:v>Completed</x:v>
      </x:c>
    </x:row>
    <x:row r="251">
      <x:c r="A251" s="8" t="str">
        <x:v>ORD-0247</x:v>
      </x:c>
      <x:c r="B251" s="22" t="n">
        <x:v>45901.53350212963</x:v>
      </x:c>
      <x:c r="C251" s="8" t="str">
        <x:v>CUS-051</x:v>
      </x:c>
      <x:c r="D251" s="8" t="str">
        <x:v>Aditya Joshi 3</x:v>
      </x:c>
      <x:c r="E251" s="8" t="str">
        <x:v>Small Business</x:v>
      </x:c>
      <x:c r="F251" s="8" t="str">
        <x:v>Ahmedabad</x:v>
      </x:c>
      <x:c r="G251" s="8" t="str">
        <x:v>West</x:v>
      </x:c>
      <x:c r="H251" s="8" t="str">
        <x:v>PRD-005</x:v>
      </x:c>
      <x:c r="I251" s="8" t="str">
        <x:v>Executive Notebook</x:v>
      </x:c>
      <x:c r="J251" s="8" t="str">
        <x:v>Office Supplies</x:v>
      </x:c>
      <x:c r="K251" s="8" t="n">
        <x:v>3</x:v>
      </x:c>
      <x:c r="L251" s="9" t="n">
        <x:v>349</x:v>
      </x:c>
      <x:c r="M251" s="23" t="n">
        <x:v>0.05</x:v>
      </x:c>
      <x:c r="N251" s="8" t="str">
        <x:v>Credit Card</x:v>
      </x:c>
      <x:c r="O251" s="8" t="str">
        <x:v>Returned</x:v>
      </x:c>
    </x:row>
    <x:row r="252">
      <x:c r="A252" s="8" t="str">
        <x:v>ORD-0248</x:v>
      </x:c>
      <x:c r="B252" s="22" t="n">
        <x:v>45872.09222172454</x:v>
      </x:c>
      <x:c r="C252" s="8" t="str">
        <x:v>CUS-049</x:v>
      </x:c>
      <x:c r="D252" s="8" t="str">
        <x:v>Rohan Das 3</x:v>
      </x:c>
      <x:c r="E252" s="8" t="str">
        <x:v>Consumer</x:v>
      </x:c>
      <x:c r="F252" s="8" t="str">
        <x:v>Delhi</x:v>
      </x:c>
      <x:c r="G252" s="8" t="str">
        <x:v>North</x:v>
      </x:c>
      <x:c r="H252" s="8" t="str">
        <x:v>PRD-005</x:v>
      </x:c>
      <x:c r="I252" s="8" t="str">
        <x:v>Executive Notebook</x:v>
      </x:c>
      <x:c r="J252" s="8" t="str">
        <x:v>Office Supplies</x:v>
      </x:c>
      <x:c r="K252" s="8" t="n">
        <x:v>4</x:v>
      </x:c>
      <x:c r="L252" s="9" t="n">
        <x:v>349</x:v>
      </x:c>
      <x:c r="M252" s="23" t="n">
        <x:v>0</x:v>
      </x:c>
      <x:c r="N252" s="8" t="str">
        <x:v>Cash on Delivery</x:v>
      </x:c>
      <x:c r="O252" s="8" t="str">
        <x:v>Completed</x:v>
      </x:c>
    </x:row>
    <x:row r="253">
      <x:c r="A253" s="8" t="str">
        <x:v>ORD-0249</x:v>
      </x:c>
      <x:c r="B253" s="22" t="n">
        <x:v>45938.84080699074</x:v>
      </x:c>
      <x:c r="C253" s="8" t="str">
        <x:v>CUS-020</x:v>
      </x:c>
      <x:c r="D253" s="8" t="str">
        <x:v>Kavya Reddy</x:v>
      </x:c>
      <x:c r="E253" s="8" t="str">
        <x:v>Corporate</x:v>
      </x:c>
      <x:c r="F253" s="8" t="str">
        <x:v>Chennai</x:v>
      </x:c>
      <x:c r="G253" s="8" t="str">
        <x:v>South</x:v>
      </x:c>
      <x:c r="H253" s="8" t="str">
        <x:v>PRD-006</x:v>
      </x:c>
      <x:c r="I253" s="8" t="str">
        <x:v>Desk Organiser</x:v>
      </x:c>
      <x:c r="J253" s="8" t="str">
        <x:v>Office Supplies</x:v>
      </x:c>
      <x:c r="K253" s="8" t="n">
        <x:v>2</x:v>
      </x:c>
      <x:c r="L253" s="9" t="n">
        <x:v>699</x:v>
      </x:c>
      <x:c r="M253" s="23" t="n">
        <x:v>0.15</x:v>
      </x:c>
      <x:c r="N253" s="8" t="str">
        <x:v>Credit Card</x:v>
      </x:c>
      <x:c r="O253" s="8" t="str">
        <x:v>Cancelled</x:v>
      </x:c>
    </x:row>
    <x:row r="254">
      <x:c r="A254" s="8" t="str">
        <x:v>ORD-0250</x:v>
      </x:c>
      <x:c r="B254" s="22" t="n">
        <x:v>45784.1269984375</x:v>
      </x:c>
      <x:c r="C254" s="8" t="str">
        <x:v>CUS-030</x:v>
      </x:c>
      <x:c r="D254" s="8" t="str">
        <x:v>Saanvi Iyer 2</x:v>
      </x:c>
      <x:c r="E254" s="8" t="str">
        <x:v>Small Business</x:v>
      </x:c>
      <x:c r="F254" s="8" t="str">
        <x:v>Bengaluru</x:v>
      </x:c>
      <x:c r="G254" s="8" t="str">
        <x:v>South</x:v>
      </x:c>
      <x:c r="H254" s="8" t="str">
        <x:v>PRD-003</x:v>
      </x:c>
      <x:c r="I254" s="8" t="str">
        <x:v>USB-C Hub</x:v>
      </x:c>
      <x:c r="J254" s="8" t="str">
        <x:v>Electronics</x:v>
      </x:c>
      <x:c r="K254" s="8" t="n">
        <x:v>2</x:v>
      </x:c>
      <x:c r="L254" s="9" t="n">
        <x:v>1899</x:v>
      </x:c>
      <x:c r="M254" s="23" t="n">
        <x:v>0.05</x:v>
      </x:c>
      <x:c r="N254" s="8" t="str">
        <x:v>UPI</x:v>
      </x:c>
      <x:c r="O254" s="8" t="str">
        <x:v>Cancelled</x:v>
      </x:c>
    </x:row>
    <x:row r="255">
      <x:c r="A255" s="8" t="str">
        <x:v>ORD-0251</x:v>
      </x:c>
      <x:c r="B255" s="22" t="n">
        <x:v>45689.86306618056</x:v>
      </x:c>
      <x:c r="C255" s="8" t="str">
        <x:v>CUS-001</x:v>
      </x:c>
      <x:c r="D255" s="8" t="str">
        <x:v>Aarav Sharma</x:v>
      </x:c>
      <x:c r="E255" s="8" t="str">
        <x:v>Consumer</x:v>
      </x:c>
      <x:c r="F255" s="8" t="str">
        <x:v>Hyderabad</x:v>
      </x:c>
      <x:c r="G255" s="8" t="str">
        <x:v>South</x:v>
      </x:c>
      <x:c r="H255" s="8" t="str">
        <x:v>PRD-010</x:v>
      </x:c>
      <x:c r="I255" s="8" t="str">
        <x:v>Travel Backpack</x:v>
      </x:c>
      <x:c r="J255" s="8" t="str">
        <x:v>Fashion</x:v>
      </x:c>
      <x:c r="K255" s="8" t="n">
        <x:v>4</x:v>
      </x:c>
      <x:c r="L255" s="9" t="n">
        <x:v>2199</x:v>
      </x:c>
      <x:c r="M255" s="23" t="n">
        <x:v>0.05</x:v>
      </x:c>
      <x:c r="N255" s="8" t="str">
        <x:v>Net Banking</x:v>
      </x:c>
      <x:c r="O255" s="8" t="str">
        <x:v>Cancelled</x:v>
      </x:c>
    </x:row>
    <x:row r="256">
      <x:c r="A256" s="8" t="str">
        <x:v>ORD-0252</x:v>
      </x:c>
      <x:c r="B256" s="22" t="n">
        <x:v>46013.32307116898</x:v>
      </x:c>
      <x:c r="C256" s="8" t="str">
        <x:v>CUS-055</x:v>
      </x:c>
      <x:c r="D256" s="8" t="str">
        <x:v>Karan Malhotra 3</x:v>
      </x:c>
      <x:c r="E256" s="8" t="str">
        <x:v>Consumer</x:v>
      </x:c>
      <x:c r="F256" s="8" t="str">
        <x:v>Hyderabad</x:v>
      </x:c>
      <x:c r="G256" s="8" t="str">
        <x:v>South</x:v>
      </x:c>
      <x:c r="H256" s="8" t="str">
        <x:v>PRD-002</x:v>
      </x:c>
      <x:c r="I256" s="8" t="str">
        <x:v>Bluetooth Headphones</x:v>
      </x:c>
      <x:c r="J256" s="8" t="str">
        <x:v>Electronics</x:v>
      </x:c>
      <x:c r="K256" s="8" t="n">
        <x:v>4</x:v>
      </x:c>
      <x:c r="L256" s="9" t="n">
        <x:v>2499</x:v>
      </x:c>
      <x:c r="M256" s="23" t="n">
        <x:v>0.05</x:v>
      </x:c>
      <x:c r="N256" s="8" t="str">
        <x:v>Debit Card</x:v>
      </x:c>
      <x:c r="O256" s="8" t="str">
        <x:v>Completed</x:v>
      </x:c>
    </x:row>
    <x:row r="257">
      <x:c r="A257" s="8" t="str">
        <x:v>ORD-0253</x:v>
      </x:c>
      <x:c r="B257" s="22" t="n">
        <x:v>45821.837876006946</x:v>
      </x:c>
      <x:c r="C257" s="8" t="str">
        <x:v>CUS-069</x:v>
      </x:c>
      <x:c r="D257" s="8" t="str">
        <x:v>Rohan Das 4</x:v>
      </x:c>
      <x:c r="E257" s="8" t="str">
        <x:v>Small Business</x:v>
      </x:c>
      <x:c r="F257" s="8" t="str">
        <x:v>Delhi</x:v>
      </x:c>
      <x:c r="G257" s="8" t="str">
        <x:v>North</x:v>
      </x:c>
      <x:c r="H257" s="8" t="str">
        <x:v>PRD-007</x:v>
      </x:c>
      <x:c r="I257" s="8" t="str">
        <x:v>Electric Kettle</x:v>
      </x:c>
      <x:c r="J257" s="8" t="str">
        <x:v>Home &amp; Kitchen</x:v>
      </x:c>
      <x:c r="K257" s="8" t="n">
        <x:v>5</x:v>
      </x:c>
      <x:c r="L257" s="9" t="n">
        <x:v>1699</x:v>
      </x:c>
      <x:c r="M257" s="23" t="n">
        <x:v>0.05</x:v>
      </x:c>
      <x:c r="N257" s="8" t="str">
        <x:v>Cash on Delivery</x:v>
      </x:c>
      <x:c r="O257" s="8" t="str">
        <x:v>Completed</x:v>
      </x:c>
    </x:row>
    <x:row r="258">
      <x:c r="A258" s="8" t="str">
        <x:v>ORD-0254</x:v>
      </x:c>
      <x:c r="B258" s="22" t="n">
        <x:v>45870.51625837963</x:v>
      </x:c>
      <x:c r="C258" s="8" t="str">
        <x:v>CUS-022</x:v>
      </x:c>
      <x:c r="D258" s="8" t="str">
        <x:v>Diya Patel 2</x:v>
      </x:c>
      <x:c r="E258" s="8" t="str">
        <x:v>Consumer</x:v>
      </x:c>
      <x:c r="F258" s="8" t="str">
        <x:v>Kolkata</x:v>
      </x:c>
      <x:c r="G258" s="8" t="str">
        <x:v>East</x:v>
      </x:c>
      <x:c r="H258" s="8" t="str">
        <x:v>PRD-009</x:v>
      </x:c>
      <x:c r="I258" s="8" t="str">
        <x:v>Table Lamp</x:v>
      </x:c>
      <x:c r="J258" s="8" t="str">
        <x:v>Home &amp; Kitchen</x:v>
      </x:c>
      <x:c r="K258" s="8" t="n">
        <x:v>2</x:v>
      </x:c>
      <x:c r="L258" s="9" t="n">
        <x:v>1499</x:v>
      </x:c>
      <x:c r="M258" s="23" t="n">
        <x:v>0.2</x:v>
      </x:c>
      <x:c r="N258" s="8" t="str">
        <x:v>Credit Card</x:v>
      </x:c>
      <x:c r="O258" s="8" t="str">
        <x:v>Returned</x:v>
      </x:c>
    </x:row>
    <x:row r="259">
      <x:c r="A259" s="8" t="str">
        <x:v>ORD-0255</x:v>
      </x:c>
      <x:c r="B259" s="22" t="n">
        <x:v>45779.529473078706</x:v>
      </x:c>
      <x:c r="C259" s="8" t="str">
        <x:v>CUS-061</x:v>
      </x:c>
      <x:c r="D259" s="8" t="str">
        <x:v>Aarav Sharma 4</x:v>
      </x:c>
      <x:c r="E259" s="8" t="str">
        <x:v>Consumer</x:v>
      </x:c>
      <x:c r="F259" s="8" t="str">
        <x:v>Hyderabad</x:v>
      </x:c>
      <x:c r="G259" s="8" t="str">
        <x:v>South</x:v>
      </x:c>
      <x:c r="H259" s="8" t="str">
        <x:v>PRD-008</x:v>
      </x:c>
      <x:c r="I259" s="8" t="str">
        <x:v>Storage Container Set</x:v>
      </x:c>
      <x:c r="J259" s="8" t="str">
        <x:v>Home &amp; Kitchen</x:v>
      </x:c>
      <x:c r="K259" s="8" t="n">
        <x:v>2</x:v>
      </x:c>
      <x:c r="L259" s="9" t="n">
        <x:v>999</x:v>
      </x:c>
      <x:c r="M259" s="23" t="n">
        <x:v>0.1</x:v>
      </x:c>
      <x:c r="N259" s="8" t="str">
        <x:v>Credit Card</x:v>
      </x:c>
      <x:c r="O259" s="8" t="str">
        <x:v>Cancelled</x:v>
      </x:c>
    </x:row>
    <x:row r="260">
      <x:c r="A260" s="8" t="str">
        <x:v>ORD-0256</x:v>
      </x:c>
      <x:c r="B260" s="22" t="n">
        <x:v>46020.274389212966</x:v>
      </x:c>
      <x:c r="C260" s="8" t="str">
        <x:v>CUS-049</x:v>
      </x:c>
      <x:c r="D260" s="8" t="str">
        <x:v>Rohan Das 3</x:v>
      </x:c>
      <x:c r="E260" s="8" t="str">
        <x:v>Consumer</x:v>
      </x:c>
      <x:c r="F260" s="8" t="str">
        <x:v>Jaipur</x:v>
      </x:c>
      <x:c r="G260" s="8" t="str">
        <x:v>North</x:v>
      </x:c>
      <x:c r="H260" s="8" t="str">
        <x:v>PRD-009</x:v>
      </x:c>
      <x:c r="I260" s="8" t="str">
        <x:v>Table Lamp</x:v>
      </x:c>
      <x:c r="J260" s="8" t="str">
        <x:v>Home &amp; Kitchen</x:v>
      </x:c>
      <x:c r="K260" s="8" t="n">
        <x:v>3</x:v>
      </x:c>
      <x:c r="L260" s="9" t="n">
        <x:v>1499</x:v>
      </x:c>
      <x:c r="M260" s="23" t="n">
        <x:v>0</x:v>
      </x:c>
      <x:c r="N260" s="8" t="str">
        <x:v>Cash on Delivery</x:v>
      </x:c>
      <x:c r="O260" s="8" t="str">
        <x:v>Completed</x:v>
      </x:c>
    </x:row>
    <x:row r="261">
      <x:c r="A261" s="8" t="str">
        <x:v>ORD-0257</x:v>
      </x:c>
      <x:c r="B261" s="22" t="n">
        <x:v>45963.916205775466</x:v>
      </x:c>
      <x:c r="C261" s="8" t="str">
        <x:v>CUS-028</x:v>
      </x:c>
      <x:c r="D261" s="8" t="str">
        <x:v>Meera Nair 2</x:v>
      </x:c>
      <x:c r="E261" s="8" t="str">
        <x:v>Consumer</x:v>
      </x:c>
      <x:c r="F261" s="8" t="str">
        <x:v>Chennai</x:v>
      </x:c>
      <x:c r="G261" s="8" t="str">
        <x:v>South</x:v>
      </x:c>
      <x:c r="H261" s="8" t="str">
        <x:v>PRD-012</x:v>
      </x:c>
      <x:c r="I261" s="8" t="str">
        <x:v>Stainless Water Bottle</x:v>
      </x:c>
      <x:c r="J261" s="8" t="str">
        <x:v>Lifestyle</x:v>
      </x:c>
      <x:c r="K261" s="8" t="n">
        <x:v>2</x:v>
      </x:c>
      <x:c r="L261" s="9" t="n">
        <x:v>799</x:v>
      </x:c>
      <x:c r="M261" s="23" t="n">
        <x:v>0.15</x:v>
      </x:c>
      <x:c r="N261" s="8" t="str">
        <x:v>Debit Card</x:v>
      </x:c>
      <x:c r="O261" s="8" t="str">
        <x:v>Cancelled</x:v>
      </x:c>
    </x:row>
    <x:row r="262">
      <x:c r="A262" s="8" t="str">
        <x:v>ORD-0258</x:v>
      </x:c>
      <x:c r="B262" s="22" t="n">
        <x:v>45808.24958364583</x:v>
      </x:c>
      <x:c r="C262" s="8" t="str">
        <x:v>CUS-007</x:v>
      </x:c>
      <x:c r="D262" s="8" t="str">
        <x:v>Kabir Khan</x:v>
      </x:c>
      <x:c r="E262" s="8" t="str">
        <x:v>Consumer</x:v>
      </x:c>
      <x:c r="F262" s="8" t="str">
        <x:v>Hyderabad</x:v>
      </x:c>
      <x:c r="G262" s="8" t="str">
        <x:v>South</x:v>
      </x:c>
      <x:c r="H262" s="8" t="str">
        <x:v>PRD-002</x:v>
      </x:c>
      <x:c r="I262" s="8" t="str">
        <x:v>Bluetooth Headphones</x:v>
      </x:c>
      <x:c r="J262" s="8" t="str">
        <x:v>Electronics</x:v>
      </x:c>
      <x:c r="K262" s="8" t="n">
        <x:v>4</x:v>
      </x:c>
      <x:c r="L262" s="9" t="n">
        <x:v>2499</x:v>
      </x:c>
      <x:c r="M262" s="23" t="n">
        <x:v>0</x:v>
      </x:c>
      <x:c r="N262" s="8" t="str">
        <x:v>UPI</x:v>
      </x:c>
      <x:c r="O262" s="8" t="str">
        <x:v>Completed</x:v>
      </x:c>
    </x:row>
    <x:row r="263">
      <x:c r="A263" s="8" t="str">
        <x:v>ORD-0259</x:v>
      </x:c>
      <x:c r="B263" s="22" t="n">
        <x:v>45851.53454939815</x:v>
      </x:c>
      <x:c r="C263" s="8" t="str">
        <x:v>CUS-010</x:v>
      </x:c>
      <x:c r="D263" s="8" t="str">
        <x:v>Saanvi Iyer</x:v>
      </x:c>
      <x:c r="E263" s="8" t="str">
        <x:v>Consumer</x:v>
      </x:c>
      <x:c r="F263" s="8" t="str">
        <x:v>Hyderabad</x:v>
      </x:c>
      <x:c r="G263" s="8" t="str">
        <x:v>South</x:v>
      </x:c>
      <x:c r="H263" s="8" t="str">
        <x:v>PRD-006</x:v>
      </x:c>
      <x:c r="I263" s="8" t="str">
        <x:v>Desk Organiser</x:v>
      </x:c>
      <x:c r="J263" s="8" t="str">
        <x:v>Office Supplies</x:v>
      </x:c>
      <x:c r="K263" s="8" t="n">
        <x:v>4</x:v>
      </x:c>
      <x:c r="L263" s="9" t="n">
        <x:v>699</x:v>
      </x:c>
      <x:c r="M263" s="23" t="n">
        <x:v>0</x:v>
      </x:c>
      <x:c r="N263" s="8" t="str">
        <x:v>Debit Card</x:v>
      </x:c>
      <x:c r="O263" s="8" t="str">
        <x:v>Returned</x:v>
      </x:c>
    </x:row>
    <x:row r="264">
      <x:c r="A264" s="8" t="str">
        <x:v>ORD-0260</x:v>
      </x:c>
      <x:c r="B264" s="22" t="n">
        <x:v>45788.283013252316</x:v>
      </x:c>
      <x:c r="C264" s="8" t="str">
        <x:v>CUS-004</x:v>
      </x:c>
      <x:c r="D264" s="8" t="str">
        <x:v>Ananya Gupta</x:v>
      </x:c>
      <x:c r="E264" s="8" t="str">
        <x:v>Consumer</x:v>
      </x:c>
      <x:c r="F264" s="8" t="str">
        <x:v>Hyderabad</x:v>
      </x:c>
      <x:c r="G264" s="8" t="str">
        <x:v>South</x:v>
      </x:c>
      <x:c r="H264" s="8" t="str">
        <x:v>PRD-010</x:v>
      </x:c>
      <x:c r="I264" s="8" t="str">
        <x:v>Travel Backpack</x:v>
      </x:c>
      <x:c r="J264" s="8" t="str">
        <x:v>Fashion</x:v>
      </x:c>
      <x:c r="K264" s="8" t="n">
        <x:v>3</x:v>
      </x:c>
      <x:c r="L264" s="9" t="n">
        <x:v>2199</x:v>
      </x:c>
      <x:c r="M264" s="23" t="n">
        <x:v>0</x:v>
      </x:c>
      <x:c r="N264" s="8" t="str">
        <x:v>Credit Card</x:v>
      </x:c>
      <x:c r="O264" s="8" t="str">
        <x:v>Completed</x:v>
      </x:c>
    </x:row>
    <x:row r="265">
      <x:c r="A265" s="8" t="str">
        <x:v>ORD-0261</x:v>
      </x:c>
      <x:c r="B265" s="22" t="n">
        <x:v>45800.84081165509</x:v>
      </x:c>
      <x:c r="C265" s="8" t="str">
        <x:v>CUS-012</x:v>
      </x:c>
      <x:c r="D265" s="8" t="str">
        <x:v>Priya Kapoor</x:v>
      </x:c>
      <x:c r="E265" s="8" t="str">
        <x:v>Small Business</x:v>
      </x:c>
      <x:c r="F265" s="8" t="str">
        <x:v>Lucknow</x:v>
      </x:c>
      <x:c r="G265" s="8" t="str">
        <x:v>North</x:v>
      </x:c>
      <x:c r="H265" s="8" t="str">
        <x:v>PRD-008</x:v>
      </x:c>
      <x:c r="I265" s="8" t="str">
        <x:v>Storage Container Set</x:v>
      </x:c>
      <x:c r="J265" s="8" t="str">
        <x:v>Home &amp; Kitchen</x:v>
      </x:c>
      <x:c r="K265" s="8" t="n">
        <x:v>4</x:v>
      </x:c>
      <x:c r="L265" s="9" t="n">
        <x:v>999</x:v>
      </x:c>
      <x:c r="M265" s="23" t="n">
        <x:v>0.05</x:v>
      </x:c>
      <x:c r="N265" s="8" t="str">
        <x:v>UPI</x:v>
      </x:c>
      <x:c r="O265" s="8" t="str">
        <x:v>Completed</x:v>
      </x:c>
    </x:row>
    <x:row r="266">
      <x:c r="A266" s="8" t="str">
        <x:v>ORD-0262</x:v>
      </x:c>
      <x:c r="B266" s="22" t="n">
        <x:v>45950.606480358794</x:v>
      </x:c>
      <x:c r="C266" s="8" t="str">
        <x:v>CUS-041</x:v>
      </x:c>
      <x:c r="D266" s="8" t="str">
        <x:v>Aarav Sharma 3</x:v>
      </x:c>
      <x:c r="E266" s="8" t="str">
        <x:v>Corporate</x:v>
      </x:c>
      <x:c r="F266" s="8" t="str">
        <x:v>Jaipur</x:v>
      </x:c>
      <x:c r="G266" s="8" t="str">
        <x:v>North</x:v>
      </x:c>
      <x:c r="H266" s="8" t="str">
        <x:v>PRD-010</x:v>
      </x:c>
      <x:c r="I266" s="8" t="str">
        <x:v>Travel Backpack</x:v>
      </x:c>
      <x:c r="J266" s="8" t="str">
        <x:v>Fashion</x:v>
      </x:c>
      <x:c r="K266" s="8" t="n">
        <x:v>3</x:v>
      </x:c>
      <x:c r="L266" s="9" t="n">
        <x:v>2199</x:v>
      </x:c>
      <x:c r="M266" s="23" t="n">
        <x:v>0.15</x:v>
      </x:c>
      <x:c r="N266" s="8" t="str">
        <x:v>Net Banking</x:v>
      </x:c>
      <x:c r="O266" s="8" t="str">
        <x:v>Completed</x:v>
      </x:c>
    </x:row>
    <x:row r="267">
      <x:c r="A267" s="8" t="str">
        <x:v>ORD-0263</x:v>
      </x:c>
      <x:c r="B267" s="22" t="n">
        <x:v>46009.71641271991</x:v>
      </x:c>
      <x:c r="C267" s="8" t="str">
        <x:v>CUS-018</x:v>
      </x:c>
      <x:c r="D267" s="8" t="str">
        <x:v>Nisha Bansal</x:v>
      </x:c>
      <x:c r="E267" s="8" t="str">
        <x:v>Small Business</x:v>
      </x:c>
      <x:c r="F267" s="8" t="str">
        <x:v>Bengaluru</x:v>
      </x:c>
      <x:c r="G267" s="8" t="str">
        <x:v>South</x:v>
      </x:c>
      <x:c r="H267" s="8" t="str">
        <x:v>PRD-009</x:v>
      </x:c>
      <x:c r="I267" s="8" t="str">
        <x:v>Table Lamp</x:v>
      </x:c>
      <x:c r="J267" s="8" t="str">
        <x:v>Home &amp; Kitchen</x:v>
      </x:c>
      <x:c r="K267" s="8" t="n">
        <x:v>4</x:v>
      </x:c>
      <x:c r="L267" s="9" t="n">
        <x:v>1499</x:v>
      </x:c>
      <x:c r="M267" s="23" t="n">
        <x:v>0</x:v>
      </x:c>
      <x:c r="N267" s="8" t="str">
        <x:v>Debit Card</x:v>
      </x:c>
      <x:c r="O267" s="8" t="str">
        <x:v>Completed</x:v>
      </x:c>
    </x:row>
    <x:row r="268">
      <x:c r="A268" s="8" t="str">
        <x:v>ORD-0264</x:v>
      </x:c>
      <x:c r="B268" s="22" t="n">
        <x:v>45770.95692287037</x:v>
      </x:c>
      <x:c r="C268" s="8" t="str">
        <x:v>CUS-059</x:v>
      </x:c>
      <x:c r="D268" s="8" t="str">
        <x:v>Siddharth Jain 3</x:v>
      </x:c>
      <x:c r="E268" s="8" t="str">
        <x:v>Corporate</x:v>
      </x:c>
      <x:c r="F268" s="8" t="str">
        <x:v>Lucknow</x:v>
      </x:c>
      <x:c r="G268" s="8" t="str">
        <x:v>North</x:v>
      </x:c>
      <x:c r="H268" s="8" t="str">
        <x:v>PRD-011</x:v>
      </x:c>
      <x:c r="I268" s="8" t="str">
        <x:v>Classic Wallet</x:v>
      </x:c>
      <x:c r="J268" s="8" t="str">
        <x:v>Fashion</x:v>
      </x:c>
      <x:c r="K268" s="8" t="n">
        <x:v>5</x:v>
      </x:c>
      <x:c r="L268" s="9" t="n">
        <x:v>1199</x:v>
      </x:c>
      <x:c r="M268" s="23" t="n">
        <x:v>0.05</x:v>
      </x:c>
      <x:c r="N268" s="8" t="str">
        <x:v>Debit Card</x:v>
      </x:c>
      <x:c r="O268" s="8" t="str">
        <x:v>Completed</x:v>
      </x:c>
    </x:row>
    <x:row r="269">
      <x:c r="A269" s="8" t="str">
        <x:v>ORD-0265</x:v>
      </x:c>
      <x:c r="B269" s="22" t="n">
        <x:v>45710.88782329861</x:v>
      </x:c>
      <x:c r="C269" s="8" t="str">
        <x:v>CUS-073</x:v>
      </x:c>
      <x:c r="D269" s="8" t="str">
        <x:v>Rahul Mishra 4</x:v>
      </x:c>
      <x:c r="E269" s="8" t="str">
        <x:v>Consumer</x:v>
      </x:c>
      <x:c r="F269" s="8" t="str">
        <x:v>Mumbai</x:v>
      </x:c>
      <x:c r="G269" s="8" t="str">
        <x:v>West</x:v>
      </x:c>
      <x:c r="H269" s="8" t="str">
        <x:v>PRD-006</x:v>
      </x:c>
      <x:c r="I269" s="8" t="str">
        <x:v>Desk Organiser</x:v>
      </x:c>
      <x:c r="J269" s="8" t="str">
        <x:v>Office Supplies</x:v>
      </x:c>
      <x:c r="K269" s="8" t="n">
        <x:v>2</x:v>
      </x:c>
      <x:c r="L269" s="9" t="n">
        <x:v>699</x:v>
      </x:c>
      <x:c r="M269" s="23" t="n">
        <x:v>0</x:v>
      </x:c>
      <x:c r="N269" s="8" t="str">
        <x:v>Credit Card</x:v>
      </x:c>
      <x:c r="O269" s="8" t="str">
        <x:v>Completed</x:v>
      </x:c>
    </x:row>
    <x:row r="270">
      <x:c r="A270" s="8" t="str">
        <x:v>ORD-0266</x:v>
      </x:c>
      <x:c r="B270" s="22" t="n">
        <x:v>45741.35193012731</x:v>
      </x:c>
      <x:c r="C270" s="8" t="str">
        <x:v>CUS-016</x:v>
      </x:c>
      <x:c r="D270" s="8" t="str">
        <x:v>Pooja Saxena</x:v>
      </x:c>
      <x:c r="E270" s="8" t="str">
        <x:v>Consumer</x:v>
      </x:c>
      <x:c r="F270" s="8" t="str">
        <x:v>Ahmedabad</x:v>
      </x:c>
      <x:c r="G270" s="8" t="str">
        <x:v>West</x:v>
      </x:c>
      <x:c r="H270" s="8" t="str">
        <x:v>PRD-003</x:v>
      </x:c>
      <x:c r="I270" s="8" t="str">
        <x:v>USB-C Hub</x:v>
      </x:c>
      <x:c r="J270" s="8" t="str">
        <x:v>Electronic</x:v>
      </x:c>
      <x:c r="K270" s="8" t="n">
        <x:v>4</x:v>
      </x:c>
      <x:c r="L270" s="9" t="n">
        <x:v>1899</x:v>
      </x:c>
      <x:c r="M270" s="23" t="n">
        <x:v>0.2</x:v>
      </x:c>
      <x:c r="N270" s="8" t="str">
        <x:v>Credit Card</x:v>
      </x:c>
      <x:c r="O270" s="8" t="str">
        <x:v>Completed</x:v>
      </x:c>
    </x:row>
    <x:row r="271">
      <x:c r="A271" s="8" t="str">
        <x:v>ORD-0267</x:v>
      </x:c>
      <x:c r="B271" s="22" t="n">
        <x:v>45688.38986729167</x:v>
      </x:c>
      <x:c r="C271" s="8" t="str">
        <x:v>CUS-073</x:v>
      </x:c>
      <x:c r="D271" s="8" t="str">
        <x:v>Rahul Mishra 4</x:v>
      </x:c>
      <x:c r="E271" s="8" t="str">
        <x:v>Consumer</x:v>
      </x:c>
      <x:c r="F271" s="8" t="str">
        <x:v>Jaipur</x:v>
      </x:c>
      <x:c r="G271" s="8" t="str">
        <x:v>North</x:v>
      </x:c>
      <x:c r="H271" s="8" t="str">
        <x:v>PRD-007</x:v>
      </x:c>
      <x:c r="I271" s="8" t="str">
        <x:v>Electric Kettle</x:v>
      </x:c>
      <x:c r="J271" s="8" t="str">
        <x:v>Home &amp; Kitchen</x:v>
      </x:c>
      <x:c r="K271" s="8" t="n">
        <x:v>4</x:v>
      </x:c>
      <x:c r="L271" s="9" t="n">
        <x:v>1699</x:v>
      </x:c>
      <x:c r="M271" s="23" t="n">
        <x:v>0.2</x:v>
      </x:c>
      <x:c r="N271" s="8" t="str">
        <x:v>UPI</x:v>
      </x:c>
      <x:c r="O271" s="8" t="str">
        <x:v>Returned</x:v>
      </x:c>
    </x:row>
    <x:row r="272">
      <x:c r="A272" s="8" t="str">
        <x:v>ORD-0268</x:v>
      </x:c>
      <x:c r="B272" s="22" t="n">
        <x:v>45782.03639729167</x:v>
      </x:c>
      <x:c r="C272" s="8" t="str">
        <x:v>CUS-075</x:v>
      </x:c>
      <x:c r="D272" s="8" t="str">
        <x:v>Karan Malhotra 4</x:v>
      </x:c>
      <x:c r="E272" s="8" t="str">
        <x:v>Small Business</x:v>
      </x:c>
      <x:c r="F272" s="8" t="str">
        <x:v>Hyderabad</x:v>
      </x:c>
      <x:c r="G272" s="8" t="str">
        <x:v>South</x:v>
      </x:c>
      <x:c r="H272" s="8" t="str">
        <x:v>PRD-010</x:v>
      </x:c>
      <x:c r="I272" s="8" t="str">
        <x:v>Travel Backpack</x:v>
      </x:c>
      <x:c r="J272" s="8" t="str">
        <x:v>Fashion</x:v>
      </x:c>
      <x:c r="K272" s="8" t="n">
        <x:v>5</x:v>
      </x:c>
      <x:c r="L272" s="9" t="n">
        <x:v>2199</x:v>
      </x:c>
      <x:c r="M272" s="23" t="n">
        <x:v>0.1</x:v>
      </x:c>
      <x:c r="N272" s="8" t="str">
        <x:v>UPI</x:v>
      </x:c>
      <x:c r="O272" s="8" t="str">
        <x:v>Returned</x:v>
      </x:c>
    </x:row>
    <x:row r="273">
      <x:c r="A273" s="8" t="str">
        <x:v>ORD-0269</x:v>
      </x:c>
      <x:c r="B273" s="22" t="n">
        <x:v>45906.70786686343</x:v>
      </x:c>
      <x:c r="C273" s="8" t="str">
        <x:v>CUS-031</x:v>
      </x:c>
      <x:c r="D273" s="8" t="str">
        <x:v>Aditya Joshi 2</x:v>
      </x:c>
      <x:c r="E273" s="8" t="str">
        <x:v>Consumer</x:v>
      </x:c>
      <x:c r="F273" s="8" t="str">
        <x:v>Ahmedabad</x:v>
      </x:c>
      <x:c r="G273" s="8" t="str">
        <x:v>West</x:v>
      </x:c>
      <x:c r="H273" s="8" t="str">
        <x:v>PRD-008</x:v>
      </x:c>
      <x:c r="I273" s="8" t="str">
        <x:v>Storage Container Set</x:v>
      </x:c>
      <x:c r="J273" s="8" t="str">
        <x:v>Home &amp; Kitchen</x:v>
      </x:c>
      <x:c r="K273" s="8" t="n">
        <x:v>5</x:v>
      </x:c>
      <x:c r="L273" s="9" t="n">
        <x:v>999</x:v>
      </x:c>
      <x:c r="M273" s="23" t="n">
        <x:v>0</x:v>
      </x:c>
      <x:c r="N273" s="8" t="str">
        <x:v>UPI</x:v>
      </x:c>
      <x:c r="O273" s="8" t="str">
        <x:v>Completed</x:v>
      </x:c>
    </x:row>
    <x:row r="274">
      <x:c r="A274" s="8" t="str">
        <x:v>ORD-0270</x:v>
      </x:c>
      <x:c r="B274" s="22" t="n">
        <x:v>45807.05469119213</x:v>
      </x:c>
      <x:c r="C274" s="8" t="str">
        <x:v>CUS-050</x:v>
      </x:c>
      <x:c r="D274" s="8" t="str">
        <x:v>Saanvi Iyer 3</x:v>
      </x:c>
      <x:c r="E274" s="8" t="str">
        <x:v>Corporate</x:v>
      </x:c>
      <x:c r="F274" s="8" t="str">
        <x:v>Pune</x:v>
      </x:c>
      <x:c r="G274" s="8" t="str">
        <x:v>West</x:v>
      </x:c>
      <x:c r="H274" s="8" t="str">
        <x:v>PRD-002</x:v>
      </x:c>
      <x:c r="I274" s="8" t="str">
        <x:v>Bluetooth Headphones</x:v>
      </x:c>
      <x:c r="J274" s="8" t="str">
        <x:v>Electronics</x:v>
      </x:c>
      <x:c r="K274" s="8" t="n">
        <x:v>2</x:v>
      </x:c>
      <x:c r="L274" s="9" t="n">
        <x:v>2499</x:v>
      </x:c>
      <x:c r="M274" s="23" t="n">
        <x:v>0.15</x:v>
      </x:c>
      <x:c r="N274" s="8" t="str">
        <x:v>Cash on Delivery</x:v>
      </x:c>
      <x:c r="O274" s="8" t="str">
        <x:v>Completed</x:v>
      </x:c>
    </x:row>
    <x:row r="275">
      <x:c r="A275" s="8" t="str">
        <x:v>ORD-0271</x:v>
      </x:c>
      <x:c r="B275" s="22" t="n">
        <x:v>45908.424808449075</x:v>
      </x:c>
      <x:c r="C275" s="8" t="str">
        <x:v>CUS-042</x:v>
      </x:c>
      <x:c r="D275" s="8" t="str">
        <x:v>Diya Patel 3</x:v>
      </x:c>
      <x:c r="E275" s="8" t="str">
        <x:v>Small Business</x:v>
      </x:c>
      <x:c r="F275" s="8" t="str">
        <x:v>Kolkata</x:v>
      </x:c>
      <x:c r="G275" s="8" t="str">
        <x:v>East</x:v>
      </x:c>
      <x:c r="H275" s="8" t="str">
        <x:v>PRD-001</x:v>
      </x:c>
      <x:c r="I275" s="8" t="str">
        <x:v>Wireless Mouse</x:v>
      </x:c>
      <x:c r="J275" s="8" t="str">
        <x:v>Electronics</x:v>
      </x:c>
      <x:c r="K275" s="8" t="n">
        <x:v>4</x:v>
      </x:c>
      <x:c r="L275" s="9" t="n">
        <x:v>899</x:v>
      </x:c>
      <x:c r="M275" s="23" t="n">
        <x:v>0.2</x:v>
      </x:c>
      <x:c r="N275" s="8" t="str">
        <x:v>Cash on Delivery</x:v>
      </x:c>
      <x:c r="O275" s="8" t="str">
        <x:v>Completed</x:v>
      </x:c>
    </x:row>
    <x:row r="276">
      <x:c r="A276" s="8" t="str">
        <x:v>ORD-0272</x:v>
      </x:c>
      <x:c r="B276" s="22" t="n">
        <x:v>45846.807781111114</x:v>
      </x:c>
      <x:c r="C276" s="8" t="str">
        <x:v>CUS-003</x:v>
      </x:c>
      <x:c r="D276" s="8" t="str">
        <x:v>Vihaan Singh</x:v>
      </x:c>
      <x:c r="E276" s="8" t="str">
        <x:v>Small Business</x:v>
      </x:c>
      <x:c r="F276" s="8" t="str">
        <x:v>Lucknow</x:v>
      </x:c>
      <x:c r="G276" s="8" t="str">
        <x:v>North</x:v>
      </x:c>
      <x:c r="H276" s="8" t="str">
        <x:v>PRD-003</x:v>
      </x:c>
      <x:c r="I276" s="8" t="str">
        <x:v>USB-C Hub</x:v>
      </x:c>
      <x:c r="J276" s="8" t="str">
        <x:v>Electronics</x:v>
      </x:c>
      <x:c r="K276" s="8" t="n">
        <x:v>2</x:v>
      </x:c>
      <x:c r="L276" s="9" t="n">
        <x:v>1899</x:v>
      </x:c>
      <x:c r="M276" s="23" t="n">
        <x:v>0.15</x:v>
      </x:c>
      <x:c r="N276" s="8" t="str">
        <x:v>Net Banking</x:v>
      </x:c>
      <x:c r="O276" s="8" t="str">
        <x:v>Returned</x:v>
      </x:c>
    </x:row>
    <x:row r="277">
      <x:c r="A277" s="8" t="str">
        <x:v>ORD-0273</x:v>
      </x:c>
      <x:c r="B277" s="22" t="n">
        <x:v>45878.442270844906</x:v>
      </x:c>
      <x:c r="C277" s="8" t="str">
        <x:v>CUS-022</x:v>
      </x:c>
      <x:c r="D277" s="8" t="str">
        <x:v>Diya Patel 2</x:v>
      </x:c>
      <x:c r="E277" s="8" t="str">
        <x:v>Consumer</x:v>
      </x:c>
      <x:c r="F277" s="8" t="str">
        <x:v>Hyderabad</x:v>
      </x:c>
      <x:c r="G277" s="8" t="str">
        <x:v>South</x:v>
      </x:c>
      <x:c r="H277" s="8" t="str">
        <x:v>PRD-001</x:v>
      </x:c>
      <x:c r="I277" s="8" t="str">
        <x:v>Wireless Mouse</x:v>
      </x:c>
      <x:c r="J277" s="8" t="str">
        <x:v>Electronics</x:v>
      </x:c>
      <x:c r="K277" s="8" t="n">
        <x:v>1</x:v>
      </x:c>
      <x:c r="L277" s="9" t="n">
        <x:v>899</x:v>
      </x:c>
      <x:c r="M277" s="23" t="n">
        <x:v>0.05</x:v>
      </x:c>
      <x:c r="N277" s="8" t="str">
        <x:v>Credit Card</x:v>
      </x:c>
      <x:c r="O277" s="8" t="str">
        <x:v>Completed</x:v>
      </x:c>
    </x:row>
    <x:row r="278">
      <x:c r="A278" s="8" t="str">
        <x:v>ORD-0274</x:v>
      </x:c>
      <x:c r="B278" s="22" t="n">
        <x:v>45941.702804849534</x:v>
      </x:c>
      <x:c r="C278" s="8" t="str">
        <x:v>CUS-033</x:v>
      </x:c>
      <x:c r="D278" s="8" t="str">
        <x:v>Rahul Mishra 2</x:v>
      </x:c>
      <x:c r="E278" s="8" t="str">
        <x:v>Small Business</x:v>
      </x:c>
      <x:c r="F278" s="8" t="str">
        <x:v>Hyderabad</x:v>
      </x:c>
      <x:c r="G278" s="8" t="str">
        <x:v>South</x:v>
      </x:c>
      <x:c r="H278" s="8" t="str">
        <x:v>PRD-009</x:v>
      </x:c>
      <x:c r="I278" s="8" t="str">
        <x:v>Table Lamp</x:v>
      </x:c>
      <x:c r="J278" s="8" t="str">
        <x:v>Home &amp; Kitchen</x:v>
      </x:c>
      <x:c r="K278" s="8" t="n">
        <x:v>5</x:v>
      </x:c>
      <x:c r="L278" s="9" t="n">
        <x:v>1499</x:v>
      </x:c>
      <x:c r="M278" s="23" t="n">
        <x:v>0.1</x:v>
      </x:c>
      <x:c r="N278" s="8" t="str">
        <x:v>UPI</x:v>
      </x:c>
      <x:c r="O278" s="8" t="str">
        <x:v>Completed</x:v>
      </x:c>
    </x:row>
    <x:row r="279">
      <x:c r="A279" s="8" t="str">
        <x:v>ORD-0275</x:v>
      </x:c>
      <x:c r="B279" s="22" t="n">
        <x:v>45766.86528679398</x:v>
      </x:c>
      <x:c r="C279" s="8" t="str">
        <x:v>CUS-026</x:v>
      </x:c>
      <x:c r="D279" s="8" t="str">
        <x:v>Isha Mehta 2</x:v>
      </x:c>
      <x:c r="E279" s="8" t="str">
        <x:v>Corporate</x:v>
      </x:c>
      <x:c r="F279" s="8" t="str">
        <x:v>Pune</x:v>
      </x:c>
      <x:c r="G279" s="8" t="str">
        <x:v>West</x:v>
      </x:c>
      <x:c r="H279" s="8" t="str">
        <x:v>PRD-003</x:v>
      </x:c>
      <x:c r="I279" s="8" t="str">
        <x:v>USB-C Hub</x:v>
      </x:c>
      <x:c r="J279" s="8" t="str">
        <x:v>Electronics</x:v>
      </x:c>
      <x:c r="K279" s="8" t="n">
        <x:v>2</x:v>
      </x:c>
      <x:c r="L279" s="9" t="n">
        <x:v>1899</x:v>
      </x:c>
      <x:c r="M279" s="23" t="n">
        <x:v>0.15</x:v>
      </x:c>
      <x:c r="N279" s="8" t="str">
        <x:v>Debit Card</x:v>
      </x:c>
      <x:c r="O279" s="8" t="str">
        <x:v>Completed</x:v>
      </x:c>
    </x:row>
    <x:row r="280">
      <x:c r="A280" s="8" t="str">
        <x:v>ORD-0276</x:v>
      </x:c>
      <x:c r="B280" s="22" t="n">
        <x:v>45964.9432428588</x:v>
      </x:c>
      <x:c r="C280" s="8" t="str">
        <x:v>CUS-064</x:v>
      </x:c>
      <x:c r="D280" s="8" t="str">
        <x:v>Ananya Gupta 4</x:v>
      </x:c>
      <x:c r="E280" s="8" t="str">
        <x:v>Consumer</x:v>
      </x:c>
      <x:c r="F280" s="8" t="str">
        <x:v>Lucknow</x:v>
      </x:c>
      <x:c r="G280" s="8" t="str">
        <x:v>North</x:v>
      </x:c>
      <x:c r="H280" s="8" t="str">
        <x:v>PRD-006</x:v>
      </x:c>
      <x:c r="I280" s="8" t="str">
        <x:v>Desk Organiser</x:v>
      </x:c>
      <x:c r="J280" s="8" t="str">
        <x:v>Office Supplies</x:v>
      </x:c>
      <x:c r="K280" s="8" t="n">
        <x:v>3</x:v>
      </x:c>
      <x:c r="L280" s="9" t="n">
        <x:v>699</x:v>
      </x:c>
      <x:c r="M280" s="23" t="n">
        <x:v>0.1</x:v>
      </x:c>
      <x:c r="N280" s="8" t="str">
        <x:v>UPI</x:v>
      </x:c>
      <x:c r="O280" s="8" t="str">
        <x:v>Completed</x:v>
      </x:c>
    </x:row>
    <x:row r="281">
      <x:c r="A281" s="8" t="str">
        <x:v>ORD-0277</x:v>
      </x:c>
      <x:c r="B281" s="22" t="n">
        <x:v>45668.37865025463</x:v>
      </x:c>
      <x:c r="C281" s="8" t="str">
        <x:v>CUS-051</x:v>
      </x:c>
      <x:c r="D281" s="8" t="str">
        <x:v>Aditya Joshi 3</x:v>
      </x:c>
      <x:c r="E281" s="8" t="str">
        <x:v>Small Business</x:v>
      </x:c>
      <x:c r="F281" s="8" t="str">
        <x:v>Jaipur</x:v>
      </x:c>
      <x:c r="G281" s="8" t="str">
        <x:v>North</x:v>
      </x:c>
      <x:c r="H281" s="8" t="str">
        <x:v>PRD-011</x:v>
      </x:c>
      <x:c r="I281" s="8" t="str">
        <x:v>Classic Wallet</x:v>
      </x:c>
      <x:c r="J281" s="8" t="str">
        <x:v>Fashion</x:v>
      </x:c>
      <x:c r="K281" s="8" t="n">
        <x:v>3</x:v>
      </x:c>
      <x:c r="L281" s="9" t="n">
        <x:v>1199</x:v>
      </x:c>
      <x:c r="M281" s="23" t="n">
        <x:v>0</x:v>
      </x:c>
      <x:c r="N281" s="8" t="str">
        <x:v>UPI</x:v>
      </x:c>
      <x:c r="O281" s="8" t="str">
        <x:v>Completed</x:v>
      </x:c>
    </x:row>
    <x:row r="282">
      <x:c r="A282" s="8" t="str">
        <x:v>ORD-0278</x:v>
      </x:c>
      <x:c r="B282" s="22" t="n">
        <x:v>45695.758626944444</x:v>
      </x:c>
      <x:c r="C282" s="8" t="str">
        <x:v>CUS-041</x:v>
      </x:c>
      <x:c r="D282" s="8" t="str">
        <x:v>Aarav Sharma 3</x:v>
      </x:c>
      <x:c r="E282" s="8" t="str">
        <x:v>Corporate</x:v>
      </x:c>
      <x:c r="F282" s="8" t="str">
        <x:v>Delhi</x:v>
      </x:c>
      <x:c r="G282" s="8" t="str">
        <x:v>North</x:v>
      </x:c>
      <x:c r="H282" s="8" t="str">
        <x:v>PRD-010</x:v>
      </x:c>
      <x:c r="I282" s="8" t="str">
        <x:v>Travel Backpack</x:v>
      </x:c>
      <x:c r="J282" s="8" t="str">
        <x:v>Fashion</x:v>
      </x:c>
      <x:c r="K282" s="8" t="n">
        <x:v>4</x:v>
      </x:c>
      <x:c r="L282" s="9" t="n">
        <x:v>2199</x:v>
      </x:c>
      <x:c r="M282" s="23"/>
      <x:c r="N282" s="8" t="str">
        <x:v>UPI</x:v>
      </x:c>
      <x:c r="O282" s="8" t="str">
        <x:v>Completed</x:v>
      </x:c>
    </x:row>
    <x:row r="283">
      <x:c r="A283" s="8" t="str">
        <x:v>ORD-0279</x:v>
      </x:c>
      <x:c r="B283" s="22" t="n">
        <x:v>45693.62450190972</x:v>
      </x:c>
      <x:c r="C283" s="8" t="str">
        <x:v>CUS-010</x:v>
      </x:c>
      <x:c r="D283" s="8" t="str">
        <x:v>Saanvi Iyer</x:v>
      </x:c>
      <x:c r="E283" s="8" t="str">
        <x:v>Consumer</x:v>
      </x:c>
      <x:c r="F283" s="8" t="str">
        <x:v>Jaipur</x:v>
      </x:c>
      <x:c r="G283" s="8" t="str">
        <x:v>North</x:v>
      </x:c>
      <x:c r="H283" s="8" t="str">
        <x:v>PRD-011</x:v>
      </x:c>
      <x:c r="I283" s="8" t="str">
        <x:v>Classic Wallet</x:v>
      </x:c>
      <x:c r="J283" s="8" t="str">
        <x:v>Fashion</x:v>
      </x:c>
      <x:c r="K283" s="8" t="n">
        <x:v>5</x:v>
      </x:c>
      <x:c r="L283" s="9" t="n">
        <x:v>1199</x:v>
      </x:c>
      <x:c r="M283" s="23" t="n">
        <x:v>0.1</x:v>
      </x:c>
      <x:c r="N283" s="8" t="str">
        <x:v>Net Banking</x:v>
      </x:c>
      <x:c r="O283" s="8" t="str">
        <x:v>Cancelled</x:v>
      </x:c>
    </x:row>
    <x:row r="284">
      <x:c r="A284" s="8" t="str">
        <x:v>ORD-0280</x:v>
      </x:c>
      <x:c r="B284" s="22" t="n">
        <x:v>45984.18526873842</x:v>
      </x:c>
      <x:c r="C284" s="8" t="str">
        <x:v>CUS-050</x:v>
      </x:c>
      <x:c r="D284" s="8" t="str">
        <x:v>Saanvi Iyer 3</x:v>
      </x:c>
      <x:c r="E284" s="8" t="str">
        <x:v>Corporate</x:v>
      </x:c>
      <x:c r="F284" s="8" t="str">
        <x:v>Jaipur</x:v>
      </x:c>
      <x:c r="G284" s="8" t="str">
        <x:v>North</x:v>
      </x:c>
      <x:c r="H284" s="8" t="str">
        <x:v>PRD-006</x:v>
      </x:c>
      <x:c r="I284" s="8" t="str">
        <x:v>Desk Organiser</x:v>
      </x:c>
      <x:c r="J284" s="8" t="str">
        <x:v>Office Supplies</x:v>
      </x:c>
      <x:c r="K284" s="8" t="n">
        <x:v>3</x:v>
      </x:c>
      <x:c r="L284" s="9" t="n">
        <x:v>699</x:v>
      </x:c>
      <x:c r="M284" s="23" t="n">
        <x:v>0</x:v>
      </x:c>
      <x:c r="N284" s="8" t="str">
        <x:v>Cash on Delivery</x:v>
      </x:c>
      <x:c r="O284" s="8" t="str">
        <x:v>Completed</x:v>
      </x:c>
    </x:row>
    <x:row r="285">
      <x:c r="A285" s="8" t="str">
        <x:v>ORD-0281</x:v>
      </x:c>
      <x:c r="B285" s="22" t="n">
        <x:v>46017.595869351855</x:v>
      </x:c>
      <x:c r="C285" s="8" t="str">
        <x:v>CUS-028</x:v>
      </x:c>
      <x:c r="D285" s="8" t="str">
        <x:v>Meera Nair 2</x:v>
      </x:c>
      <x:c r="E285" s="8" t="str">
        <x:v>Consumer</x:v>
      </x:c>
      <x:c r="F285" s="8" t="str">
        <x:v>Jaipur</x:v>
      </x:c>
      <x:c r="G285" s="8" t="str">
        <x:v>North</x:v>
      </x:c>
      <x:c r="H285" s="8" t="str">
        <x:v>PRD-005</x:v>
      </x:c>
      <x:c r="I285" s="8" t="str">
        <x:v>Executive Notebook</x:v>
      </x:c>
      <x:c r="J285" s="8" t="str">
        <x:v>Office Supplies</x:v>
      </x:c>
      <x:c r="K285" s="8" t="n">
        <x:v>5</x:v>
      </x:c>
      <x:c r="L285" s="9" t="n">
        <x:v>349</x:v>
      </x:c>
      <x:c r="M285" s="23" t="n">
        <x:v>0.05</x:v>
      </x:c>
      <x:c r="N285" s="8" t="str">
        <x:v>Net Banking</x:v>
      </x:c>
      <x:c r="O285" s="8" t="str">
        <x:v>Completed</x:v>
      </x:c>
    </x:row>
    <x:row r="286">
      <x:c r="A286" s="8" t="str">
        <x:v>ORD-0282</x:v>
      </x:c>
      <x:c r="B286" s="22" t="n">
        <x:v>45805.7188684838</x:v>
      </x:c>
      <x:c r="C286" s="8" t="str">
        <x:v>CUS-053</x:v>
      </x:c>
      <x:c r="D286" s="8" t="str">
        <x:v>Rahul Mishra 3</x:v>
      </x:c>
      <x:c r="E286" s="8" t="str">
        <x:v>Corporate</x:v>
      </x:c>
      <x:c r="F286" s="8" t="str">
        <x:v>Delhi</x:v>
      </x:c>
      <x:c r="G286" s="8" t="str">
        <x:v>North</x:v>
      </x:c>
      <x:c r="H286" s="8" t="str">
        <x:v>PRD-012</x:v>
      </x:c>
      <x:c r="I286" s="8" t="str">
        <x:v>Stainless Water Bottle</x:v>
      </x:c>
      <x:c r="J286" s="8" t="str">
        <x:v>Lifestyle</x:v>
      </x:c>
      <x:c r="K286" s="8" t="n">
        <x:v>3</x:v>
      </x:c>
      <x:c r="L286" s="9" t="n">
        <x:v>799</x:v>
      </x:c>
      <x:c r="M286" s="23" t="n">
        <x:v>0.05</x:v>
      </x:c>
      <x:c r="N286" s="8" t="str">
        <x:v>Credit Card</x:v>
      </x:c>
      <x:c r="O286" s="8" t="str">
        <x:v>Completed</x:v>
      </x:c>
    </x:row>
    <x:row r="287">
      <x:c r="A287" s="8" t="str">
        <x:v>ORD-0283</x:v>
      </x:c>
      <x:c r="B287" s="22" t="n">
        <x:v>45681.087685405095</x:v>
      </x:c>
      <x:c r="C287" s="8" t="str">
        <x:v>CUS-012</x:v>
      </x:c>
      <x:c r="D287" s="8" t="str">
        <x:v>Priya Kapoor</x:v>
      </x:c>
      <x:c r="E287" s="8" t="str">
        <x:v>Small Business</x:v>
      </x:c>
      <x:c r="F287" s="8" t="str">
        <x:v>Mumbai</x:v>
      </x:c>
      <x:c r="G287" s="8" t="str">
        <x:v>West</x:v>
      </x:c>
      <x:c r="H287" s="8" t="str">
        <x:v>PRD-008</x:v>
      </x:c>
      <x:c r="I287" s="8" t="str">
        <x:v>Storage Container Set</x:v>
      </x:c>
      <x:c r="J287" s="8" t="str">
        <x:v>Home &amp; Kitchen</x:v>
      </x:c>
      <x:c r="K287" s="8" t="n">
        <x:v>3</x:v>
      </x:c>
      <x:c r="L287" s="9" t="n">
        <x:v>999</x:v>
      </x:c>
      <x:c r="M287" s="23" t="n">
        <x:v>0.1</x:v>
      </x:c>
      <x:c r="N287" s="8" t="str">
        <x:v>Cash on Delivery</x:v>
      </x:c>
      <x:c r="O287" s="8" t="str">
        <x:v>Returned</x:v>
      </x:c>
    </x:row>
    <x:row r="288">
      <x:c r="A288" s="8" t="str">
        <x:v>ORD-0284</x:v>
      </x:c>
      <x:c r="B288" s="22" t="n">
        <x:v>45964.466228969904</x:v>
      </x:c>
      <x:c r="C288" s="8" t="str">
        <x:v>CUS-011</x:v>
      </x:c>
      <x:c r="D288" s="8" t="str">
        <x:v>Aditya Joshi</x:v>
      </x:c>
      <x:c r="E288" s="8" t="str">
        <x:v>Corporate</x:v>
      </x:c>
      <x:c r="F288" s="8" t="str">
        <x:v>Jaipur</x:v>
      </x:c>
      <x:c r="G288" s="8" t="str">
        <x:v>North</x:v>
      </x:c>
      <x:c r="H288" s="8" t="str">
        <x:v>PRD-008</x:v>
      </x:c>
      <x:c r="I288" s="8" t="str">
        <x:v>Storage Container Set</x:v>
      </x:c>
      <x:c r="J288" s="8" t="str">
        <x:v>Home &amp; Kitchen</x:v>
      </x:c>
      <x:c r="K288" s="8" t="n">
        <x:v>3</x:v>
      </x:c>
      <x:c r="L288" s="9" t="n">
        <x:v>999</x:v>
      </x:c>
      <x:c r="M288" s="23" t="n">
        <x:v>0.1</x:v>
      </x:c>
      <x:c r="N288" s="8" t="str">
        <x:v>Cash on Delivery</x:v>
      </x:c>
      <x:c r="O288" s="8" t="str">
        <x:v>Completed</x:v>
      </x:c>
    </x:row>
    <x:row r="289">
      <x:c r="A289" s="8" t="str">
        <x:v>ORD-0285</x:v>
      </x:c>
      <x:c r="B289" s="22" t="n">
        <x:v>45804.66103040509</x:v>
      </x:c>
      <x:c r="C289" s="8" t="str">
        <x:v>CUS-015</x:v>
      </x:c>
      <x:c r="D289" s="8" t="str">
        <x:v>Karan Malhotra</x:v>
      </x:c>
      <x:c r="E289" s="8" t="str">
        <x:v>Small Business</x:v>
      </x:c>
      <x:c r="F289" s="8" t="str">
        <x:v>Mumbai</x:v>
      </x:c>
      <x:c r="G289" s="8" t="str">
        <x:v>West</x:v>
      </x:c>
      <x:c r="H289" s="8" t="str">
        <x:v>PRD-009</x:v>
      </x:c>
      <x:c r="I289" s="8" t="str">
        <x:v>Table Lamp</x:v>
      </x:c>
      <x:c r="J289" s="8" t="str">
        <x:v>Home &amp; Kitchen</x:v>
      </x:c>
      <x:c r="K289" s="8" t="n">
        <x:v>1</x:v>
      </x:c>
      <x:c r="L289" s="9" t="n">
        <x:v>1499</x:v>
      </x:c>
      <x:c r="M289" s="23" t="n">
        <x:v>0</x:v>
      </x:c>
      <x:c r="N289" s="8" t="str">
        <x:v>Credit Card</x:v>
      </x:c>
      <x:c r="O289" s="8" t="str">
        <x:v>Completed</x:v>
      </x:c>
    </x:row>
    <x:row r="290">
      <x:c r="A290" s="8" t="str">
        <x:v>ORD-0286</x:v>
      </x:c>
      <x:c r="B290" s="22" t="n">
        <x:v>45685.993247708335</x:v>
      </x:c>
      <x:c r="C290" s="8" t="str">
        <x:v>CUS-030</x:v>
      </x:c>
      <x:c r="D290" s="8" t="str">
        <x:v>Saanvi Iyer 2</x:v>
      </x:c>
      <x:c r="E290" s="8" t="str">
        <x:v>Small Business</x:v>
      </x:c>
      <x:c r="F290" s="8" t="str">
        <x:v>Mumbai</x:v>
      </x:c>
      <x:c r="G290" s="8" t="str">
        <x:v>West</x:v>
      </x:c>
      <x:c r="H290" s="8" t="str">
        <x:v>PRD-011</x:v>
      </x:c>
      <x:c r="I290" s="8" t="str">
        <x:v>Classic Wallet</x:v>
      </x:c>
      <x:c r="J290" s="8" t="str">
        <x:v>Fashion</x:v>
      </x:c>
      <x:c r="K290" s="8" t="n">
        <x:v>1</x:v>
      </x:c>
      <x:c r="L290" s="9" t="n">
        <x:v>1199</x:v>
      </x:c>
      <x:c r="M290" s="23" t="n">
        <x:v>0</x:v>
      </x:c>
      <x:c r="N290" s="8" t="str">
        <x:v>Net Banking</x:v>
      </x:c>
      <x:c r="O290" s="8" t="str">
        <x:v>Completed</x:v>
      </x:c>
    </x:row>
    <x:row r="291">
      <x:c r="A291" s="8" t="str">
        <x:v>ORD-0287</x:v>
      </x:c>
      <x:c r="B291" s="22" t="n">
        <x:v>45772.49675197917</x:v>
      </x:c>
      <x:c r="C291" s="8" t="str">
        <x:v>CUS-072</x:v>
      </x:c>
      <x:c r="D291" s="8" t="str">
        <x:v>Priya Kapoor 4</x:v>
      </x:c>
      <x:c r="E291" s="8" t="str">
        <x:v>Small Business</x:v>
      </x:c>
      <x:c r="F291" s="8" t="str">
        <x:v>Delhi</x:v>
      </x:c>
      <x:c r="G291" s="8" t="str">
        <x:v>North</x:v>
      </x:c>
      <x:c r="H291" s="8" t="str">
        <x:v>PRD-007</x:v>
      </x:c>
      <x:c r="I291" s="8" t="str">
        <x:v>Electric Kettle</x:v>
      </x:c>
      <x:c r="J291" s="8" t="str">
        <x:v>Home &amp; Kitchen</x:v>
      </x:c>
      <x:c r="K291" s="8" t="n">
        <x:v>5</x:v>
      </x:c>
      <x:c r="L291" s="9" t="n">
        <x:v>1699</x:v>
      </x:c>
      <x:c r="M291" s="23" t="n">
        <x:v>0.15</x:v>
      </x:c>
      <x:c r="N291" s="8" t="str">
        <x:v>Credit Card</x:v>
      </x:c>
      <x:c r="O291" s="8" t="str">
        <x:v>Cancelled</x:v>
      </x:c>
    </x:row>
    <x:row r="292">
      <x:c r="A292" s="8" t="str">
        <x:v>ORD-0288</x:v>
      </x:c>
      <x:c r="B292" s="22" t="n">
        <x:v>45659.853977893516</x:v>
      </x:c>
      <x:c r="C292" s="8" t="str">
        <x:v>CUS-069</x:v>
      </x:c>
      <x:c r="D292" s="8" t="str">
        <x:v>Rohan Das 4</x:v>
      </x:c>
      <x:c r="E292" s="8" t="str">
        <x:v>Small Business</x:v>
      </x:c>
      <x:c r="F292" s="8" t="str">
        <x:v>Hyderabad</x:v>
      </x:c>
      <x:c r="G292" s="8" t="str">
        <x:v>South</x:v>
      </x:c>
      <x:c r="H292" s="8" t="str">
        <x:v>PRD-001</x:v>
      </x:c>
      <x:c r="I292" s="8" t="str">
        <x:v>Wireless Mouse</x:v>
      </x:c>
      <x:c r="J292" s="8" t="str">
        <x:v>Electronics</x:v>
      </x:c>
      <x:c r="K292" s="8" t="n">
        <x:v>4</x:v>
      </x:c>
      <x:c r="L292" s="9" t="n">
        <x:v>899</x:v>
      </x:c>
      <x:c r="M292" s="23" t="n">
        <x:v>0.15</x:v>
      </x:c>
      <x:c r="N292" s="8" t="str">
        <x:v>Net Banking</x:v>
      </x:c>
      <x:c r="O292" s="8" t="str">
        <x:v>Completed</x:v>
      </x:c>
    </x:row>
    <x:row r="293">
      <x:c r="A293" s="8" t="str">
        <x:v>ORD-0289</x:v>
      </x:c>
      <x:c r="B293" s="22" t="n">
        <x:v>45931.78204269676</x:v>
      </x:c>
      <x:c r="C293" s="8" t="str">
        <x:v>CUS-049</x:v>
      </x:c>
      <x:c r="D293" s="8" t="str">
        <x:v>Rohan Das 3</x:v>
      </x:c>
      <x:c r="E293" s="8" t="str">
        <x:v>Consumer</x:v>
      </x:c>
      <x:c r="F293" s="8" t="str">
        <x:v>Jaipur</x:v>
      </x:c>
      <x:c r="G293" s="8" t="str">
        <x:v>North</x:v>
      </x:c>
      <x:c r="H293" s="8" t="str">
        <x:v>PRD-011</x:v>
      </x:c>
      <x:c r="I293" s="8" t="str">
        <x:v>Classic Wallet</x:v>
      </x:c>
      <x:c r="J293" s="8" t="str">
        <x:v>Fashion</x:v>
      </x:c>
      <x:c r="K293" s="8" t="n">
        <x:v>1</x:v>
      </x:c>
      <x:c r="L293" s="9" t="n">
        <x:v>1199</x:v>
      </x:c>
      <x:c r="M293" s="23" t="n">
        <x:v>0</x:v>
      </x:c>
      <x:c r="N293" s="8" t="str">
        <x:v>Cash on Delivery</x:v>
      </x:c>
      <x:c r="O293" s="8" t="str">
        <x:v>Completed</x:v>
      </x:c>
    </x:row>
    <x:row r="294">
      <x:c r="A294" s="8" t="str">
        <x:v>ORD-0290</x:v>
      </x:c>
      <x:c r="B294" s="22" t="n">
        <x:v>45676.02233936342</x:v>
      </x:c>
      <x:c r="C294" s="8" t="str">
        <x:v>CUS-029</x:v>
      </x:c>
      <x:c r="D294" s="8" t="str">
        <x:v>Rohan Das 2</x:v>
      </x:c>
      <x:c r="E294" s="8" t="str">
        <x:v>Corporate</x:v>
      </x:c>
      <x:c r="F294" s="8" t="str">
        <x:v>Kolkata</x:v>
      </x:c>
      <x:c r="G294" s="8" t="str">
        <x:v>East</x:v>
      </x:c>
      <x:c r="H294" s="8" t="str">
        <x:v>PRD-007</x:v>
      </x:c>
      <x:c r="I294" s="8" t="str">
        <x:v>Electric Kettle</x:v>
      </x:c>
      <x:c r="J294" s="8" t="str">
        <x:v>Home &amp; Kitchen</x:v>
      </x:c>
      <x:c r="K294" s="8" t="n">
        <x:v>5</x:v>
      </x:c>
      <x:c r="L294" s="9" t="n">
        <x:v>1699</x:v>
      </x:c>
      <x:c r="M294" s="23" t="n">
        <x:v>0.1</x:v>
      </x:c>
      <x:c r="N294" s="8" t="str">
        <x:v>Debit Card</x:v>
      </x:c>
      <x:c r="O294" s="8" t="str">
        <x:v>Returned</x:v>
      </x:c>
    </x:row>
    <x:row r="295">
      <x:c r="A295" s="8" t="str">
        <x:v>ORD-0291</x:v>
      </x:c>
      <x:c r="B295" s="22" t="n">
        <x:v>45864.50141631944</x:v>
      </x:c>
      <x:c r="C295" s="8" t="str">
        <x:v>CUS-070</x:v>
      </x:c>
      <x:c r="D295" s="8" t="str">
        <x:v>Saanvi Iyer 4</x:v>
      </x:c>
      <x:c r="E295" s="8" t="str">
        <x:v>Consumer</x:v>
      </x:c>
      <x:c r="F295" s="8" t="str">
        <x:v>Jaipur</x:v>
      </x:c>
      <x:c r="G295" s="8" t="str">
        <x:v>North</x:v>
      </x:c>
      <x:c r="H295" s="8" t="str">
        <x:v>PRD-004</x:v>
      </x:c>
      <x:c r="I295" s="8" t="str">
        <x:v>Laptop Stand</x:v>
      </x:c>
      <x:c r="J295" s="8" t="str">
        <x:v>Office Supplies</x:v>
      </x:c>
      <x:c r="K295" s="8" t="n">
        <x:v>5</x:v>
      </x:c>
      <x:c r="L295" s="9" t="n">
        <x:v>1299</x:v>
      </x:c>
      <x:c r="M295" s="23" t="n">
        <x:v>0.15</x:v>
      </x:c>
      <x:c r="N295" s="8" t="str">
        <x:v>UPI</x:v>
      </x:c>
      <x:c r="O295" s="8" t="str">
        <x:v>Completed</x:v>
      </x:c>
    </x:row>
    <x:row r="296">
      <x:c r="A296" s="8" t="str">
        <x:v>ORD-0292</x:v>
      </x:c>
      <x:c r="B296" s="22" t="n">
        <x:v>45997.21972550926</x:v>
      </x:c>
      <x:c r="C296" s="8" t="str">
        <x:v>CUS-025</x:v>
      </x:c>
      <x:c r="D296" s="8" t="str">
        <x:v>Arjun Verma 2</x:v>
      </x:c>
      <x:c r="E296" s="8" t="str">
        <x:v>Consumer</x:v>
      </x:c>
      <x:c r="F296" s="8" t="str">
        <x:v>Pune</x:v>
      </x:c>
      <x:c r="G296" s="8" t="str">
        <x:v>West</x:v>
      </x:c>
      <x:c r="H296" s="8" t="str">
        <x:v>PRD-002</x:v>
      </x:c>
      <x:c r="I296" s="8" t="str">
        <x:v>Bluetooth Headphones</x:v>
      </x:c>
      <x:c r="J296" s="8" t="str">
        <x:v>Electronics</x:v>
      </x:c>
      <x:c r="K296" s="8" t="n">
        <x:v>4</x:v>
      </x:c>
      <x:c r="L296" s="9" t="n">
        <x:v>2499</x:v>
      </x:c>
      <x:c r="M296" s="23" t="n">
        <x:v>0.1</x:v>
      </x:c>
      <x:c r="N296" s="8" t="str">
        <x:v>Debit Card</x:v>
      </x:c>
      <x:c r="O296" s="8" t="str">
        <x:v>Returned</x:v>
      </x:c>
    </x:row>
    <x:row r="297">
      <x:c r="A297" s="8" t="str">
        <x:v>ORD-0293</x:v>
      </x:c>
      <x:c r="B297" s="22" t="n">
        <x:v>45768.88002603009</x:v>
      </x:c>
      <x:c r="C297" s="8" t="str">
        <x:v>CUS-034</x:v>
      </x:c>
      <x:c r="D297" s="8" t="str">
        <x:v>Neha Rao 2</x:v>
      </x:c>
      <x:c r="E297" s="8" t="str">
        <x:v>Consumer</x:v>
      </x:c>
      <x:c r="F297" s="8" t="str">
        <x:v>Ahmedabad</x:v>
      </x:c>
      <x:c r="G297" s="8" t="str">
        <x:v>West</x:v>
      </x:c>
      <x:c r="H297" s="8" t="str">
        <x:v>PRD-010</x:v>
      </x:c>
      <x:c r="I297" s="8" t="str">
        <x:v>Travel Backpack</x:v>
      </x:c>
      <x:c r="J297" s="8" t="str">
        <x:v>Fashion</x:v>
      </x:c>
      <x:c r="K297" s="8" t="n">
        <x:v>3</x:v>
      </x:c>
      <x:c r="L297" s="9" t="n">
        <x:v>2199</x:v>
      </x:c>
      <x:c r="M297" s="23" t="n">
        <x:v>0</x:v>
      </x:c>
      <x:c r="N297" s="8" t="str">
        <x:v>Net Banking</x:v>
      </x:c>
      <x:c r="O297" s="8" t="str">
        <x:v>Completed</x:v>
      </x:c>
    </x:row>
    <x:row r="298">
      <x:c r="A298" s="8" t="str">
        <x:v>ORD-0294</x:v>
      </x:c>
      <x:c r="B298" s="22" t="n">
        <x:v>45687.64912030093</x:v>
      </x:c>
      <x:c r="C298" s="8" t="str">
        <x:v>CUS-068</x:v>
      </x:c>
      <x:c r="D298" s="8" t="str">
        <x:v>Meera Nair 4</x:v>
      </x:c>
      <x:c r="E298" s="8" t="str">
        <x:v>Corporate</x:v>
      </x:c>
      <x:c r="F298" s="8" t="str">
        <x:v>Ahmedabad</x:v>
      </x:c>
      <x:c r="G298" s="8" t="str">
        <x:v>West</x:v>
      </x:c>
      <x:c r="H298" s="8" t="str">
        <x:v>PRD-002</x:v>
      </x:c>
      <x:c r="I298" s="8" t="str">
        <x:v>Bluetooth Headphones</x:v>
      </x:c>
      <x:c r="J298" s="8" t="str">
        <x:v>Electronics</x:v>
      </x:c>
      <x:c r="K298" s="8" t="n">
        <x:v>5</x:v>
      </x:c>
      <x:c r="L298" s="9" t="n">
        <x:v>2499</x:v>
      </x:c>
      <x:c r="M298" s="23" t="n">
        <x:v>0.1</x:v>
      </x:c>
      <x:c r="N298" s="8" t="str">
        <x:v>Net Banking</x:v>
      </x:c>
      <x:c r="O298" s="8" t="str">
        <x:v>Completed</x:v>
      </x:c>
    </x:row>
    <x:row r="299">
      <x:c r="A299" s="8" t="str">
        <x:v>ORD-0295</x:v>
      </x:c>
      <x:c r="B299" s="22" t="n">
        <x:v>45796.788543055554</x:v>
      </x:c>
      <x:c r="C299" s="8" t="str">
        <x:v>CUS-033</x:v>
      </x:c>
      <x:c r="D299" s="8" t="str">
        <x:v>Rahul Mishra 2</x:v>
      </x:c>
      <x:c r="E299" s="8" t="str">
        <x:v>Small Business</x:v>
      </x:c>
      <x:c r="F299" s="8" t="str">
        <x:v>Hyderabad</x:v>
      </x:c>
      <x:c r="G299" s="8" t="str">
        <x:v>South</x:v>
      </x:c>
      <x:c r="H299" s="8" t="str">
        <x:v>PRD-002</x:v>
      </x:c>
      <x:c r="I299" s="8" t="str">
        <x:v>Bluetooth Headphones</x:v>
      </x:c>
      <x:c r="J299" s="8" t="str">
        <x:v>Electronics</x:v>
      </x:c>
      <x:c r="K299" s="8" t="n">
        <x:v>3</x:v>
      </x:c>
      <x:c r="L299" s="9" t="n">
        <x:v>2499</x:v>
      </x:c>
      <x:c r="M299" s="23" t="n">
        <x:v>0</x:v>
      </x:c>
      <x:c r="N299" s="8" t="str">
        <x:v>Credit Card</x:v>
      </x:c>
      <x:c r="O299" s="8" t="str">
        <x:v>Completed</x:v>
      </x:c>
    </x:row>
    <x:row r="300">
      <x:c r="A300" s="8" t="str">
        <x:v>ORD-0296</x:v>
      </x:c>
      <x:c r="B300" s="22" t="n">
        <x:v>46005.36408141204</x:v>
      </x:c>
      <x:c r="C300" s="8" t="str">
        <x:v>CUS-072</x:v>
      </x:c>
      <x:c r="D300" s="8" t="str">
        <x:v>Priya Kapoor 4</x:v>
      </x:c>
      <x:c r="E300" s="8" t="str">
        <x:v>Small Business</x:v>
      </x:c>
      <x:c r="F300" s="8" t="str">
        <x:v>Bengaluru</x:v>
      </x:c>
      <x:c r="G300" s="8" t="str">
        <x:v>South</x:v>
      </x:c>
      <x:c r="H300" s="8" t="str">
        <x:v>PRD-009</x:v>
      </x:c>
      <x:c r="I300" s="8" t="str">
        <x:v>Table Lamp</x:v>
      </x:c>
      <x:c r="J300" s="8" t="str">
        <x:v>Home &amp; Kitchen</x:v>
      </x:c>
      <x:c r="K300" s="8" t="n">
        <x:v>5</x:v>
      </x:c>
      <x:c r="L300" s="9" t="n">
        <x:v>1499</x:v>
      </x:c>
      <x:c r="M300" s="23" t="n">
        <x:v>0</x:v>
      </x:c>
      <x:c r="N300" s="8" t="str">
        <x:v>Credit Card</x:v>
      </x:c>
      <x:c r="O300" s="8" t="str">
        <x:v>Completed</x:v>
      </x:c>
    </x:row>
    <x:row r="301">
      <x:c r="A301" s="8" t="str">
        <x:v>ORD-0297</x:v>
      </x:c>
      <x:c r="B301" s="22" t="n">
        <x:v>45684.93524699074</x:v>
      </x:c>
      <x:c r="C301" s="8" t="str">
        <x:v>CUS-055</x:v>
      </x:c>
      <x:c r="D301" s="8" t="str">
        <x:v>Karan Malhotra 3</x:v>
      </x:c>
      <x:c r="E301" s="8" t="str">
        <x:v>Consumer</x:v>
      </x:c>
      <x:c r="F301" s="8" t="str">
        <x:v>Bengaluru</x:v>
      </x:c>
      <x:c r="G301" s="8" t="str">
        <x:v>South</x:v>
      </x:c>
      <x:c r="H301" s="8" t="str">
        <x:v>PRD-003</x:v>
      </x:c>
      <x:c r="I301" s="8" t="str">
        <x:v>USB-C Hub</x:v>
      </x:c>
      <x:c r="J301" s="8" t="str">
        <x:v>Electronics</x:v>
      </x:c>
      <x:c r="K301" s="8" t="n">
        <x:v>5</x:v>
      </x:c>
      <x:c r="L301" s="9" t="n">
        <x:v>1899</x:v>
      </x:c>
      <x:c r="M301" s="23" t="n">
        <x:v>0</x:v>
      </x:c>
      <x:c r="N301" s="8" t="str">
        <x:v>Net Banking</x:v>
      </x:c>
      <x:c r="O301" s="8" t="str">
        <x:v>Completed</x:v>
      </x:c>
    </x:row>
    <x:row r="302">
      <x:c r="A302" s="8" t="str">
        <x:v>ORD-0298</x:v>
      </x:c>
      <x:c r="B302" s="22" t="n">
        <x:v>45981.2267153125</x:v>
      </x:c>
      <x:c r="C302" s="8" t="str">
        <x:v>CUS-023</x:v>
      </x:c>
      <x:c r="D302" s="8" t="str">
        <x:v>Vihaan Singh 2</x:v>
      </x:c>
      <x:c r="E302" s="8" t="str">
        <x:v>Corporate</x:v>
      </x:c>
      <x:c r="F302" s="8" t="str">
        <x:v>Delhi</x:v>
      </x:c>
      <x:c r="G302" s="8" t="str">
        <x:v>North</x:v>
      </x:c>
      <x:c r="H302" s="8" t="str">
        <x:v>PRD-008</x:v>
      </x:c>
      <x:c r="I302" s="8" t="str">
        <x:v>Storage Container Set</x:v>
      </x:c>
      <x:c r="J302" s="8" t="str">
        <x:v>Home &amp; Kitchen</x:v>
      </x:c>
      <x:c r="K302" s="8" t="n">
        <x:v>2</x:v>
      </x:c>
      <x:c r="L302" s="9" t="n">
        <x:v>999</x:v>
      </x:c>
      <x:c r="M302" s="23" t="n">
        <x:v>0.2</x:v>
      </x:c>
      <x:c r="N302" s="8" t="str">
        <x:v>Debit Card</x:v>
      </x:c>
      <x:c r="O302" s="8" t="str">
        <x:v>Completed</x:v>
      </x:c>
    </x:row>
    <x:row r="303">
      <x:c r="A303" s="8" t="str">
        <x:v>ORD-0299</x:v>
      </x:c>
      <x:c r="B303" s="22" t="n">
        <x:v>45664.021801076386</x:v>
      </x:c>
      <x:c r="C303" s="8" t="str">
        <x:v>CUS-069</x:v>
      </x:c>
      <x:c r="D303" s="8" t="str">
        <x:v>Rohan Das 4</x:v>
      </x:c>
      <x:c r="E303" s="8" t="str">
        <x:v>Small Business</x:v>
      </x:c>
      <x:c r="F303" s="8" t="str">
        <x:v>Jaipur</x:v>
      </x:c>
      <x:c r="G303" s="8" t="str">
        <x:v>North</x:v>
      </x:c>
      <x:c r="H303" s="8" t="str">
        <x:v>PRD-002</x:v>
      </x:c>
      <x:c r="I303" s="8" t="str">
        <x:v>Bluetooth Headphones</x:v>
      </x:c>
      <x:c r="J303" s="8" t="str">
        <x:v>Electronics</x:v>
      </x:c>
      <x:c r="K303" s="8" t="n">
        <x:v>4</x:v>
      </x:c>
      <x:c r="L303" s="9" t="n">
        <x:v>2499</x:v>
      </x:c>
      <x:c r="M303" s="23" t="n">
        <x:v>0.2</x:v>
      </x:c>
      <x:c r="N303" s="8" t="str">
        <x:v>Cash on Delivery</x:v>
      </x:c>
      <x:c r="O303" s="8" t="str">
        <x:v>Completed</x:v>
      </x:c>
    </x:row>
    <x:row r="304">
      <x:c r="A304" s="8" t="str">
        <x:v>ORD-0300</x:v>
      </x:c>
      <x:c r="B304" s="22" t="n">
        <x:v>45816.13280590278</x:v>
      </x:c>
      <x:c r="C304" s="8" t="str">
        <x:v>CUS-078</x:v>
      </x:c>
      <x:c r="D304" s="8" t="str">
        <x:v>Nisha Bansal 4</x:v>
      </x:c>
      <x:c r="E304" s="8" t="str">
        <x:v>Small Business</x:v>
      </x:c>
      <x:c r="F304" s="8" t="str">
        <x:v>Jaipur</x:v>
      </x:c>
      <x:c r="G304" s="8" t="str">
        <x:v>North</x:v>
      </x:c>
      <x:c r="H304" s="8" t="str">
        <x:v>PRD-011</x:v>
      </x:c>
      <x:c r="I304" s="8" t="str">
        <x:v>Classic Wallet</x:v>
      </x:c>
      <x:c r="J304" s="8" t="str">
        <x:v>Fashion</x:v>
      </x:c>
      <x:c r="K304" s="8" t="n">
        <x:v>2</x:v>
      </x:c>
      <x:c r="L304" s="9" t="n">
        <x:v>1199</x:v>
      </x:c>
      <x:c r="M304" s="23" t="n">
        <x:v>0.2</x:v>
      </x:c>
      <x:c r="N304" s="8" t="str">
        <x:v>Cash on Delivery</x:v>
      </x:c>
      <x:c r="O304" s="8" t="str">
        <x:v>Completed</x:v>
      </x:c>
    </x:row>
    <x:row r="305">
      <x:c r="A305" s="8" t="str">
        <x:v>ORD-0301</x:v>
      </x:c>
      <x:c r="B305" s="22" t="n">
        <x:v>45728.703917604165</x:v>
      </x:c>
      <x:c r="C305" s="8" t="str">
        <x:v>CUS-050</x:v>
      </x:c>
      <x:c r="D305" s="8" t="str">
        <x:v>Saanvi Iyer 3</x:v>
      </x:c>
      <x:c r="E305" s="8" t="str">
        <x:v>Corporate</x:v>
      </x:c>
      <x:c r="F305" s="8" t="str">
        <x:v>Bengaluru</x:v>
      </x:c>
      <x:c r="G305" s="8" t="str">
        <x:v>South</x:v>
      </x:c>
      <x:c r="H305" s="8" t="str">
        <x:v>PRD-003</x:v>
      </x:c>
      <x:c r="I305" s="8" t="str">
        <x:v>USB-C Hub</x:v>
      </x:c>
      <x:c r="J305" s="8" t="str">
        <x:v>Electronics</x:v>
      </x:c>
      <x:c r="K305" s="8" t="n">
        <x:v>2</x:v>
      </x:c>
      <x:c r="L305" s="9" t="n">
        <x:v>1899</x:v>
      </x:c>
      <x:c r="M305" s="23" t="n">
        <x:v>0.2</x:v>
      </x:c>
      <x:c r="N305" s="8" t="str">
        <x:v>Debit Card</x:v>
      </x:c>
      <x:c r="O305" s="8" t="str">
        <x:v>Completed</x:v>
      </x:c>
    </x:row>
    <x:row r="306">
      <x:c r="A306" s="8" t="str">
        <x:v>ORD-0302</x:v>
      </x:c>
      <x:c r="B306" s="22" t="n">
        <x:v>45986.66493731482</x:v>
      </x:c>
      <x:c r="C306" s="8" t="str">
        <x:v>CUS-039</x:v>
      </x:c>
      <x:c r="D306" s="8" t="str">
        <x:v>Siddharth Jain 2</x:v>
      </x:c>
      <x:c r="E306" s="8" t="str">
        <x:v>Small Business</x:v>
      </x:c>
      <x:c r="F306" s="8" t="str">
        <x:v>Bengaluru</x:v>
      </x:c>
      <x:c r="G306" s="8" t="str">
        <x:v>South</x:v>
      </x:c>
      <x:c r="H306" s="8" t="str">
        <x:v>PRD-003</x:v>
      </x:c>
      <x:c r="I306" s="8" t="str">
        <x:v>USB-C Hub</x:v>
      </x:c>
      <x:c r="J306" s="8" t="str">
        <x:v>Electronics</x:v>
      </x:c>
      <x:c r="K306" s="8" t="n">
        <x:v>3</x:v>
      </x:c>
      <x:c r="L306" s="9" t="n">
        <x:v>1899</x:v>
      </x:c>
      <x:c r="M306" s="23" t="n">
        <x:v>0.15</x:v>
      </x:c>
      <x:c r="N306" s="8" t="str">
        <x:v>Debit Card</x:v>
      </x:c>
      <x:c r="O306" s="8" t="str">
        <x:v>Completed</x:v>
      </x:c>
    </x:row>
    <x:row r="307">
      <x:c r="A307" s="8" t="str">
        <x:v>ORD-0303</x:v>
      </x:c>
      <x:c r="B307" s="22" t="n">
        <x:v>45998.15974423611</x:v>
      </x:c>
      <x:c r="C307" s="8" t="str">
        <x:v>CUS-056</x:v>
      </x:c>
      <x:c r="D307" s="8" t="str">
        <x:v>Pooja Saxena 3</x:v>
      </x:c>
      <x:c r="E307" s="8" t="str">
        <x:v>Corporate</x:v>
      </x:c>
      <x:c r="F307" s="8" t="str">
        <x:v>Chennai</x:v>
      </x:c>
      <x:c r="G307" s="8" t="str">
        <x:v>South</x:v>
      </x:c>
      <x:c r="H307" s="8" t="str">
        <x:v>PRD-009</x:v>
      </x:c>
      <x:c r="I307" s="8" t="str">
        <x:v>Table Lamp</x:v>
      </x:c>
      <x:c r="J307" s="8" t="str">
        <x:v>Home &amp; Kitchen</x:v>
      </x:c>
      <x:c r="K307" s="8" t="n">
        <x:v>3</x:v>
      </x:c>
      <x:c r="L307" s="9" t="n">
        <x:v>1499</x:v>
      </x:c>
      <x:c r="M307" s="23" t="n">
        <x:v>0.2</x:v>
      </x:c>
      <x:c r="N307" s="8" t="str">
        <x:v>Cash on Delivery</x:v>
      </x:c>
      <x:c r="O307" s="8" t="str">
        <x:v>Completed</x:v>
      </x:c>
    </x:row>
    <x:row r="308">
      <x:c r="A308" s="8" t="str">
        <x:v>ORD-0304</x:v>
      </x:c>
      <x:c r="B308" s="22" t="n">
        <x:v>45866.30557711806</x:v>
      </x:c>
      <x:c r="C308" s="8" t="str">
        <x:v>CUS-070</x:v>
      </x:c>
      <x:c r="D308" s="8" t="str">
        <x:v>Saanvi Iyer 4</x:v>
      </x:c>
      <x:c r="E308" s="8" t="str">
        <x:v>Consumer</x:v>
      </x:c>
      <x:c r="F308" s="8" t="str">
        <x:v>Mumbai</x:v>
      </x:c>
      <x:c r="G308" s="8" t="str">
        <x:v>West</x:v>
      </x:c>
      <x:c r="H308" s="8" t="str">
        <x:v>PRD-006</x:v>
      </x:c>
      <x:c r="I308" s="8" t="str">
        <x:v>Desk Organiser</x:v>
      </x:c>
      <x:c r="J308" s="8" t="str">
        <x:v>Office Supplies</x:v>
      </x:c>
      <x:c r="K308" s="8" t="n">
        <x:v>2</x:v>
      </x:c>
      <x:c r="L308" s="9" t="n">
        <x:v>699</x:v>
      </x:c>
      <x:c r="M308" s="23" t="n">
        <x:v>0.1</x:v>
      </x:c>
      <x:c r="N308" s="8" t="str">
        <x:v>Net Banking</x:v>
      </x:c>
      <x:c r="O308" s="8" t="str">
        <x:v>Returned</x:v>
      </x:c>
    </x:row>
    <x:row r="309">
      <x:c r="A309" s="8" t="str">
        <x:v>ORD-0305</x:v>
      </x:c>
      <x:c r="B309" s="22" t="n">
        <x:v>45953.7205252662</x:v>
      </x:c>
      <x:c r="C309" s="8" t="str">
        <x:v>CUS-013</x:v>
      </x:c>
      <x:c r="D309" s="8" t="str">
        <x:v>Rahul Mishra</x:v>
      </x:c>
      <x:c r="E309" s="8" t="str">
        <x:v>Consumer</x:v>
      </x:c>
      <x:c r="F309" s="8" t="str">
        <x:v>Kolkata</x:v>
      </x:c>
      <x:c r="G309" s="8" t="str">
        <x:v>East</x:v>
      </x:c>
      <x:c r="H309" s="8" t="str">
        <x:v>PRD-012</x:v>
      </x:c>
      <x:c r="I309" s="8" t="str">
        <x:v>Stainless Water Bottle</x:v>
      </x:c>
      <x:c r="J309" s="8" t="str">
        <x:v>Lifestyle</x:v>
      </x:c>
      <x:c r="K309" s="8" t="n">
        <x:v>2</x:v>
      </x:c>
      <x:c r="L309" s="9" t="n">
        <x:v>799</x:v>
      </x:c>
      <x:c r="M309" s="23" t="n">
        <x:v>0.2</x:v>
      </x:c>
      <x:c r="N309" s="8" t="str">
        <x:v>Credit Card</x:v>
      </x:c>
      <x:c r="O309" s="8" t="str">
        <x:v>Returned</x:v>
      </x:c>
    </x:row>
    <x:row r="310">
      <x:c r="A310" s="8" t="str">
        <x:v>ORD-0306</x:v>
      </x:c>
      <x:c r="B310" s="22" t="n">
        <x:v>45941.88573916667</x:v>
      </x:c>
      <x:c r="C310" s="8" t="str">
        <x:v>CUS-053</x:v>
      </x:c>
      <x:c r="D310" s="8" t="str">
        <x:v>Rahul Mishra 3</x:v>
      </x:c>
      <x:c r="E310" s="8" t="str">
        <x:v>Corporate</x:v>
      </x:c>
      <x:c r="F310" s="8" t="str">
        <x:v>Hyderabad</x:v>
      </x:c>
      <x:c r="G310" s="8" t="str">
        <x:v>South</x:v>
      </x:c>
      <x:c r="H310" s="8" t="str">
        <x:v>PRD-001</x:v>
      </x:c>
      <x:c r="I310" s="8" t="str">
        <x:v>Wireless Mouse</x:v>
      </x:c>
      <x:c r="J310" s="8" t="str">
        <x:v>Electronics</x:v>
      </x:c>
      <x:c r="K310" s="8" t="n">
        <x:v>4</x:v>
      </x:c>
      <x:c r="L310" s="9" t="n">
        <x:v>899</x:v>
      </x:c>
      <x:c r="M310" s="23" t="n">
        <x:v>0.2</x:v>
      </x:c>
      <x:c r="N310" s="8" t="str">
        <x:v>Credit Card</x:v>
      </x:c>
      <x:c r="O310" s="8" t="str">
        <x:v>Completed</x:v>
      </x:c>
    </x:row>
    <x:row r="311">
      <x:c r="A311" s="8" t="str">
        <x:v>ORD-0307</x:v>
      </x:c>
      <x:c r="B311" s="22" t="n">
        <x:v>45694.07915806713</x:v>
      </x:c>
      <x:c r="C311" s="8" t="str">
        <x:v>CUS-051</x:v>
      </x:c>
      <x:c r="D311" s="8" t="str">
        <x:v>Aditya Joshi 3</x:v>
      </x:c>
      <x:c r="E311" s="8" t="str">
        <x:v>Small Business</x:v>
      </x:c>
      <x:c r="F311" s="8" t="str">
        <x:v>Pune</x:v>
      </x:c>
      <x:c r="G311" s="8" t="str">
        <x:v>West</x:v>
      </x:c>
      <x:c r="H311" s="8" t="str">
        <x:v>PRD-003</x:v>
      </x:c>
      <x:c r="I311" s="8" t="str">
        <x:v>USB-C Hub</x:v>
      </x:c>
      <x:c r="J311" s="8" t="str">
        <x:v>Electronics</x:v>
      </x:c>
      <x:c r="K311" s="8" t="n">
        <x:v>2</x:v>
      </x:c>
      <x:c r="L311" s="9" t="n">
        <x:v>1899</x:v>
      </x:c>
      <x:c r="M311" s="23" t="n">
        <x:v>0.15</x:v>
      </x:c>
      <x:c r="N311" s="8" t="str">
        <x:v>Credit Card</x:v>
      </x:c>
      <x:c r="O311" s="8" t="str">
        <x:v>Completed</x:v>
      </x:c>
    </x:row>
    <x:row r="312">
      <x:c r="A312" s="8" t="str">
        <x:v>ORD-0308</x:v>
      </x:c>
      <x:c r="B312" s="22" t="n">
        <x:v>45936.75168109954</x:v>
      </x:c>
      <x:c r="C312" s="8" t="str">
        <x:v>CUS-015</x:v>
      </x:c>
      <x:c r="D312" s="8" t="str">
        <x:v>Karan Malhotra</x:v>
      </x:c>
      <x:c r="E312" s="8" t="str">
        <x:v>Small Business</x:v>
      </x:c>
      <x:c r="F312" s="8" t="str">
        <x:v>Mumbai</x:v>
      </x:c>
      <x:c r="G312" s="8" t="str">
        <x:v>West</x:v>
      </x:c>
      <x:c r="H312" s="8" t="str">
        <x:v>PRD-008</x:v>
      </x:c>
      <x:c r="I312" s="8" t="str">
        <x:v>Storage Container Set</x:v>
      </x:c>
      <x:c r="J312" s="8" t="str">
        <x:v>Home &amp; Kitchen</x:v>
      </x:c>
      <x:c r="K312" s="8" t="n">
        <x:v>5</x:v>
      </x:c>
      <x:c r="L312" s="9" t="n">
        <x:v>999</x:v>
      </x:c>
      <x:c r="M312" s="23" t="n">
        <x:v>0</x:v>
      </x:c>
      <x:c r="N312" s="8" t="str">
        <x:v>Debit Card</x:v>
      </x:c>
      <x:c r="O312" s="8" t="str">
        <x:v>Cancelled</x:v>
      </x:c>
    </x:row>
    <x:row r="313">
      <x:c r="A313" s="8" t="str">
        <x:v>ORD-0309</x:v>
      </x:c>
      <x:c r="B313" s="22" t="n">
        <x:v>45938.77623206018</x:v>
      </x:c>
      <x:c r="C313" s="8" t="str">
        <x:v>CUS-067</x:v>
      </x:c>
      <x:c r="D313" s="8" t="str">
        <x:v>Kabir Khan 4</x:v>
      </x:c>
      <x:c r="E313" s="8" t="str">
        <x:v>Consumer</x:v>
      </x:c>
      <x:c r="F313" s="8" t="str">
        <x:v>Chennai</x:v>
      </x:c>
      <x:c r="G313" s="8" t="str">
        <x:v>South</x:v>
      </x:c>
      <x:c r="H313" s="8" t="str">
        <x:v>PRD-003</x:v>
      </x:c>
      <x:c r="I313" s="8" t="str">
        <x:v>USB-C Hub</x:v>
      </x:c>
      <x:c r="J313" s="8" t="str">
        <x:v>Electronics</x:v>
      </x:c>
      <x:c r="K313" s="8" t="n">
        <x:v>1</x:v>
      </x:c>
      <x:c r="L313" s="9" t="n">
        <x:v>1899</x:v>
      </x:c>
      <x:c r="M313" s="23" t="n">
        <x:v>0.2</x:v>
      </x:c>
      <x:c r="N313" s="8" t="str">
        <x:v>Debit Card</x:v>
      </x:c>
      <x:c r="O313" s="8" t="str">
        <x:v>Completed</x:v>
      </x:c>
    </x:row>
    <x:row r="314">
      <x:c r="A314" s="8" t="str">
        <x:v>ORD-0310</x:v>
      </x:c>
      <x:c r="B314" s="22" t="n">
        <x:v>45675.121766006945</x:v>
      </x:c>
      <x:c r="C314" s="8" t="str">
        <x:v>CUS-037</x:v>
      </x:c>
      <x:c r="D314" s="8"/>
      <x:c r="E314" s="8" t="str">
        <x:v>Consumer</x:v>
      </x:c>
      <x:c r="F314" s="8" t="str">
        <x:v>Lucknow</x:v>
      </x:c>
      <x:c r="G314" s="8" t="str">
        <x:v>North</x:v>
      </x:c>
      <x:c r="H314" s="8" t="str">
        <x:v>PRD-007</x:v>
      </x:c>
      <x:c r="I314" s="8" t="str">
        <x:v>Electric Kettle</x:v>
      </x:c>
      <x:c r="J314" s="8" t="str">
        <x:v>Home &amp; Kitchen</x:v>
      </x:c>
      <x:c r="K314" s="8" t="n">
        <x:v>2</x:v>
      </x:c>
      <x:c r="L314" s="9" t="n">
        <x:v>1699</x:v>
      </x:c>
      <x:c r="M314" s="23" t="n">
        <x:v>0.05</x:v>
      </x:c>
      <x:c r="N314" s="8" t="str">
        <x:v>Net Banking</x:v>
      </x:c>
      <x:c r="O314" s="8" t="str">
        <x:v>Completed</x:v>
      </x:c>
    </x:row>
    <x:row r="315">
      <x:c r="A315" s="8" t="str">
        <x:v>ORD-0311</x:v>
      </x:c>
      <x:c r="B315" s="22" t="n">
        <x:v>45807.01484768518</x:v>
      </x:c>
      <x:c r="C315" s="8" t="str">
        <x:v>CUS-011</x:v>
      </x:c>
      <x:c r="D315" s="8" t="str">
        <x:v>Aditya Joshi</x:v>
      </x:c>
      <x:c r="E315" s="8" t="str">
        <x:v>Corporate</x:v>
      </x:c>
      <x:c r="F315" s="8" t="str">
        <x:v>Jaipur</x:v>
      </x:c>
      <x:c r="G315" s="8" t="str">
        <x:v>North</x:v>
      </x:c>
      <x:c r="H315" s="8" t="str">
        <x:v>PRD-007</x:v>
      </x:c>
      <x:c r="I315" s="8" t="str">
        <x:v>Electric Kettle</x:v>
      </x:c>
      <x:c r="J315" s="8" t="str">
        <x:v>Home &amp; Kitchen</x:v>
      </x:c>
      <x:c r="K315" s="8" t="n">
        <x:v>3</x:v>
      </x:c>
      <x:c r="L315" s="9" t="n">
        <x:v>1699</x:v>
      </x:c>
      <x:c r="M315" s="23" t="n">
        <x:v>0.15</x:v>
      </x:c>
      <x:c r="N315" s="8" t="str">
        <x:v>UPI</x:v>
      </x:c>
      <x:c r="O315" s="8" t="str">
        <x:v>Cancelled</x:v>
      </x:c>
    </x:row>
    <x:row r="316">
      <x:c r="A316" s="8" t="str">
        <x:v>ORD-0312</x:v>
      </x:c>
      <x:c r="B316" s="22" t="n">
        <x:v>45985.295174039355</x:v>
      </x:c>
      <x:c r="C316" s="8" t="str">
        <x:v>CUS-036</x:v>
      </x:c>
      <x:c r="D316" s="8" t="str">
        <x:v>Pooja Saxena 2</x:v>
      </x:c>
      <x:c r="E316" s="8" t="str">
        <x:v>Small Business</x:v>
      </x:c>
      <x:c r="F316" s="8" t="str">
        <x:v>Jaipur</x:v>
      </x:c>
      <x:c r="G316" s="8" t="str">
        <x:v>North</x:v>
      </x:c>
      <x:c r="H316" s="8" t="str">
        <x:v>PRD-002</x:v>
      </x:c>
      <x:c r="I316" s="8" t="str">
        <x:v>Bluetooth Headphones</x:v>
      </x:c>
      <x:c r="J316" s="8" t="str">
        <x:v>Electronics</x:v>
      </x:c>
      <x:c r="K316" s="8" t="n">
        <x:v>2</x:v>
      </x:c>
      <x:c r="L316" s="9" t="n">
        <x:v>2499</x:v>
      </x:c>
      <x:c r="M316" s="23" t="n">
        <x:v>0</x:v>
      </x:c>
      <x:c r="N316" s="8" t="str">
        <x:v>Debit Card</x:v>
      </x:c>
      <x:c r="O316" s="8" t="str">
        <x:v>Completed</x:v>
      </x:c>
    </x:row>
    <x:row r="317">
      <x:c r="A317" s="8" t="str">
        <x:v>ORD-0313</x:v>
      </x:c>
      <x:c r="B317" s="22" t="n">
        <x:v>45677.05053728009</x:v>
      </x:c>
      <x:c r="C317" s="8" t="str">
        <x:v>CUS-041</x:v>
      </x:c>
      <x:c r="D317" s="8" t="str">
        <x:v>Aarav Sharma 3</x:v>
      </x:c>
      <x:c r="E317" s="8" t="str">
        <x:v>Corporate</x:v>
      </x:c>
      <x:c r="F317" s="8" t="str">
        <x:v>Chennai</x:v>
      </x:c>
      <x:c r="G317" s="8" t="str">
        <x:v>South</x:v>
      </x:c>
      <x:c r="H317" s="8" t="str">
        <x:v>PRD-003</x:v>
      </x:c>
      <x:c r="I317" s="8" t="str">
        <x:v>USB-C Hub</x:v>
      </x:c>
      <x:c r="J317" s="8" t="str">
        <x:v>Electronics</x:v>
      </x:c>
      <x:c r="K317" s="8" t="n">
        <x:v>2</x:v>
      </x:c>
      <x:c r="L317" s="9" t="n">
        <x:v>1899</x:v>
      </x:c>
      <x:c r="M317" s="23" t="n">
        <x:v>0.05</x:v>
      </x:c>
      <x:c r="N317" s="8" t="str">
        <x:v>UPI</x:v>
      </x:c>
      <x:c r="O317" s="8" t="str">
        <x:v>Cancelled</x:v>
      </x:c>
    </x:row>
    <x:row r="318">
      <x:c r="A318" s="8" t="str">
        <x:v>ORD-0314</x:v>
      </x:c>
      <x:c r="B318" s="22" t="n">
        <x:v>45958.35999577546</x:v>
      </x:c>
      <x:c r="C318" s="8" t="str">
        <x:v>CUS-043</x:v>
      </x:c>
      <x:c r="D318" s="8" t="str">
        <x:v>Vihaan Singh 3</x:v>
      </x:c>
      <x:c r="E318" s="8" t="str">
        <x:v>Consumer</x:v>
      </x:c>
      <x:c r="F318" s="8" t="str">
        <x:v>Delhi</x:v>
      </x:c>
      <x:c r="G318" s="8" t="str">
        <x:v>North</x:v>
      </x:c>
      <x:c r="H318" s="8" t="str">
        <x:v>PRD-012</x:v>
      </x:c>
      <x:c r="I318" s="8" t="str">
        <x:v>Stainless Water Bottle</x:v>
      </x:c>
      <x:c r="J318" s="8" t="str">
        <x:v>Lifestyle</x:v>
      </x:c>
      <x:c r="K318" s="8" t="n">
        <x:v>4</x:v>
      </x:c>
      <x:c r="L318" s="9" t="n">
        <x:v>799</x:v>
      </x:c>
      <x:c r="M318" s="23" t="n">
        <x:v>0</x:v>
      </x:c>
      <x:c r="N318" s="8" t="str">
        <x:v>Cash on Delivery</x:v>
      </x:c>
      <x:c r="O318" s="8" t="str">
        <x:v>Completed</x:v>
      </x:c>
    </x:row>
    <x:row r="319">
      <x:c r="A319" s="8" t="str">
        <x:v>ORD-0315</x:v>
      </x:c>
      <x:c r="B319" s="22" t="n">
        <x:v>46005.14743993056</x:v>
      </x:c>
      <x:c r="C319" s="8" t="str">
        <x:v>CUS-033</x:v>
      </x:c>
      <x:c r="D319" s="8" t="str">
        <x:v>Rahul Mishra 2</x:v>
      </x:c>
      <x:c r="E319" s="8" t="str">
        <x:v>Small Business</x:v>
      </x:c>
      <x:c r="F319" s="8" t="str">
        <x:v>Hyderabad</x:v>
      </x:c>
      <x:c r="G319" s="8" t="str">
        <x:v>South</x:v>
      </x:c>
      <x:c r="H319" s="8" t="str">
        <x:v>PRD-005</x:v>
      </x:c>
      <x:c r="I319" s="8" t="str">
        <x:v>Executive Notebook</x:v>
      </x:c>
      <x:c r="J319" s="8" t="str">
        <x:v>Office Supplies</x:v>
      </x:c>
      <x:c r="K319" s="8" t="n">
        <x:v>3</x:v>
      </x:c>
      <x:c r="L319" s="9" t="n">
        <x:v>349</x:v>
      </x:c>
      <x:c r="M319" s="23" t="n">
        <x:v>0.1</x:v>
      </x:c>
      <x:c r="N319" s="8" t="str">
        <x:v>Net Banking</x:v>
      </x:c>
      <x:c r="O319" s="8" t="str">
        <x:v>Cancelled</x:v>
      </x:c>
    </x:row>
    <x:row r="320">
      <x:c r="A320" s="8" t="str">
        <x:v>ORD-0316</x:v>
      </x:c>
      <x:c r="B320" s="22" t="n">
        <x:v>45924.42116542824</x:v>
      </x:c>
      <x:c r="C320" s="8" t="str">
        <x:v>CUS-044</x:v>
      </x:c>
      <x:c r="D320" s="8" t="str">
        <x:v>Ananya Gupta 3</x:v>
      </x:c>
      <x:c r="E320" s="8" t="str">
        <x:v>Corporate</x:v>
      </x:c>
      <x:c r="F320" s="8" t="str">
        <x:v>Lucknow</x:v>
      </x:c>
      <x:c r="G320" s="8" t="str">
        <x:v>North</x:v>
      </x:c>
      <x:c r="H320" s="8" t="str">
        <x:v>PRD-006</x:v>
      </x:c>
      <x:c r="I320" s="8" t="str">
        <x:v>Desk Organiser</x:v>
      </x:c>
      <x:c r="J320" s="8" t="str">
        <x:v>Office Supplies</x:v>
      </x:c>
      <x:c r="K320" s="8" t="n">
        <x:v>3</x:v>
      </x:c>
      <x:c r="L320" s="9" t="n">
        <x:v>699</x:v>
      </x:c>
      <x:c r="M320" s="23" t="n">
        <x:v>0.05</x:v>
      </x:c>
      <x:c r="N320" s="8" t="str">
        <x:v>UPI</x:v>
      </x:c>
      <x:c r="O320" s="8" t="str">
        <x:v>Completed</x:v>
      </x:c>
    </x:row>
    <x:row r="321">
      <x:c r="A321" s="8" t="str">
        <x:v>ORD-0317</x:v>
      </x:c>
      <x:c r="B321" s="22" t="n">
        <x:v>46008.02094755787</x:v>
      </x:c>
      <x:c r="C321" s="8" t="str">
        <x:v>CUS-031</x:v>
      </x:c>
      <x:c r="D321" s="8" t="str">
        <x:v>Aditya Joshi 2</x:v>
      </x:c>
      <x:c r="E321" s="8" t="str">
        <x:v>Consumer</x:v>
      </x:c>
      <x:c r="F321" s="8" t="str">
        <x:v>Kolkata</x:v>
      </x:c>
      <x:c r="G321" s="8" t="str">
        <x:v>East</x:v>
      </x:c>
      <x:c r="H321" s="8" t="str">
        <x:v>PRD-010</x:v>
      </x:c>
      <x:c r="I321" s="8" t="str">
        <x:v>Travel Backpack</x:v>
      </x:c>
      <x:c r="J321" s="8" t="str">
        <x:v>Fashion</x:v>
      </x:c>
      <x:c r="K321" s="8" t="n">
        <x:v>3</x:v>
      </x:c>
      <x:c r="L321" s="9" t="n">
        <x:v>2199</x:v>
      </x:c>
      <x:c r="M321" s="23" t="n">
        <x:v>0.15</x:v>
      </x:c>
      <x:c r="N321" s="8" t="str">
        <x:v>Cash on Delivery</x:v>
      </x:c>
      <x:c r="O321" s="8" t="str">
        <x:v>Returned</x:v>
      </x:c>
    </x:row>
    <x:row r="322">
      <x:c r="A322" s="8" t="str">
        <x:v>ORD-0318</x:v>
      </x:c>
      <x:c r="B322" s="22" t="n">
        <x:v>45687.01558640046</x:v>
      </x:c>
      <x:c r="C322" s="8" t="str">
        <x:v>CUS-043</x:v>
      </x:c>
      <x:c r="D322" s="8" t="str">
        <x:v>Vihaan Singh 3</x:v>
      </x:c>
      <x:c r="E322" s="8" t="str">
        <x:v>Consumer</x:v>
      </x:c>
      <x:c r="F322" s="8" t="str">
        <x:v>Kolkata</x:v>
      </x:c>
      <x:c r="G322" s="8" t="str">
        <x:v>East</x:v>
      </x:c>
      <x:c r="H322" s="8" t="str">
        <x:v>PRD-012</x:v>
      </x:c>
      <x:c r="I322" s="8" t="str">
        <x:v>Stainless Water Bottle</x:v>
      </x:c>
      <x:c r="J322" s="8" t="str">
        <x:v>Lifestyle</x:v>
      </x:c>
      <x:c r="K322" s="8" t="n">
        <x:v>1</x:v>
      </x:c>
      <x:c r="L322" s="9" t="n">
        <x:v>799</x:v>
      </x:c>
      <x:c r="M322" s="23" t="n">
        <x:v>0.05</x:v>
      </x:c>
      <x:c r="N322" s="8" t="str">
        <x:v>Debit Card</x:v>
      </x:c>
      <x:c r="O322" s="8" t="str">
        <x:v>Completed</x:v>
      </x:c>
    </x:row>
    <x:row r="323">
      <x:c r="A323" s="8" t="str">
        <x:v>ORD-0319</x:v>
      </x:c>
      <x:c r="B323" s="22" t="n">
        <x:v>45847.70514574074</x:v>
      </x:c>
      <x:c r="C323" s="8" t="str">
        <x:v>CUS-038</x:v>
      </x:c>
      <x:c r="D323" s="8" t="str">
        <x:v>Nisha Bansal 2</x:v>
      </x:c>
      <x:c r="E323" s="8" t="str">
        <x:v>Corporate</x:v>
      </x:c>
      <x:c r="F323" s="8" t="str">
        <x:v>Delhi</x:v>
      </x:c>
      <x:c r="G323" s="8" t="str">
        <x:v>North</x:v>
      </x:c>
      <x:c r="H323" s="8" t="str">
        <x:v>PRD-008</x:v>
      </x:c>
      <x:c r="I323" s="8" t="str">
        <x:v>Storage Container Set</x:v>
      </x:c>
      <x:c r="J323" s="8" t="str">
        <x:v>Home &amp; Kitchen</x:v>
      </x:c>
      <x:c r="K323" s="8" t="n">
        <x:v>1</x:v>
      </x:c>
      <x:c r="L323" s="9" t="n">
        <x:v>999</x:v>
      </x:c>
      <x:c r="M323" s="23" t="n">
        <x:v>0.2</x:v>
      </x:c>
      <x:c r="N323" s="8" t="str">
        <x:v>upi</x:v>
      </x:c>
      <x:c r="O323" s="8" t="str">
        <x:v>Returned</x:v>
      </x:c>
    </x:row>
    <x:row r="324">
      <x:c r="A324" s="8" t="str">
        <x:v>ORD-0320</x:v>
      </x:c>
      <x:c r="B324" s="22" t="n">
        <x:v>45836.78783393519</x:v>
      </x:c>
      <x:c r="C324" s="8" t="str">
        <x:v>CUS-074</x:v>
      </x:c>
      <x:c r="D324" s="8" t="str">
        <x:v>Neha Rao 4</x:v>
      </x:c>
      <x:c r="E324" s="8" t="str">
        <x:v>Corporate</x:v>
      </x:c>
      <x:c r="F324" s="8" t="str">
        <x:v>Kolkata</x:v>
      </x:c>
      <x:c r="G324" s="8" t="str">
        <x:v>East</x:v>
      </x:c>
      <x:c r="H324" s="8" t="str">
        <x:v>PRD-003</x:v>
      </x:c>
      <x:c r="I324" s="8" t="str">
        <x:v>USB-C Hub</x:v>
      </x:c>
      <x:c r="J324" s="8" t="str">
        <x:v>Electronics</x:v>
      </x:c>
      <x:c r="K324" s="8" t="n">
        <x:v>1</x:v>
      </x:c>
      <x:c r="L324" s="9" t="n">
        <x:v>1899</x:v>
      </x:c>
      <x:c r="M324" s="23" t="n">
        <x:v>0.05</x:v>
      </x:c>
      <x:c r="N324" s="8" t="str">
        <x:v>Credit Card</x:v>
      </x:c>
      <x:c r="O324" s="8" t="str">
        <x:v>Completed</x:v>
      </x:c>
    </x:row>
    <x:row r="325">
      <x:c r="A325" s="8" t="str">
        <x:v>ORD-0321</x:v>
      </x:c>
      <x:c r="B325" s="22" t="n">
        <x:v>45959.244742511575</x:v>
      </x:c>
      <x:c r="C325" s="8" t="str">
        <x:v>CUS-022</x:v>
      </x:c>
      <x:c r="D325" s="8" t="str">
        <x:v>Diya Patel 2</x:v>
      </x:c>
      <x:c r="E325" s="8" t="str">
        <x:v>Consumer</x:v>
      </x:c>
      <x:c r="F325" s="8" t="str">
        <x:v>Kolkata</x:v>
      </x:c>
      <x:c r="G325" s="8" t="str">
        <x:v>East</x:v>
      </x:c>
      <x:c r="H325" s="8" t="str">
        <x:v>PRD-012</x:v>
      </x:c>
      <x:c r="I325" s="8" t="str">
        <x:v>Stainless Water Bottle</x:v>
      </x:c>
      <x:c r="J325" s="8" t="str">
        <x:v>Lifestyle</x:v>
      </x:c>
      <x:c r="K325" s="8" t="n">
        <x:v>4</x:v>
      </x:c>
      <x:c r="L325" s="9" t="n">
        <x:v>799</x:v>
      </x:c>
      <x:c r="M325" s="23" t="n">
        <x:v>0.1</x:v>
      </x:c>
      <x:c r="N325" s="8" t="str">
        <x:v>Net Banking</x:v>
      </x:c>
      <x:c r="O325" s="8" t="str">
        <x:v>Completed</x:v>
      </x:c>
    </x:row>
    <x:row r="326">
      <x:c r="A326" s="8" t="str">
        <x:v>ORD-0322</x:v>
      </x:c>
      <x:c r="B326" s="22" t="n">
        <x:v>45964.13739326389</x:v>
      </x:c>
      <x:c r="C326" s="8" t="str">
        <x:v>CUS-064</x:v>
      </x:c>
      <x:c r="D326" s="8" t="str">
        <x:v>Ananya Gupta 4</x:v>
      </x:c>
      <x:c r="E326" s="8" t="str">
        <x:v>Consumer</x:v>
      </x:c>
      <x:c r="F326" s="8" t="str">
        <x:v>Mumbai</x:v>
      </x:c>
      <x:c r="G326" s="8" t="str">
        <x:v>West</x:v>
      </x:c>
      <x:c r="H326" s="8" t="str">
        <x:v>PRD-009</x:v>
      </x:c>
      <x:c r="I326" s="8" t="str">
        <x:v>Table Lamp</x:v>
      </x:c>
      <x:c r="J326" s="8" t="str">
        <x:v>Home &amp; Kitchen</x:v>
      </x:c>
      <x:c r="K326" s="8" t="n">
        <x:v>2</x:v>
      </x:c>
      <x:c r="L326" s="9" t="n">
        <x:v>1499</x:v>
      </x:c>
      <x:c r="M326" s="23" t="n">
        <x:v>0</x:v>
      </x:c>
      <x:c r="N326" s="8" t="str">
        <x:v>Credit Card</x:v>
      </x:c>
      <x:c r="O326" s="8" t="str">
        <x:v>Returned</x:v>
      </x:c>
    </x:row>
    <x:row r="327">
      <x:c r="A327" s="8" t="str">
        <x:v>ORD-0323</x:v>
      </x:c>
      <x:c r="B327" s="22" t="n">
        <x:v>45758.09879506945</x:v>
      </x:c>
      <x:c r="C327" s="8" t="str">
        <x:v>CUS-052</x:v>
      </x:c>
      <x:c r="D327" s="8" t="str">
        <x:v>Priya Kapoor 3</x:v>
      </x:c>
      <x:c r="E327" s="8" t="str">
        <x:v>Consumer</x:v>
      </x:c>
      <x:c r="F327" s="8" t="str">
        <x:v>Ahmedabad</x:v>
      </x:c>
      <x:c r="G327" s="8" t="str">
        <x:v>West</x:v>
      </x:c>
      <x:c r="H327" s="8" t="str">
        <x:v>PRD-001</x:v>
      </x:c>
      <x:c r="I327" s="8" t="str">
        <x:v>Wireless Mouse</x:v>
      </x:c>
      <x:c r="J327" s="8" t="str">
        <x:v>Electronics</x:v>
      </x:c>
      <x:c r="K327" s="8" t="n">
        <x:v>4</x:v>
      </x:c>
      <x:c r="L327" s="9" t="n">
        <x:v>899</x:v>
      </x:c>
      <x:c r="M327" s="23" t="n">
        <x:v>0</x:v>
      </x:c>
      <x:c r="N327" s="8" t="str">
        <x:v>UPI</x:v>
      </x:c>
      <x:c r="O327" s="8" t="str">
        <x:v>Cancelled</x:v>
      </x:c>
    </x:row>
    <x:row r="328">
      <x:c r="A328" s="8" t="str">
        <x:v>ORD-0324</x:v>
      </x:c>
      <x:c r="B328" s="22" t="n">
        <x:v>45686.719316875</x:v>
      </x:c>
      <x:c r="C328" s="8" t="str">
        <x:v>CUS-022</x:v>
      </x:c>
      <x:c r="D328" s="8" t="str">
        <x:v>Diya Patel 2</x:v>
      </x:c>
      <x:c r="E328" s="8" t="str">
        <x:v>Consumer</x:v>
      </x:c>
      <x:c r="F328" s="8" t="str">
        <x:v>Bengaluru</x:v>
      </x:c>
      <x:c r="G328" s="8" t="str">
        <x:v>South</x:v>
      </x:c>
      <x:c r="H328" s="8" t="str">
        <x:v>PRD-011</x:v>
      </x:c>
      <x:c r="I328" s="8" t="str">
        <x:v>Classic Wallet</x:v>
      </x:c>
      <x:c r="J328" s="8" t="str">
        <x:v>Fashion</x:v>
      </x:c>
      <x:c r="K328" s="8" t="n">
        <x:v>5</x:v>
      </x:c>
      <x:c r="L328" s="9" t="n">
        <x:v>1199</x:v>
      </x:c>
      <x:c r="M328" s="23" t="n">
        <x:v>0</x:v>
      </x:c>
      <x:c r="N328" s="8" t="str">
        <x:v>Net Banking</x:v>
      </x:c>
      <x:c r="O328" s="8" t="str">
        <x:v>Completed</x:v>
      </x:c>
    </x:row>
    <x:row r="329">
      <x:c r="A329" s="8" t="str">
        <x:v>ORD-0325</x:v>
      </x:c>
      <x:c r="B329" s="22" t="n">
        <x:v>45788.79004920139</x:v>
      </x:c>
      <x:c r="C329" s="8" t="str">
        <x:v>CUS-066</x:v>
      </x:c>
      <x:c r="D329" s="8" t="str">
        <x:v>Isha Mehta 4</x:v>
      </x:c>
      <x:c r="E329" s="8" t="str">
        <x:v>Small Business</x:v>
      </x:c>
      <x:c r="F329" s="8" t="str">
        <x:v>Lucknow</x:v>
      </x:c>
      <x:c r="G329" s="8" t="str">
        <x:v>North</x:v>
      </x:c>
      <x:c r="H329" s="8" t="str">
        <x:v>PRD-007</x:v>
      </x:c>
      <x:c r="I329" s="8" t="str">
        <x:v>Electric Kettle</x:v>
      </x:c>
      <x:c r="J329" s="8" t="str">
        <x:v>Home &amp; Kitchen</x:v>
      </x:c>
      <x:c r="K329" s="8" t="n">
        <x:v>4</x:v>
      </x:c>
      <x:c r="L329" s="9" t="n">
        <x:v>1699</x:v>
      </x:c>
      <x:c r="M329" s="23" t="n">
        <x:v>0.15</x:v>
      </x:c>
      <x:c r="N329" s="8" t="str">
        <x:v>Net Banking</x:v>
      </x:c>
      <x:c r="O329" s="8" t="str">
        <x:v>Completed</x:v>
      </x:c>
    </x:row>
    <x:row r="330">
      <x:c r="A330" s="8" t="str">
        <x:v>ORD-0326</x:v>
      </x:c>
      <x:c r="B330" s="22" t="n">
        <x:v>45847.86921751157</x:v>
      </x:c>
      <x:c r="C330" s="8" t="str">
        <x:v>CUS-057</x:v>
      </x:c>
      <x:c r="D330" s="8" t="str">
        <x:v>Vikram Yadav 3</x:v>
      </x:c>
      <x:c r="E330" s="8" t="str">
        <x:v>Small Business</x:v>
      </x:c>
      <x:c r="F330" s="8" t="str">
        <x:v>Hyderabad</x:v>
      </x:c>
      <x:c r="G330" s="8" t="str">
        <x:v>South</x:v>
      </x:c>
      <x:c r="H330" s="8" t="str">
        <x:v>PRD-005</x:v>
      </x:c>
      <x:c r="I330" s="8" t="str">
        <x:v>Executive Notebook</x:v>
      </x:c>
      <x:c r="J330" s="8" t="str">
        <x:v>Office Supplies</x:v>
      </x:c>
      <x:c r="K330" s="8" t="n">
        <x:v>1</x:v>
      </x:c>
      <x:c r="L330" s="9" t="n">
        <x:v>349</x:v>
      </x:c>
      <x:c r="M330" s="23" t="n">
        <x:v>0</x:v>
      </x:c>
      <x:c r="N330" s="8" t="str">
        <x:v>UPI</x:v>
      </x:c>
      <x:c r="O330" s="8" t="str">
        <x:v>Completed</x:v>
      </x:c>
    </x:row>
    <x:row r="331">
      <x:c r="A331" s="8" t="str">
        <x:v>ORD-0327</x:v>
      </x:c>
      <x:c r="B331" s="22" t="n">
        <x:v>45809.51139429398</x:v>
      </x:c>
      <x:c r="C331" s="8" t="str">
        <x:v>CUS-053</x:v>
      </x:c>
      <x:c r="D331" s="8" t="str">
        <x:v>Rahul Mishra 3</x:v>
      </x:c>
      <x:c r="E331" s="8" t="str">
        <x:v>Corporate</x:v>
      </x:c>
      <x:c r="F331" s="8" t="str">
        <x:v>Ahmedabad</x:v>
      </x:c>
      <x:c r="G331" s="8" t="str">
        <x:v>West</x:v>
      </x:c>
      <x:c r="H331" s="8" t="str">
        <x:v>PRD-006</x:v>
      </x:c>
      <x:c r="I331" s="8" t="str">
        <x:v>Desk Organiser</x:v>
      </x:c>
      <x:c r="J331" s="8" t="str">
        <x:v>Office Supplies</x:v>
      </x:c>
      <x:c r="K331" s="8" t="n">
        <x:v>5</x:v>
      </x:c>
      <x:c r="L331" s="9" t="n">
        <x:v>699</x:v>
      </x:c>
      <x:c r="M331" s="23" t="n">
        <x:v>0.1</x:v>
      </x:c>
      <x:c r="N331" s="8" t="str">
        <x:v>Cash on Delivery</x:v>
      </x:c>
      <x:c r="O331" s="8" t="str">
        <x:v>Completed</x:v>
      </x:c>
    </x:row>
    <x:row r="332">
      <x:c r="A332" s="8" t="str">
        <x:v>ORD-0328</x:v>
      </x:c>
      <x:c r="B332" s="22" t="n">
        <x:v>45679.98239679398</x:v>
      </x:c>
      <x:c r="C332" s="8" t="str">
        <x:v>CUS-007</x:v>
      </x:c>
      <x:c r="D332" s="8" t="str">
        <x:v>Kabir Khan</x:v>
      </x:c>
      <x:c r="E332" s="8" t="str">
        <x:v>Consumer</x:v>
      </x:c>
      <x:c r="F332" s="8" t="str">
        <x:v>Mumbai</x:v>
      </x:c>
      <x:c r="G332" s="8" t="str">
        <x:v>West</x:v>
      </x:c>
      <x:c r="H332" s="8" t="str">
        <x:v>PRD-003</x:v>
      </x:c>
      <x:c r="I332" s="8" t="str">
        <x:v>USB-C Hub</x:v>
      </x:c>
      <x:c r="J332" s="8" t="str">
        <x:v>Electronics</x:v>
      </x:c>
      <x:c r="K332" s="8" t="n">
        <x:v>2</x:v>
      </x:c>
      <x:c r="L332" s="9" t="n">
        <x:v>1899</x:v>
      </x:c>
      <x:c r="M332" s="23" t="n">
        <x:v>0</x:v>
      </x:c>
      <x:c r="N332" s="8" t="str">
        <x:v>Net Banking</x:v>
      </x:c>
      <x:c r="O332" s="8" t="str">
        <x:v>Completed</x:v>
      </x:c>
    </x:row>
    <x:row r="333">
      <x:c r="A333" s="8" t="str">
        <x:v>ORD-0329</x:v>
      </x:c>
      <x:c r="B333" s="22" t="n">
        <x:v>45796.81252358796</x:v>
      </x:c>
      <x:c r="C333" s="8" t="str">
        <x:v>CUS-033</x:v>
      </x:c>
      <x:c r="D333" s="8" t="str">
        <x:v>Rahul Mishra 2</x:v>
      </x:c>
      <x:c r="E333" s="8" t="str">
        <x:v>Small Business</x:v>
      </x:c>
      <x:c r="F333" s="8" t="str">
        <x:v>Delhi</x:v>
      </x:c>
      <x:c r="G333" s="8" t="str">
        <x:v>North</x:v>
      </x:c>
      <x:c r="H333" s="8" t="str">
        <x:v>PRD-004</x:v>
      </x:c>
      <x:c r="I333" s="8" t="str">
        <x:v>Laptop Stand</x:v>
      </x:c>
      <x:c r="J333" s="8" t="str">
        <x:v>Office Supplies</x:v>
      </x:c>
      <x:c r="K333" s="8" t="n">
        <x:v>5</x:v>
      </x:c>
      <x:c r="L333" s="9" t="n">
        <x:v>1299</x:v>
      </x:c>
      <x:c r="M333" s="23" t="n">
        <x:v>0</x:v>
      </x:c>
      <x:c r="N333" s="8" t="str">
        <x:v>Cash on Delivery</x:v>
      </x:c>
      <x:c r="O333" s="8" t="str">
        <x:v>Completed</x:v>
      </x:c>
    </x:row>
    <x:row r="334">
      <x:c r="A334" s="8" t="str">
        <x:v>ORD-0330</x:v>
      </x:c>
      <x:c r="B334" s="22" t="n">
        <x:v>45957.60318655093</x:v>
      </x:c>
      <x:c r="C334" s="8" t="str">
        <x:v>CUS-023</x:v>
      </x:c>
      <x:c r="D334" s="8" t="str">
        <x:v>Vihaan Singh 2</x:v>
      </x:c>
      <x:c r="E334" s="8" t="str">
        <x:v>Corporate</x:v>
      </x:c>
      <x:c r="F334" s="8" t="str">
        <x:v>Hyderabad</x:v>
      </x:c>
      <x:c r="G334" s="8" t="str">
        <x:v>South</x:v>
      </x:c>
      <x:c r="H334" s="8" t="str">
        <x:v>PRD-006</x:v>
      </x:c>
      <x:c r="I334" s="8" t="str">
        <x:v>Desk Organiser</x:v>
      </x:c>
      <x:c r="J334" s="8" t="str">
        <x:v>Office Supplies</x:v>
      </x:c>
      <x:c r="K334" s="8" t="n">
        <x:v>3</x:v>
      </x:c>
      <x:c r="L334" s="9" t="n">
        <x:v>699</x:v>
      </x:c>
      <x:c r="M334" s="23" t="n">
        <x:v>0</x:v>
      </x:c>
      <x:c r="N334" s="8" t="str">
        <x:v>Credit Card</x:v>
      </x:c>
      <x:c r="O334" s="8" t="str">
        <x:v>Completed</x:v>
      </x:c>
    </x:row>
    <x:row r="335">
      <x:c r="A335" s="8" t="str">
        <x:v>ORD-0331</x:v>
      </x:c>
      <x:c r="B335" s="22" t="n">
        <x:v>45832.4762333912</x:v>
      </x:c>
      <x:c r="C335" s="8" t="str">
        <x:v>CUS-039</x:v>
      </x:c>
      <x:c r="D335" s="8" t="str">
        <x:v>Siddharth Jain 2</x:v>
      </x:c>
      <x:c r="E335" s="8" t="str">
        <x:v>Small Business</x:v>
      </x:c>
      <x:c r="F335" s="8" t="str">
        <x:v>Lucknow</x:v>
      </x:c>
      <x:c r="G335" s="8" t="str">
        <x:v>North</x:v>
      </x:c>
      <x:c r="H335" s="8" t="str">
        <x:v>PRD-001</x:v>
      </x:c>
      <x:c r="I335" s="8" t="str">
        <x:v>Wireless Mouse</x:v>
      </x:c>
      <x:c r="J335" s="8" t="str">
        <x:v>Electronics</x:v>
      </x:c>
      <x:c r="K335" s="8" t="n">
        <x:v>4</x:v>
      </x:c>
      <x:c r="L335" s="9" t="n">
        <x:v>899</x:v>
      </x:c>
      <x:c r="M335" s="23" t="n">
        <x:v>0.1</x:v>
      </x:c>
      <x:c r="N335" s="8" t="str">
        <x:v>Cash on Delivery</x:v>
      </x:c>
      <x:c r="O335" s="8" t="str">
        <x:v>Cancelled</x:v>
      </x:c>
    </x:row>
    <x:row r="336">
      <x:c r="A336" s="8" t="str">
        <x:v>ORD-0332</x:v>
      </x:c>
      <x:c r="B336" s="22" t="n">
        <x:v>45803.81840408565</x:v>
      </x:c>
      <x:c r="C336" s="8" t="str">
        <x:v>CUS-054</x:v>
      </x:c>
      <x:c r="D336" s="8" t="str">
        <x:v>Neha Rao 3</x:v>
      </x:c>
      <x:c r="E336" s="8" t="str">
        <x:v>Small Business</x:v>
      </x:c>
      <x:c r="F336" s="8" t="str">
        <x:v>Chennai</x:v>
      </x:c>
      <x:c r="G336" s="8" t="str">
        <x:v>South</x:v>
      </x:c>
      <x:c r="H336" s="8" t="str">
        <x:v>PRD-011</x:v>
      </x:c>
      <x:c r="I336" s="8" t="str">
        <x:v>Classic Wallet</x:v>
      </x:c>
      <x:c r="J336" s="8" t="str">
        <x:v>Fashion</x:v>
      </x:c>
      <x:c r="K336" s="8" t="n">
        <x:v>4</x:v>
      </x:c>
      <x:c r="L336" s="9" t="n">
        <x:v>1199</x:v>
      </x:c>
      <x:c r="M336" s="23" t="n">
        <x:v>0.1</x:v>
      </x:c>
      <x:c r="N336" s="8" t="str">
        <x:v>Debit Card</x:v>
      </x:c>
      <x:c r="O336" s="8" t="str">
        <x:v>Completed</x:v>
      </x:c>
    </x:row>
    <x:row r="337">
      <x:c r="A337" s="8" t="str">
        <x:v>ORD-0333</x:v>
      </x:c>
      <x:c r="B337" s="22" t="n">
        <x:v>45880.863152592596</x:v>
      </x:c>
      <x:c r="C337" s="8" t="str">
        <x:v>CUS-074</x:v>
      </x:c>
      <x:c r="D337" s="8" t="str">
        <x:v>Neha Rao 4</x:v>
      </x:c>
      <x:c r="E337" s="8" t="str">
        <x:v>Corporate</x:v>
      </x:c>
      <x:c r="F337" s="8" t="str">
        <x:v>Jaipur</x:v>
      </x:c>
      <x:c r="G337" s="8" t="str">
        <x:v>North</x:v>
      </x:c>
      <x:c r="H337" s="8" t="str">
        <x:v>PRD-011</x:v>
      </x:c>
      <x:c r="I337" s="8" t="str">
        <x:v>Classic Wallet</x:v>
      </x:c>
      <x:c r="J337" s="8" t="str">
        <x:v>Fashion</x:v>
      </x:c>
      <x:c r="K337" s="8" t="n">
        <x:v>4</x:v>
      </x:c>
      <x:c r="L337" s="9" t="n">
        <x:v>1199</x:v>
      </x:c>
      <x:c r="M337" s="23" t="n">
        <x:v>0.1</x:v>
      </x:c>
      <x:c r="N337" s="8" t="str">
        <x:v>UPI</x:v>
      </x:c>
      <x:c r="O337" s="8" t="str">
        <x:v>Completed</x:v>
      </x:c>
    </x:row>
    <x:row r="338">
      <x:c r="A338" s="8" t="str">
        <x:v>ORD-0334</x:v>
      </x:c>
      <x:c r="B338" s="22" t="n">
        <x:v>46012.42198625</x:v>
      </x:c>
      <x:c r="C338" s="8" t="str">
        <x:v>CUS-050</x:v>
      </x:c>
      <x:c r="D338" s="8" t="str">
        <x:v>Saanvi Iyer 3</x:v>
      </x:c>
      <x:c r="E338" s="8" t="str">
        <x:v>Corporate</x:v>
      </x:c>
      <x:c r="F338" s="8" t="str">
        <x:v>Delhi</x:v>
      </x:c>
      <x:c r="G338" s="8" t="str">
        <x:v> north </x:v>
      </x:c>
      <x:c r="H338" s="8" t="str">
        <x:v>PRD-011</x:v>
      </x:c>
      <x:c r="I338" s="8" t="str">
        <x:v>Classic Wallet</x:v>
      </x:c>
      <x:c r="J338" s="8" t="str">
        <x:v>Fashion</x:v>
      </x:c>
      <x:c r="K338" s="8" t="n">
        <x:v>1</x:v>
      </x:c>
      <x:c r="L338" s="9" t="n">
        <x:v>1199</x:v>
      </x:c>
      <x:c r="M338" s="23" t="n">
        <x:v>0.2</x:v>
      </x:c>
      <x:c r="N338" s="8" t="str">
        <x:v>Debit Card</x:v>
      </x:c>
      <x:c r="O338" s="8" t="str">
        <x:v>Completed</x:v>
      </x:c>
    </x:row>
    <x:row r="339">
      <x:c r="A339" s="8" t="str">
        <x:v>ORD-0335</x:v>
      </x:c>
      <x:c r="B339" s="22" t="n">
        <x:v>45808.30522623842</x:v>
      </x:c>
      <x:c r="C339" s="8" t="str">
        <x:v>CUS-075</x:v>
      </x:c>
      <x:c r="D339" s="8" t="str">
        <x:v>Karan Malhotra 4</x:v>
      </x:c>
      <x:c r="E339" s="8" t="str">
        <x:v>Small Business</x:v>
      </x:c>
      <x:c r="F339" s="8" t="str">
        <x:v>Kolkata</x:v>
      </x:c>
      <x:c r="G339" s="8" t="str">
        <x:v>East</x:v>
      </x:c>
      <x:c r="H339" s="8" t="str">
        <x:v>PRD-006</x:v>
      </x:c>
      <x:c r="I339" s="8" t="str">
        <x:v>Desk Organiser</x:v>
      </x:c>
      <x:c r="J339" s="8" t="str">
        <x:v>Office Supplies</x:v>
      </x:c>
      <x:c r="K339" s="8" t="n">
        <x:v>2</x:v>
      </x:c>
      <x:c r="L339" s="9" t="n">
        <x:v>699</x:v>
      </x:c>
      <x:c r="M339" s="23" t="n">
        <x:v>0.05</x:v>
      </x:c>
      <x:c r="N339" s="8" t="str">
        <x:v>Cash on Delivery</x:v>
      </x:c>
      <x:c r="O339" s="8" t="str">
        <x:v>Completed</x:v>
      </x:c>
    </x:row>
    <x:row r="340">
      <x:c r="A340" s="8" t="str">
        <x:v>ORD-0336</x:v>
      </x:c>
      <x:c r="B340" s="22" t="n">
        <x:v>45873.2719427662</x:v>
      </x:c>
      <x:c r="C340" s="8" t="str">
        <x:v>CUS-036</x:v>
      </x:c>
      <x:c r="D340" s="8" t="str">
        <x:v>Pooja Saxena 2</x:v>
      </x:c>
      <x:c r="E340" s="8" t="str">
        <x:v>Small Business</x:v>
      </x:c>
      <x:c r="F340" s="8" t="str">
        <x:v>Pune</x:v>
      </x:c>
      <x:c r="G340" s="8" t="str">
        <x:v>West</x:v>
      </x:c>
      <x:c r="H340" s="8" t="str">
        <x:v>PRD-003</x:v>
      </x:c>
      <x:c r="I340" s="8" t="str">
        <x:v>USB-C Hub</x:v>
      </x:c>
      <x:c r="J340" s="8" t="str">
        <x:v>Electronics</x:v>
      </x:c>
      <x:c r="K340" s="8" t="n">
        <x:v>2</x:v>
      </x:c>
      <x:c r="L340" s="9" t="n">
        <x:v>1899</x:v>
      </x:c>
      <x:c r="M340" s="23" t="n">
        <x:v>0</x:v>
      </x:c>
      <x:c r="N340" s="8" t="str">
        <x:v>UPI</x:v>
      </x:c>
      <x:c r="O340" s="8" t="str">
        <x:v>Returned</x:v>
      </x:c>
    </x:row>
    <x:row r="341">
      <x:c r="A341" s="8" t="str">
        <x:v>ORD-0337</x:v>
      </x:c>
      <x:c r="B341" s="22" t="n">
        <x:v>45673.97211659722</x:v>
      </x:c>
      <x:c r="C341" s="8" t="str">
        <x:v>CUS-064</x:v>
      </x:c>
      <x:c r="D341" s="8" t="str">
        <x:v>Ananya Gupta 4</x:v>
      </x:c>
      <x:c r="E341" s="8" t="str">
        <x:v>Consumer</x:v>
      </x:c>
      <x:c r="F341" s="8" t="str">
        <x:v>Ahmedabad</x:v>
      </x:c>
      <x:c r="G341" s="8" t="str">
        <x:v>West</x:v>
      </x:c>
      <x:c r="H341" s="8" t="str">
        <x:v>PRD-008</x:v>
      </x:c>
      <x:c r="I341" s="8" t="str">
        <x:v>Storage Container Set</x:v>
      </x:c>
      <x:c r="J341" s="8" t="str">
        <x:v>Home &amp; Kitchen</x:v>
      </x:c>
      <x:c r="K341" s="8" t="n">
        <x:v>3</x:v>
      </x:c>
      <x:c r="L341" s="9" t="n">
        <x:v>999</x:v>
      </x:c>
      <x:c r="M341" s="23" t="n">
        <x:v>0.1</x:v>
      </x:c>
      <x:c r="N341" s="8" t="str">
        <x:v>Debit Card</x:v>
      </x:c>
      <x:c r="O341" s="8" t="str">
        <x:v>Completed</x:v>
      </x:c>
    </x:row>
    <x:row r="342">
      <x:c r="A342" s="8" t="str">
        <x:v>ORD-0338</x:v>
      </x:c>
      <x:c r="B342" s="22" t="n">
        <x:v>45705.95148322917</x:v>
      </x:c>
      <x:c r="C342" s="8" t="str">
        <x:v>CUS-061</x:v>
      </x:c>
      <x:c r="D342" s="8" t="str">
        <x:v>Aarav Sharma 4</x:v>
      </x:c>
      <x:c r="E342" s="8" t="str">
        <x:v>Consumer</x:v>
      </x:c>
      <x:c r="F342" s="8" t="str">
        <x:v>Jaipur</x:v>
      </x:c>
      <x:c r="G342" s="8" t="str">
        <x:v>North</x:v>
      </x:c>
      <x:c r="H342" s="8" t="str">
        <x:v>PRD-003</x:v>
      </x:c>
      <x:c r="I342" s="8" t="str">
        <x:v>USB-C Hub</x:v>
      </x:c>
      <x:c r="J342" s="8" t="str">
        <x:v>Electronics</x:v>
      </x:c>
      <x:c r="K342" s="8" t="n">
        <x:v>3</x:v>
      </x:c>
      <x:c r="L342" s="9" t="n">
        <x:v>1899</x:v>
      </x:c>
      <x:c r="M342" s="23" t="n">
        <x:v>0.15</x:v>
      </x:c>
      <x:c r="N342" s="8" t="str">
        <x:v>Credit Card</x:v>
      </x:c>
      <x:c r="O342" s="8" t="str">
        <x:v>Completed</x:v>
      </x:c>
    </x:row>
    <x:row r="343">
      <x:c r="A343" s="8" t="str">
        <x:v>ORD-0339</x:v>
      </x:c>
      <x:c r="B343" s="22" t="n">
        <x:v>46018.52143966435</x:v>
      </x:c>
      <x:c r="C343" s="8" t="str">
        <x:v>CUS-067</x:v>
      </x:c>
      <x:c r="D343" s="8" t="str">
        <x:v>Kabir Khan 4</x:v>
      </x:c>
      <x:c r="E343" s="8" t="str">
        <x:v>Consumer</x:v>
      </x:c>
      <x:c r="F343" s="8" t="str">
        <x:v>Kolkata</x:v>
      </x:c>
      <x:c r="G343" s="8" t="str">
        <x:v>East</x:v>
      </x:c>
      <x:c r="H343" s="8" t="str">
        <x:v>PRD-004</x:v>
      </x:c>
      <x:c r="I343" s="8" t="str">
        <x:v>Laptop Stand</x:v>
      </x:c>
      <x:c r="J343" s="8" t="str">
        <x:v>Office Supplies</x:v>
      </x:c>
      <x:c r="K343" s="8" t="n">
        <x:v>3</x:v>
      </x:c>
      <x:c r="L343" s="9" t="n">
        <x:v>1299</x:v>
      </x:c>
      <x:c r="M343" s="23" t="n">
        <x:v>0.2</x:v>
      </x:c>
      <x:c r="N343" s="8" t="str">
        <x:v>Net Banking</x:v>
      </x:c>
      <x:c r="O343" s="8" t="str">
        <x:v>Completed</x:v>
      </x:c>
    </x:row>
    <x:row r="344">
      <x:c r="A344" s="8" t="str">
        <x:v>ORD-0340</x:v>
      </x:c>
      <x:c r="B344" s="22" t="n">
        <x:v>45811.22362935185</x:v>
      </x:c>
      <x:c r="C344" s="8" t="str">
        <x:v>CUS-041</x:v>
      </x:c>
      <x:c r="D344" s="8" t="str">
        <x:v>Aarav Sharma 3</x:v>
      </x:c>
      <x:c r="E344" s="8" t="str">
        <x:v>Corporate</x:v>
      </x:c>
      <x:c r="F344" s="8" t="str">
        <x:v>Hyderabad</x:v>
      </x:c>
      <x:c r="G344" s="8" t="str">
        <x:v>South</x:v>
      </x:c>
      <x:c r="H344" s="8" t="str">
        <x:v>PRD-012</x:v>
      </x:c>
      <x:c r="I344" s="8" t="str">
        <x:v>Stainless Water Bottle</x:v>
      </x:c>
      <x:c r="J344" s="8" t="str">
        <x:v>Lifestyle</x:v>
      </x:c>
      <x:c r="K344" s="8" t="n">
        <x:v>2</x:v>
      </x:c>
      <x:c r="L344" s="9" t="n">
        <x:v>799</x:v>
      </x:c>
      <x:c r="M344" s="23" t="n">
        <x:v>0</x:v>
      </x:c>
      <x:c r="N344" s="8" t="str">
        <x:v>Cash on Delivery</x:v>
      </x:c>
      <x:c r="O344" s="8" t="str">
        <x:v>Cancelled</x:v>
      </x:c>
    </x:row>
    <x:row r="345">
      <x:c r="A345" s="8" t="str">
        <x:v>ORD-0341</x:v>
      </x:c>
      <x:c r="B345" s="22" t="n">
        <x:v>45746.36748652778</x:v>
      </x:c>
      <x:c r="C345" s="8" t="str">
        <x:v>CUS-028</x:v>
      </x:c>
      <x:c r="D345" s="8" t="str">
        <x:v>Meera Nair 2</x:v>
      </x:c>
      <x:c r="E345" s="8" t="str">
        <x:v>Consumer</x:v>
      </x:c>
      <x:c r="F345" s="8" t="str">
        <x:v>Pune</x:v>
      </x:c>
      <x:c r="G345" s="8" t="str">
        <x:v>West</x:v>
      </x:c>
      <x:c r="H345" s="8" t="str">
        <x:v>PRD-003</x:v>
      </x:c>
      <x:c r="I345" s="8" t="str">
        <x:v>USB-C Hub</x:v>
      </x:c>
      <x:c r="J345" s="8" t="str">
        <x:v>Electronics</x:v>
      </x:c>
      <x:c r="K345" s="8" t="n">
        <x:v>5</x:v>
      </x:c>
      <x:c r="L345" s="9" t="n">
        <x:v>1899</x:v>
      </x:c>
      <x:c r="M345" s="23" t="n">
        <x:v>0.1</x:v>
      </x:c>
      <x:c r="N345" s="8" t="str">
        <x:v>Debit Card</x:v>
      </x:c>
      <x:c r="O345" s="8" t="str">
        <x:v>Completed</x:v>
      </x:c>
    </x:row>
    <x:row r="346">
      <x:c r="A346" s="8" t="str">
        <x:v>ORD-0342</x:v>
      </x:c>
      <x:c r="B346" s="22" t="n">
        <x:v>45714.86609002315</x:v>
      </x:c>
      <x:c r="C346" s="8" t="str">
        <x:v>CUS-041</x:v>
      </x:c>
      <x:c r="D346" s="8" t="str">
        <x:v>Aarav Sharma 3</x:v>
      </x:c>
      <x:c r="E346" s="8" t="str">
        <x:v>Corporate</x:v>
      </x:c>
      <x:c r="F346" s="8" t="str">
        <x:v>Chennai</x:v>
      </x:c>
      <x:c r="G346" s="8" t="str">
        <x:v>South</x:v>
      </x:c>
      <x:c r="H346" s="8" t="str">
        <x:v>PRD-003</x:v>
      </x:c>
      <x:c r="I346" s="8" t="str">
        <x:v>USB-C Hub</x:v>
      </x:c>
      <x:c r="J346" s="8" t="str">
        <x:v>Electronics</x:v>
      </x:c>
      <x:c r="K346" s="8" t="n">
        <x:v>2</x:v>
      </x:c>
      <x:c r="L346" s="9" t="n">
        <x:v>1899</x:v>
      </x:c>
      <x:c r="M346" s="23" t="n">
        <x:v>0</x:v>
      </x:c>
      <x:c r="N346" s="8" t="str">
        <x:v>UPI</x:v>
      </x:c>
      <x:c r="O346" s="8" t="str">
        <x:v>Completed</x:v>
      </x:c>
    </x:row>
    <x:row r="347">
      <x:c r="A347" s="8" t="str">
        <x:v>ORD-0343</x:v>
      </x:c>
      <x:c r="B347" s="22" t="n">
        <x:v>45658.66732461806</x:v>
      </x:c>
      <x:c r="C347" s="8" t="str">
        <x:v>CUS-002</x:v>
      </x:c>
      <x:c r="D347" s="8" t="str">
        <x:v>Diya Patel</x:v>
      </x:c>
      <x:c r="E347" s="8" t="str">
        <x:v>Corporate</x:v>
      </x:c>
      <x:c r="F347" s="8" t="str">
        <x:v>Hyderabad</x:v>
      </x:c>
      <x:c r="G347" s="8" t="str">
        <x:v>South</x:v>
      </x:c>
      <x:c r="H347" s="8" t="str">
        <x:v>PRD-010</x:v>
      </x:c>
      <x:c r="I347" s="8" t="str">
        <x:v>Travel Backpack</x:v>
      </x:c>
      <x:c r="J347" s="8" t="str">
        <x:v>Fashion</x:v>
      </x:c>
      <x:c r="K347" s="8" t="n">
        <x:v>3</x:v>
      </x:c>
      <x:c r="L347" s="9" t="n">
        <x:v>2199</x:v>
      </x:c>
      <x:c r="M347" s="23" t="n">
        <x:v>0</x:v>
      </x:c>
      <x:c r="N347" s="8" t="str">
        <x:v>Net Banking</x:v>
      </x:c>
      <x:c r="O347" s="8" t="str">
        <x:v>Completed</x:v>
      </x:c>
    </x:row>
    <x:row r="348">
      <x:c r="A348" s="8" t="str">
        <x:v>ORD-0344</x:v>
      </x:c>
      <x:c r="B348" s="22" t="n">
        <x:v>45699.00770898148</x:v>
      </x:c>
      <x:c r="C348" s="8" t="str">
        <x:v>CUS-030</x:v>
      </x:c>
      <x:c r="D348" s="8" t="str">
        <x:v>Saanvi Iyer 2</x:v>
      </x:c>
      <x:c r="E348" s="8" t="str">
        <x:v>Small Business</x:v>
      </x:c>
      <x:c r="F348" s="8" t="str">
        <x:v>Ahmedabad</x:v>
      </x:c>
      <x:c r="G348" s="8" t="str">
        <x:v>West</x:v>
      </x:c>
      <x:c r="H348" s="8" t="str">
        <x:v>PRD-008</x:v>
      </x:c>
      <x:c r="I348" s="8" t="str">
        <x:v>Storage Container Set</x:v>
      </x:c>
      <x:c r="J348" s="8" t="str">
        <x:v>Home &amp; Kitchen</x:v>
      </x:c>
      <x:c r="K348" s="8" t="n">
        <x:v>4</x:v>
      </x:c>
      <x:c r="L348" s="9" t="n">
        <x:v>999</x:v>
      </x:c>
      <x:c r="M348" s="23" t="n">
        <x:v>0.2</x:v>
      </x:c>
      <x:c r="N348" s="8" t="str">
        <x:v>UPI</x:v>
      </x:c>
      <x:c r="O348" s="8" t="str">
        <x:v>Completed</x:v>
      </x:c>
    </x:row>
    <x:row r="349">
      <x:c r="A349" s="8" t="str">
        <x:v>ORD-0345</x:v>
      </x:c>
      <x:c r="B349" s="22" t="n">
        <x:v>45767.756532708336</x:v>
      </x:c>
      <x:c r="C349" s="8" t="str">
        <x:v>CUS-048</x:v>
      </x:c>
      <x:c r="D349" s="8" t="str">
        <x:v>Meera Nair 3</x:v>
      </x:c>
      <x:c r="E349" s="8" t="str">
        <x:v>Small Business</x:v>
      </x:c>
      <x:c r="F349" s="8" t="str">
        <x:v>Mumbai</x:v>
      </x:c>
      <x:c r="G349" s="8" t="str">
        <x:v>West</x:v>
      </x:c>
      <x:c r="H349" s="8" t="str">
        <x:v>PRD-008</x:v>
      </x:c>
      <x:c r="I349" s="8" t="str">
        <x:v>Storage Container Set</x:v>
      </x:c>
      <x:c r="J349" s="8" t="str">
        <x:v>Home &amp; Kitchen</x:v>
      </x:c>
      <x:c r="K349" s="8" t="n">
        <x:v>2</x:v>
      </x:c>
      <x:c r="L349" s="9" t="n">
        <x:v>999</x:v>
      </x:c>
      <x:c r="M349" s="23" t="n">
        <x:v>0</x:v>
      </x:c>
      <x:c r="N349" s="8" t="str">
        <x:v>UPI</x:v>
      </x:c>
      <x:c r="O349" s="8" t="str">
        <x:v>Completed</x:v>
      </x:c>
    </x:row>
    <x:row r="350">
      <x:c r="A350" s="8" t="str">
        <x:v>ORD-0346</x:v>
      </x:c>
      <x:c r="B350" s="22" t="n">
        <x:v>45842.21074231481</x:v>
      </x:c>
      <x:c r="C350" s="8" t="str">
        <x:v>CUS-029</x:v>
      </x:c>
      <x:c r="D350" s="8" t="str">
        <x:v>Rohan Das 2</x:v>
      </x:c>
      <x:c r="E350" s="8" t="str">
        <x:v>Corporate</x:v>
      </x:c>
      <x:c r="F350" s="8" t="str">
        <x:v>Ahmedabad</x:v>
      </x:c>
      <x:c r="G350" s="8" t="str">
        <x:v>West</x:v>
      </x:c>
      <x:c r="H350" s="8" t="str">
        <x:v>PRD-012</x:v>
      </x:c>
      <x:c r="I350" s="8" t="str">
        <x:v>Stainless Water Bottle</x:v>
      </x:c>
      <x:c r="J350" s="8" t="str">
        <x:v>Lifestyle</x:v>
      </x:c>
      <x:c r="K350" s="8" t="n">
        <x:v>4</x:v>
      </x:c>
      <x:c r="L350" s="9" t="n">
        <x:v>799</x:v>
      </x:c>
      <x:c r="M350" s="23" t="n">
        <x:v>0</x:v>
      </x:c>
      <x:c r="N350" s="8" t="str">
        <x:v>Cash on Delivery</x:v>
      </x:c>
      <x:c r="O350" s="8" t="str">
        <x:v>Completed</x:v>
      </x:c>
    </x:row>
    <x:row r="351">
      <x:c r="A351" s="8" t="str">
        <x:v>ORD-0347</x:v>
      </x:c>
      <x:c r="B351" s="22" t="n">
        <x:v>45905.287820949074</x:v>
      </x:c>
      <x:c r="C351" s="8" t="str">
        <x:v>CUS-019</x:v>
      </x:c>
      <x:c r="D351" s="8" t="str">
        <x:v>Siddharth Jain</x:v>
      </x:c>
      <x:c r="E351" s="8" t="str">
        <x:v>Consumer</x:v>
      </x:c>
      <x:c r="F351" s="8" t="str">
        <x:v>Kolkata</x:v>
      </x:c>
      <x:c r="G351" s="8" t="str">
        <x:v>East</x:v>
      </x:c>
      <x:c r="H351" s="8" t="str">
        <x:v>PRD-012</x:v>
      </x:c>
      <x:c r="I351" s="8" t="str">
        <x:v>Stainless Water Bottle</x:v>
      </x:c>
      <x:c r="J351" s="8" t="str">
        <x:v>Lifestyle</x:v>
      </x:c>
      <x:c r="K351" s="8" t="n">
        <x:v>1</x:v>
      </x:c>
      <x:c r="L351" s="9" t="n">
        <x:v>799</x:v>
      </x:c>
      <x:c r="M351" s="23" t="n">
        <x:v>0.05</x:v>
      </x:c>
      <x:c r="N351" s="8" t="str">
        <x:v>Net Banking</x:v>
      </x:c>
      <x:c r="O351" s="8" t="str">
        <x:v>Completed</x:v>
      </x:c>
    </x:row>
    <x:row r="352">
      <x:c r="A352" s="8" t="str">
        <x:v>ORD-0348</x:v>
      </x:c>
      <x:c r="B352" s="22" t="n">
        <x:v>45792.875952685186</x:v>
      </x:c>
      <x:c r="C352" s="8" t="str">
        <x:v>CUS-032</x:v>
      </x:c>
      <x:c r="D352" s="8" t="str">
        <x:v>Priya Kapoor 2</x:v>
      </x:c>
      <x:c r="E352" s="8" t="str">
        <x:v>Corporate</x:v>
      </x:c>
      <x:c r="F352" s="8" t="str">
        <x:v>Pune</x:v>
      </x:c>
      <x:c r="G352" s="8" t="str">
        <x:v>West</x:v>
      </x:c>
      <x:c r="H352" s="8" t="str">
        <x:v>PRD-003</x:v>
      </x:c>
      <x:c r="I352" s="8" t="str">
        <x:v>USB-C Hub</x:v>
      </x:c>
      <x:c r="J352" s="8" t="str">
        <x:v>Electronics</x:v>
      </x:c>
      <x:c r="K352" s="8" t="n">
        <x:v>3</x:v>
      </x:c>
      <x:c r="L352" s="9" t="n">
        <x:v>1899</x:v>
      </x:c>
      <x:c r="M352" s="23" t="n">
        <x:v>0</x:v>
      </x:c>
      <x:c r="N352" s="8" t="str">
        <x:v>Net Banking</x:v>
      </x:c>
      <x:c r="O352" s="8" t="str">
        <x:v>Cancelled</x:v>
      </x:c>
    </x:row>
    <x:row r="353">
      <x:c r="A353" s="8" t="str">
        <x:v>ORD-0349</x:v>
      </x:c>
      <x:c r="B353" s="22" t="n">
        <x:v>45912.82516565972</x:v>
      </x:c>
      <x:c r="C353" s="8" t="str">
        <x:v>CUS-023</x:v>
      </x:c>
      <x:c r="D353" s="8" t="str">
        <x:v>Vihaan Singh 2</x:v>
      </x:c>
      <x:c r="E353" s="8" t="str">
        <x:v>Corporate</x:v>
      </x:c>
      <x:c r="F353" s="8" t="str">
        <x:v>Chennai</x:v>
      </x:c>
      <x:c r="G353" s="8" t="str">
        <x:v>South</x:v>
      </x:c>
      <x:c r="H353" s="8" t="str">
        <x:v>PRD-010</x:v>
      </x:c>
      <x:c r="I353" s="8" t="str">
        <x:v>Travel Backpack</x:v>
      </x:c>
      <x:c r="J353" s="8" t="str">
        <x:v>Fashion</x:v>
      </x:c>
      <x:c r="K353" s="8" t="n">
        <x:v>4</x:v>
      </x:c>
      <x:c r="L353" s="9" t="n">
        <x:v>2199</x:v>
      </x:c>
      <x:c r="M353" s="23" t="n">
        <x:v>0</x:v>
      </x:c>
      <x:c r="N353" s="8" t="str">
        <x:v>Cash on Delivery</x:v>
      </x:c>
      <x:c r="O353" s="8" t="str">
        <x:v>Returned</x:v>
      </x:c>
    </x:row>
    <x:row r="354">
      <x:c r="A354" s="8" t="str">
        <x:v>ORD-0350</x:v>
      </x:c>
      <x:c r="B354" s="22" t="n">
        <x:v>45726.29103111111</x:v>
      </x:c>
      <x:c r="C354" s="8" t="str">
        <x:v>CUS-076</x:v>
      </x:c>
      <x:c r="D354" s="8" t="str">
        <x:v>Pooja Saxena 4</x:v>
      </x:c>
      <x:c r="E354" s="8" t="str">
        <x:v>Consumer</x:v>
      </x:c>
      <x:c r="F354" s="8" t="str">
        <x:v>Mumbai</x:v>
      </x:c>
      <x:c r="G354" s="8" t="str">
        <x:v>West</x:v>
      </x:c>
      <x:c r="H354" s="8" t="str">
        <x:v>PRD-001</x:v>
      </x:c>
      <x:c r="I354" s="8" t="str">
        <x:v>Wireless Mouse</x:v>
      </x:c>
      <x:c r="J354" s="8" t="str">
        <x:v>Electronics</x:v>
      </x:c>
      <x:c r="K354" s="8" t="n">
        <x:v>4</x:v>
      </x:c>
      <x:c r="L354" s="9" t="n">
        <x:v>899</x:v>
      </x:c>
      <x:c r="M354" s="23" t="n">
        <x:v>0.1</x:v>
      </x:c>
      <x:c r="N354" s="8" t="str">
        <x:v>Debit Card</x:v>
      </x:c>
      <x:c r="O354" s="8" t="str">
        <x:v>Cancelled</x:v>
      </x:c>
    </x:row>
    <x:row r="355">
      <x:c r="A355" s="8" t="str">
        <x:v>ORD-0351</x:v>
      </x:c>
      <x:c r="B355" s="22" t="n">
        <x:v>45845.219259375</x:v>
      </x:c>
      <x:c r="C355" s="8" t="str">
        <x:v>CUS-024</x:v>
      </x:c>
      <x:c r="D355" s="8" t="str">
        <x:v>Ananya Gupta 2</x:v>
      </x:c>
      <x:c r="E355" s="8" t="str">
        <x:v>Small Business</x:v>
      </x:c>
      <x:c r="F355" s="8" t="str">
        <x:v>Pune</x:v>
      </x:c>
      <x:c r="G355" s="8" t="str">
        <x:v>West</x:v>
      </x:c>
      <x:c r="H355" s="8" t="str">
        <x:v>PRD-004</x:v>
      </x:c>
      <x:c r="I355" s="8" t="str">
        <x:v>Laptop Stand</x:v>
      </x:c>
      <x:c r="J355" s="8" t="str">
        <x:v>Office Supplies</x:v>
      </x:c>
      <x:c r="K355" s="8" t="n">
        <x:v>3</x:v>
      </x:c>
      <x:c r="L355" s="9" t="n">
        <x:v>1299</x:v>
      </x:c>
      <x:c r="M355" s="23" t="n">
        <x:v>0.1</x:v>
      </x:c>
      <x:c r="N355" s="8" t="str">
        <x:v>Net Banking</x:v>
      </x:c>
      <x:c r="O355" s="8" t="str">
        <x:v>Cancelled</x:v>
      </x:c>
    </x:row>
    <x:row r="356">
      <x:c r="A356" s="8" t="str">
        <x:v>ORD-0352</x:v>
      </x:c>
      <x:c r="B356" s="22" t="n">
        <x:v>45752.633265648146</x:v>
      </x:c>
      <x:c r="C356" s="8" t="str">
        <x:v>CUS-060</x:v>
      </x:c>
      <x:c r="D356" s="8" t="str">
        <x:v>Kavya Reddy 3</x:v>
      </x:c>
      <x:c r="E356" s="8" t="str">
        <x:v>Small Business</x:v>
      </x:c>
      <x:c r="F356" s="8" t="str">
        <x:v>Chennai</x:v>
      </x:c>
      <x:c r="G356" s="8" t="str">
        <x:v>South</x:v>
      </x:c>
      <x:c r="H356" s="8" t="str">
        <x:v>PRD-002</x:v>
      </x:c>
      <x:c r="I356" s="8" t="str">
        <x:v>Bluetooth Headphones</x:v>
      </x:c>
      <x:c r="J356" s="8" t="str">
        <x:v>Electronics</x:v>
      </x:c>
      <x:c r="K356" s="8" t="n">
        <x:v>5</x:v>
      </x:c>
      <x:c r="L356" s="9" t="n">
        <x:v>2499</x:v>
      </x:c>
      <x:c r="M356" s="23" t="n">
        <x:v>0.15</x:v>
      </x:c>
      <x:c r="N356" s="8" t="str">
        <x:v>Cash on Delivery</x:v>
      </x:c>
      <x:c r="O356" s="8" t="str">
        <x:v>Cancelled</x:v>
      </x:c>
    </x:row>
    <x:row r="357">
      <x:c r="A357" s="8" t="str">
        <x:v>ORD-0353</x:v>
      </x:c>
      <x:c r="B357" s="22" t="n">
        <x:v>45683.96991105324</x:v>
      </x:c>
      <x:c r="C357" s="8" t="str">
        <x:v>CUS-080</x:v>
      </x:c>
      <x:c r="D357" s="8" t="str">
        <x:v>Kavya Reddy 4</x:v>
      </x:c>
      <x:c r="E357" s="8" t="str">
        <x:v>Corporate</x:v>
      </x:c>
      <x:c r="F357" s="8" t="str">
        <x:v>Pune</x:v>
      </x:c>
      <x:c r="G357" s="8" t="str">
        <x:v>West</x:v>
      </x:c>
      <x:c r="H357" s="8" t="str">
        <x:v>PRD-004</x:v>
      </x:c>
      <x:c r="I357" s="8" t="str">
        <x:v>Laptop Stand</x:v>
      </x:c>
      <x:c r="J357" s="8" t="str">
        <x:v>Office Supplies</x:v>
      </x:c>
      <x:c r="K357" s="8" t="n">
        <x:v>4</x:v>
      </x:c>
      <x:c r="L357" s="9" t="n">
        <x:v>1299</x:v>
      </x:c>
      <x:c r="M357" s="23" t="n">
        <x:v>0.05</x:v>
      </x:c>
      <x:c r="N357" s="8" t="str">
        <x:v>UPI</x:v>
      </x:c>
      <x:c r="O357" s="8" t="str">
        <x:v>Completed</x:v>
      </x:c>
    </x:row>
    <x:row r="358">
      <x:c r="A358" s="8" t="str">
        <x:v>ORD-0354</x:v>
      </x:c>
      <x:c r="B358" s="22" t="n">
        <x:v>45688.17342489583</x:v>
      </x:c>
      <x:c r="C358" s="8" t="str">
        <x:v>CUS-030</x:v>
      </x:c>
      <x:c r="D358" s="8" t="str">
        <x:v>Saanvi Iyer 2</x:v>
      </x:c>
      <x:c r="E358" s="8" t="str">
        <x:v>Small Business</x:v>
      </x:c>
      <x:c r="F358" s="8" t="str">
        <x:v>Mumbai</x:v>
      </x:c>
      <x:c r="G358" s="8" t="str">
        <x:v>West</x:v>
      </x:c>
      <x:c r="H358" s="8" t="str">
        <x:v>PRD-006</x:v>
      </x:c>
      <x:c r="I358" s="8" t="str">
        <x:v>Desk Organiser</x:v>
      </x:c>
      <x:c r="J358" s="8" t="str">
        <x:v>Office Supplies</x:v>
      </x:c>
      <x:c r="K358" s="8" t="n">
        <x:v>5</x:v>
      </x:c>
      <x:c r="L358" s="9" t="n">
        <x:v>699</x:v>
      </x:c>
      <x:c r="M358" s="23" t="n">
        <x:v>0.1</x:v>
      </x:c>
      <x:c r="N358" s="8" t="str">
        <x:v>Net Banking</x:v>
      </x:c>
      <x:c r="O358" s="8" t="str">
        <x:v>Returned</x:v>
      </x:c>
    </x:row>
    <x:row r="359">
      <x:c r="A359" s="8" t="str">
        <x:v>ORD-0355</x:v>
      </x:c>
      <x:c r="B359" s="22" t="n">
        <x:v>45938.561602974536</x:v>
      </x:c>
      <x:c r="C359" s="8" t="str">
        <x:v>CUS-057</x:v>
      </x:c>
      <x:c r="D359" s="8" t="str">
        <x:v>Vikram Yadav 3</x:v>
      </x:c>
      <x:c r="E359" s="8" t="str">
        <x:v>Small Business</x:v>
      </x:c>
      <x:c r="F359" s="8" t="str">
        <x:v>Jaipur</x:v>
      </x:c>
      <x:c r="G359" s="8" t="str">
        <x:v>North</x:v>
      </x:c>
      <x:c r="H359" s="8" t="str">
        <x:v>PRD-005</x:v>
      </x:c>
      <x:c r="I359" s="8" t="str">
        <x:v>Executive Notebook</x:v>
      </x:c>
      <x:c r="J359" s="8" t="str">
        <x:v>Office Supplies</x:v>
      </x:c>
      <x:c r="K359" s="8" t="n">
        <x:v>5</x:v>
      </x:c>
      <x:c r="L359" s="9" t="n">
        <x:v>349</x:v>
      </x:c>
      <x:c r="M359" s="23" t="n">
        <x:v>0.1</x:v>
      </x:c>
      <x:c r="N359" s="8" t="str">
        <x:v>Net Banking</x:v>
      </x:c>
      <x:c r="O359" s="8" t="str">
        <x:v>Completed</x:v>
      </x:c>
    </x:row>
    <x:row r="360">
      <x:c r="A360" s="8" t="str">
        <x:v>ORD-0356</x:v>
      </x:c>
      <x:c r="B360" s="22" t="n">
        <x:v>45911.01881262731</x:v>
      </x:c>
      <x:c r="C360" s="8" t="str">
        <x:v>CUS-019</x:v>
      </x:c>
      <x:c r="D360" s="8" t="str">
        <x:v>Siddharth Jain</x:v>
      </x:c>
      <x:c r="E360" s="8" t="str">
        <x:v>Consumer</x:v>
      </x:c>
      <x:c r="F360" s="8" t="str">
        <x:v>Lucknow</x:v>
      </x:c>
      <x:c r="G360" s="8" t="str">
        <x:v>North</x:v>
      </x:c>
      <x:c r="H360" s="8" t="str">
        <x:v>PRD-010</x:v>
      </x:c>
      <x:c r="I360" s="8" t="str">
        <x:v>Travel Backpack</x:v>
      </x:c>
      <x:c r="J360" s="8" t="str">
        <x:v>Fashion</x:v>
      </x:c>
      <x:c r="K360" s="8" t="n">
        <x:v>2</x:v>
      </x:c>
      <x:c r="L360" s="9" t="n">
        <x:v>2199</x:v>
      </x:c>
      <x:c r="M360" s="23" t="n">
        <x:v>0.15</x:v>
      </x:c>
      <x:c r="N360" s="8" t="str">
        <x:v>Debit Card</x:v>
      </x:c>
      <x:c r="O360" s="8" t="str">
        <x:v>Cancelled</x:v>
      </x:c>
    </x:row>
    <x:row r="361">
      <x:c r="A361" s="8" t="str">
        <x:v>ORD-0357</x:v>
      </x:c>
      <x:c r="B361" s="22" t="n">
        <x:v>45771.17908677083</x:v>
      </x:c>
      <x:c r="C361" s="8" t="str">
        <x:v>CUS-050</x:v>
      </x:c>
      <x:c r="D361" s="8" t="str">
        <x:v>Saanvi Iyer 3</x:v>
      </x:c>
      <x:c r="E361" s="8" t="str">
        <x:v>Corporate</x:v>
      </x:c>
      <x:c r="F361" s="8" t="str">
        <x:v>Pune</x:v>
      </x:c>
      <x:c r="G361" s="8" t="str">
        <x:v>West</x:v>
      </x:c>
      <x:c r="H361" s="8" t="str">
        <x:v>PRD-007</x:v>
      </x:c>
      <x:c r="I361" s="8" t="str">
        <x:v>Electric Kettle</x:v>
      </x:c>
      <x:c r="J361" s="8" t="str">
        <x:v>Home &amp; Kitchen</x:v>
      </x:c>
      <x:c r="K361" s="8" t="n">
        <x:v>3</x:v>
      </x:c>
      <x:c r="L361" s="9" t="n">
        <x:v>1699</x:v>
      </x:c>
      <x:c r="M361" s="23" t="n">
        <x:v>0.2</x:v>
      </x:c>
      <x:c r="N361" s="8" t="str">
        <x:v>Debit Card</x:v>
      </x:c>
      <x:c r="O361" s="8" t="str">
        <x:v>Cancelled</x:v>
      </x:c>
    </x:row>
    <x:row r="362">
      <x:c r="A362" s="8" t="str">
        <x:v>ORD-0358</x:v>
      </x:c>
      <x:c r="B362" s="22" t="n">
        <x:v>45922.16244034722</x:v>
      </x:c>
      <x:c r="C362" s="8" t="str">
        <x:v>CUS-062</x:v>
      </x:c>
      <x:c r="D362" s="8" t="str">
        <x:v>Diya Patel 4</x:v>
      </x:c>
      <x:c r="E362" s="8" t="str">
        <x:v>Corporate</x:v>
      </x:c>
      <x:c r="F362" s="8" t="str">
        <x:v>Chennai</x:v>
      </x:c>
      <x:c r="G362" s="8" t="str">
        <x:v>South</x:v>
      </x:c>
      <x:c r="H362" s="8" t="str">
        <x:v>PRD-001</x:v>
      </x:c>
      <x:c r="I362" s="8" t="str">
        <x:v>Wireless Mouse</x:v>
      </x:c>
      <x:c r="J362" s="8" t="str">
        <x:v>Electronics</x:v>
      </x:c>
      <x:c r="K362" s="8" t="n">
        <x:v>3</x:v>
      </x:c>
      <x:c r="L362" s="9" t="n">
        <x:v>899</x:v>
      </x:c>
      <x:c r="M362" s="23" t="n">
        <x:v>0.05</x:v>
      </x:c>
      <x:c r="N362" s="8" t="str">
        <x:v>Net Banking</x:v>
      </x:c>
      <x:c r="O362" s="8" t="str">
        <x:v>Completed</x:v>
      </x:c>
    </x:row>
    <x:row r="363">
      <x:c r="A363" s="8" t="str">
        <x:v>ORD-0359</x:v>
      </x:c>
      <x:c r="B363" s="22" t="n">
        <x:v>45782.93410337963</x:v>
      </x:c>
      <x:c r="C363" s="8" t="str">
        <x:v>CUS-065</x:v>
      </x:c>
      <x:c r="D363" s="8" t="str">
        <x:v>Arjun Verma 4</x:v>
      </x:c>
      <x:c r="E363" s="8" t="str">
        <x:v>Corporate</x:v>
      </x:c>
      <x:c r="F363" s="8" t="str">
        <x:v>Delhi</x:v>
      </x:c>
      <x:c r="G363" s="8" t="str">
        <x:v>North</x:v>
      </x:c>
      <x:c r="H363" s="8" t="str">
        <x:v>PRD-004</x:v>
      </x:c>
      <x:c r="I363" s="8" t="str">
        <x:v>Laptop Stand</x:v>
      </x:c>
      <x:c r="J363" s="8" t="str">
        <x:v>Office Supplies</x:v>
      </x:c>
      <x:c r="K363" s="8" t="n">
        <x:v>1</x:v>
      </x:c>
      <x:c r="L363" s="9" t="n">
        <x:v>1299</x:v>
      </x:c>
      <x:c r="M363" s="23" t="n">
        <x:v>0.15</x:v>
      </x:c>
      <x:c r="N363" s="8" t="str">
        <x:v>UPI</x:v>
      </x:c>
      <x:c r="O363" s="8" t="str">
        <x:v>Cancelled</x:v>
      </x:c>
    </x:row>
    <x:row r="364">
      <x:c r="A364" s="8" t="str">
        <x:v>ORD-0360</x:v>
      </x:c>
      <x:c r="B364" s="22" t="n">
        <x:v>46011.59289513889</x:v>
      </x:c>
      <x:c r="C364" s="8" t="str">
        <x:v>CUS-071</x:v>
      </x:c>
      <x:c r="D364" s="8" t="str">
        <x:v>Aditya Joshi 4</x:v>
      </x:c>
      <x:c r="E364" s="8" t="str">
        <x:v>Corporate</x:v>
      </x:c>
      <x:c r="F364" s="8" t="str">
        <x:v>Delhi</x:v>
      </x:c>
      <x:c r="G364" s="8" t="str">
        <x:v>North</x:v>
      </x:c>
      <x:c r="H364" s="8" t="str">
        <x:v>PRD-002</x:v>
      </x:c>
      <x:c r="I364" s="8" t="str">
        <x:v>Bluetooth Headphones</x:v>
      </x:c>
      <x:c r="J364" s="8" t="str">
        <x:v>Electronics</x:v>
      </x:c>
      <x:c r="K364" s="8" t="n">
        <x:v>2</x:v>
      </x:c>
      <x:c r="L364" s="9" t="n">
        <x:v>2499</x:v>
      </x:c>
      <x:c r="M364" s="23" t="n">
        <x:v>0.2</x:v>
      </x:c>
      <x:c r="N364" s="8" t="str">
        <x:v>Net Banking</x:v>
      </x:c>
      <x:c r="O364" s="8" t="str">
        <x:v>Completed</x:v>
      </x:c>
    </x:row>
    <x:row r="365">
      <x:c r="A365" s="8" t="str">
        <x:v>ORD-0361</x:v>
      </x:c>
      <x:c r="B365" s="22" t="n">
        <x:v>45968.0943512963</x:v>
      </x:c>
      <x:c r="C365" s="8" t="str">
        <x:v>CUS-079</x:v>
      </x:c>
      <x:c r="D365" s="8" t="str">
        <x:v>Siddharth Jain 4</x:v>
      </x:c>
      <x:c r="E365" s="8" t="str">
        <x:v>Consumer</x:v>
      </x:c>
      <x:c r="F365" s="8" t="str">
        <x:v>Lucknow</x:v>
      </x:c>
      <x:c r="G365" s="8" t="str">
        <x:v>North</x:v>
      </x:c>
      <x:c r="H365" s="8" t="str">
        <x:v>PRD-007</x:v>
      </x:c>
      <x:c r="I365" s="8" t="str">
        <x:v>Electric Kettle</x:v>
      </x:c>
      <x:c r="J365" s="8" t="str">
        <x:v>Home &amp; Kitchen</x:v>
      </x:c>
      <x:c r="K365" s="8" t="n">
        <x:v>5</x:v>
      </x:c>
      <x:c r="L365" s="9" t="n">
        <x:v>1699</x:v>
      </x:c>
      <x:c r="M365" s="23" t="n">
        <x:v>0</x:v>
      </x:c>
      <x:c r="N365" s="8" t="str">
        <x:v>Net Banking</x:v>
      </x:c>
      <x:c r="O365" s="8" t="str">
        <x:v>Cancelled</x:v>
      </x:c>
    </x:row>
    <x:row r="366">
      <x:c r="A366" s="8" t="str">
        <x:v>ORD-0362</x:v>
      </x:c>
      <x:c r="B366" s="22" t="n">
        <x:v>46009.45238824074</x:v>
      </x:c>
      <x:c r="C366" s="8" t="str">
        <x:v>CUS-061</x:v>
      </x:c>
      <x:c r="D366" s="8" t="str">
        <x:v>Aarav Sharma 4</x:v>
      </x:c>
      <x:c r="E366" s="8" t="str">
        <x:v>Consumer</x:v>
      </x:c>
      <x:c r="F366" s="8" t="str">
        <x:v>Delhi</x:v>
      </x:c>
      <x:c r="G366" s="8" t="str">
        <x:v>North</x:v>
      </x:c>
      <x:c r="H366" s="8" t="str">
        <x:v>PRD-004</x:v>
      </x:c>
      <x:c r="I366" s="8" t="str">
        <x:v>Laptop Stand</x:v>
      </x:c>
      <x:c r="J366" s="8" t="str">
        <x:v>Office Supplies</x:v>
      </x:c>
      <x:c r="K366" s="8" t="n">
        <x:v>1</x:v>
      </x:c>
      <x:c r="L366" s="9" t="n">
        <x:v>1299</x:v>
      </x:c>
      <x:c r="M366" s="23" t="n">
        <x:v>0.2</x:v>
      </x:c>
      <x:c r="N366" s="8" t="str">
        <x:v>Debit Card</x:v>
      </x:c>
      <x:c r="O366" s="8" t="str">
        <x:v>Completed</x:v>
      </x:c>
    </x:row>
    <x:row r="367">
      <x:c r="A367" s="8" t="str">
        <x:v>ORD-0363</x:v>
      </x:c>
      <x:c r="B367" s="22" t="n">
        <x:v>45877.78670524305</x:v>
      </x:c>
      <x:c r="C367" s="8" t="str">
        <x:v>CUS-076</x:v>
      </x:c>
      <x:c r="D367" s="8" t="str">
        <x:v>Pooja Saxena 4</x:v>
      </x:c>
      <x:c r="E367" s="8" t="str">
        <x:v>Consumer</x:v>
      </x:c>
      <x:c r="F367" s="8" t="str">
        <x:v>Kolkata</x:v>
      </x:c>
      <x:c r="G367" s="8" t="str">
        <x:v>East</x:v>
      </x:c>
      <x:c r="H367" s="8" t="str">
        <x:v>PRD-005</x:v>
      </x:c>
      <x:c r="I367" s="8" t="str">
        <x:v>Executive Notebook</x:v>
      </x:c>
      <x:c r="J367" s="8" t="str">
        <x:v>Office Supplies</x:v>
      </x:c>
      <x:c r="K367" s="8" t="n">
        <x:v>1</x:v>
      </x:c>
      <x:c r="L367" s="9" t="n">
        <x:v>349</x:v>
      </x:c>
      <x:c r="M367" s="23" t="n">
        <x:v>0.05</x:v>
      </x:c>
      <x:c r="N367" s="8" t="str">
        <x:v>Credit Card</x:v>
      </x:c>
      <x:c r="O367" s="8" t="str">
        <x:v>Completed</x:v>
      </x:c>
    </x:row>
    <x:row r="368">
      <x:c r="A368" s="8" t="str">
        <x:v>ORD-0364</x:v>
      </x:c>
      <x:c r="B368" s="22" t="n">
        <x:v>45736.92492697917</x:v>
      </x:c>
      <x:c r="C368" s="8" t="str">
        <x:v>CUS-079</x:v>
      </x:c>
      <x:c r="D368" s="8" t="str">
        <x:v>Siddharth Jain 4</x:v>
      </x:c>
      <x:c r="E368" s="8" t="str">
        <x:v>Consumer</x:v>
      </x:c>
      <x:c r="F368" s="8" t="str">
        <x:v>Chennai</x:v>
      </x:c>
      <x:c r="G368" s="8" t="str">
        <x:v>South</x:v>
      </x:c>
      <x:c r="H368" s="8" t="str">
        <x:v>PRD-009</x:v>
      </x:c>
      <x:c r="I368" s="8" t="str">
        <x:v>Table Lamp</x:v>
      </x:c>
      <x:c r="J368" s="8" t="str">
        <x:v>Home &amp; Kitchen</x:v>
      </x:c>
      <x:c r="K368" s="8" t="n">
        <x:v>5</x:v>
      </x:c>
      <x:c r="L368" s="9" t="n">
        <x:v>1499</x:v>
      </x:c>
      <x:c r="M368" s="23" t="n">
        <x:v>0.1</x:v>
      </x:c>
      <x:c r="N368" s="8" t="str">
        <x:v>UPI</x:v>
      </x:c>
      <x:c r="O368" s="8" t="str">
        <x:v>Completed</x:v>
      </x:c>
    </x:row>
    <x:row r="369">
      <x:c r="A369" s="8" t="str">
        <x:v>ORD-0365</x:v>
      </x:c>
      <x:c r="B369" s="22" t="n">
        <x:v>45726.70011844907</x:v>
      </x:c>
      <x:c r="C369" s="8" t="str">
        <x:v>CUS-065</x:v>
      </x:c>
      <x:c r="D369" s="8" t="str">
        <x:v>Arjun Verma 4</x:v>
      </x:c>
      <x:c r="E369" s="8" t="str">
        <x:v>Corporate</x:v>
      </x:c>
      <x:c r="F369" s="8" t="str">
        <x:v>Hyderabad</x:v>
      </x:c>
      <x:c r="G369" s="8" t="str">
        <x:v>South</x:v>
      </x:c>
      <x:c r="H369" s="8" t="str">
        <x:v>PRD-009</x:v>
      </x:c>
      <x:c r="I369" s="8" t="str">
        <x:v>Table Lamp</x:v>
      </x:c>
      <x:c r="J369" s="8" t="str">
        <x:v>Home &amp; Kitchen</x:v>
      </x:c>
      <x:c r="K369" s="8" t="n">
        <x:v>3</x:v>
      </x:c>
      <x:c r="L369" s="9" t="n">
        <x:v>1499</x:v>
      </x:c>
      <x:c r="M369" s="23" t="n">
        <x:v>0.1</x:v>
      </x:c>
      <x:c r="N369" s="8" t="str">
        <x:v>Cash on Delivery</x:v>
      </x:c>
      <x:c r="O369" s="8" t="str">
        <x:v>Returned</x:v>
      </x:c>
    </x:row>
    <x:row r="370">
      <x:c r="A370" s="8" t="str">
        <x:v>ORD-0366</x:v>
      </x:c>
      <x:c r="B370" s="22" t="n">
        <x:v>45943.8859697338</x:v>
      </x:c>
      <x:c r="C370" s="8" t="str">
        <x:v>CUS-077</x:v>
      </x:c>
      <x:c r="D370" s="8" t="str">
        <x:v>Vikram Yadav 4</x:v>
      </x:c>
      <x:c r="E370" s="8" t="str">
        <x:v>Corporate</x:v>
      </x:c>
      <x:c r="F370" s="8" t="str">
        <x:v>Chennai</x:v>
      </x:c>
      <x:c r="G370" s="8" t="str">
        <x:v>South</x:v>
      </x:c>
      <x:c r="H370" s="8" t="str">
        <x:v>PRD-006</x:v>
      </x:c>
      <x:c r="I370" s="8" t="str">
        <x:v>Desk Organiser</x:v>
      </x:c>
      <x:c r="J370" s="8" t="str">
        <x:v>Office Supplies</x:v>
      </x:c>
      <x:c r="K370" s="8" t="n">
        <x:v>4</x:v>
      </x:c>
      <x:c r="L370" s="9" t="n">
        <x:v>699</x:v>
      </x:c>
      <x:c r="M370" s="23" t="n">
        <x:v>0</x:v>
      </x:c>
      <x:c r="N370" s="8" t="str">
        <x:v>Credit Card</x:v>
      </x:c>
      <x:c r="O370" s="8" t="str">
        <x:v>Completed</x:v>
      </x:c>
    </x:row>
    <x:row r="371">
      <x:c r="A371" s="8" t="str">
        <x:v>ORD-0367</x:v>
      </x:c>
      <x:c r="B371" s="22" t="n">
        <x:v>45961.56836950232</x:v>
      </x:c>
      <x:c r="C371" s="8" t="str">
        <x:v>CUS-070</x:v>
      </x:c>
      <x:c r="D371" s="8" t="str">
        <x:v>Saanvi Iyer 4</x:v>
      </x:c>
      <x:c r="E371" s="8" t="str">
        <x:v>Consumer</x:v>
      </x:c>
      <x:c r="F371" s="8" t="str">
        <x:v>Jaipur</x:v>
      </x:c>
      <x:c r="G371" s="8" t="str">
        <x:v>North</x:v>
      </x:c>
      <x:c r="H371" s="8" t="str">
        <x:v>PRD-005</x:v>
      </x:c>
      <x:c r="I371" s="8" t="str">
        <x:v>Executive Notebook</x:v>
      </x:c>
      <x:c r="J371" s="8" t="str">
        <x:v>Office Supplies</x:v>
      </x:c>
      <x:c r="K371" s="8" t="n">
        <x:v>3</x:v>
      </x:c>
      <x:c r="L371" s="9" t="n">
        <x:v>349</x:v>
      </x:c>
      <x:c r="M371" s="23" t="n">
        <x:v>0.05</x:v>
      </x:c>
      <x:c r="N371" s="8" t="str">
        <x:v>Net Banking</x:v>
      </x:c>
      <x:c r="O371" s="8" t="str">
        <x:v>Completed</x:v>
      </x:c>
    </x:row>
    <x:row r="372">
      <x:c r="A372" s="8" t="str">
        <x:v>ORD-0368</x:v>
      </x:c>
      <x:c r="B372" s="22" t="n">
        <x:v>45693.134445358795</x:v>
      </x:c>
      <x:c r="C372" s="8" t="str">
        <x:v>CUS-075</x:v>
      </x:c>
      <x:c r="D372" s="8" t="str">
        <x:v>Karan Malhotra 4</x:v>
      </x:c>
      <x:c r="E372" s="8" t="str">
        <x:v>Small Business</x:v>
      </x:c>
      <x:c r="F372" s="8" t="str">
        <x:v>Delhi</x:v>
      </x:c>
      <x:c r="G372" s="8" t="str">
        <x:v>North</x:v>
      </x:c>
      <x:c r="H372" s="8" t="str">
        <x:v>PRD-001</x:v>
      </x:c>
      <x:c r="I372" s="8" t="str">
        <x:v>Wireless Mouse</x:v>
      </x:c>
      <x:c r="J372" s="8" t="str">
        <x:v>Electronics</x:v>
      </x:c>
      <x:c r="K372" s="8" t="n">
        <x:v>3</x:v>
      </x:c>
      <x:c r="L372" s="9" t="n">
        <x:v>899</x:v>
      </x:c>
      <x:c r="M372" s="23" t="n">
        <x:v>0.15</x:v>
      </x:c>
      <x:c r="N372" s="8" t="str">
        <x:v>Debit Card</x:v>
      </x:c>
      <x:c r="O372" s="8" t="str">
        <x:v>Returned</x:v>
      </x:c>
    </x:row>
    <x:row r="373">
      <x:c r="A373" s="8" t="str">
        <x:v>ORD-0369</x:v>
      </x:c>
      <x:c r="B373" s="22" t="n">
        <x:v>45946.68234733796</x:v>
      </x:c>
      <x:c r="C373" s="8" t="str">
        <x:v>CUS-009</x:v>
      </x:c>
      <x:c r="D373" s="8" t="str">
        <x:v>Rohan Das</x:v>
      </x:c>
      <x:c r="E373" s="8" t="str">
        <x:v>Small Business</x:v>
      </x:c>
      <x:c r="F373" s="8" t="str">
        <x:v>Ahmedabad</x:v>
      </x:c>
      <x:c r="G373" s="8" t="str">
        <x:v>West</x:v>
      </x:c>
      <x:c r="H373" s="8" t="str">
        <x:v>PRD-010</x:v>
      </x:c>
      <x:c r="I373" s="8" t="str">
        <x:v>Travel Backpack</x:v>
      </x:c>
      <x:c r="J373" s="8" t="str">
        <x:v>Fashion</x:v>
      </x:c>
      <x:c r="K373" s="8" t="n">
        <x:v>2</x:v>
      </x:c>
      <x:c r="L373" s="9" t="n">
        <x:v>2199</x:v>
      </x:c>
      <x:c r="M373" s="23" t="n">
        <x:v>0</x:v>
      </x:c>
      <x:c r="N373" s="8" t="str">
        <x:v>Cash on Delivery</x:v>
      </x:c>
      <x:c r="O373" s="8" t="str">
        <x:v>Completed</x:v>
      </x:c>
    </x:row>
    <x:row r="374">
      <x:c r="A374" s="8" t="str">
        <x:v>ORD-0370</x:v>
      </x:c>
      <x:c r="B374" s="22" t="n">
        <x:v>45659.391849293985</x:v>
      </x:c>
      <x:c r="C374" s="8" t="str">
        <x:v>CUS-013</x:v>
      </x:c>
      <x:c r="D374" s="8" t="str">
        <x:v>Rahul Mishra</x:v>
      </x:c>
      <x:c r="E374" s="8" t="str">
        <x:v>Consumer</x:v>
      </x:c>
      <x:c r="F374" s="8" t="str">
        <x:v>Mumbai</x:v>
      </x:c>
      <x:c r="G374" s="8" t="str">
        <x:v>West</x:v>
      </x:c>
      <x:c r="H374" s="8" t="str">
        <x:v>PRD-011</x:v>
      </x:c>
      <x:c r="I374" s="8" t="str">
        <x:v>Classic Wallet</x:v>
      </x:c>
      <x:c r="J374" s="8" t="str">
        <x:v>Fashion</x:v>
      </x:c>
      <x:c r="K374" s="8" t="n">
        <x:v>1</x:v>
      </x:c>
      <x:c r="L374" s="9" t="n">
        <x:v>1199</x:v>
      </x:c>
      <x:c r="M374" s="23" t="n">
        <x:v>0.05</x:v>
      </x:c>
      <x:c r="N374" s="8" t="str">
        <x:v>Credit Card</x:v>
      </x:c>
      <x:c r="O374" s="8" t="str">
        <x:v>Completed</x:v>
      </x:c>
    </x:row>
    <x:row r="375">
      <x:c r="A375" s="8" t="str">
        <x:v>ORD-0371</x:v>
      </x:c>
      <x:c r="B375" s="22" t="n">
        <x:v>45866.64605166667</x:v>
      </x:c>
      <x:c r="C375" s="8" t="str">
        <x:v>CUS-045</x:v>
      </x:c>
      <x:c r="D375" s="8" t="str">
        <x:v>Arjun Verma 3</x:v>
      </x:c>
      <x:c r="E375" s="8" t="str">
        <x:v>Small Business</x:v>
      </x:c>
      <x:c r="F375" s="8" t="str">
        <x:v>Bengaluru</x:v>
      </x:c>
      <x:c r="G375" s="8" t="str">
        <x:v>South</x:v>
      </x:c>
      <x:c r="H375" s="8" t="str">
        <x:v>PRD-012</x:v>
      </x:c>
      <x:c r="I375" s="8" t="str">
        <x:v>Stainless Water Bottle</x:v>
      </x:c>
      <x:c r="J375" s="8" t="str">
        <x:v>Lifestyle</x:v>
      </x:c>
      <x:c r="K375" s="8" t="n">
        <x:v>2</x:v>
      </x:c>
      <x:c r="L375" s="9" t="n">
        <x:v>799</x:v>
      </x:c>
      <x:c r="M375" s="23" t="n">
        <x:v>0.05</x:v>
      </x:c>
      <x:c r="N375" s="8" t="str">
        <x:v>Debit Card</x:v>
      </x:c>
      <x:c r="O375" s="8" t="str">
        <x:v>Completed</x:v>
      </x:c>
    </x:row>
    <x:row r="376">
      <x:c r="A376" s="8" t="str">
        <x:v>ORD-0372</x:v>
      </x:c>
      <x:c r="B376" s="22" t="n">
        <x:v>45851.98358194444</x:v>
      </x:c>
      <x:c r="C376" s="8" t="str">
        <x:v>CUS-020</x:v>
      </x:c>
      <x:c r="D376" s="8" t="str">
        <x:v>Kavya Reddy</x:v>
      </x:c>
      <x:c r="E376" s="8" t="str">
        <x:v>Corporate</x:v>
      </x:c>
      <x:c r="F376" s="8" t="str">
        <x:v>Chennai</x:v>
      </x:c>
      <x:c r="G376" s="8" t="str">
        <x:v>South</x:v>
      </x:c>
      <x:c r="H376" s="8" t="str">
        <x:v>PRD-009</x:v>
      </x:c>
      <x:c r="I376" s="8" t="str">
        <x:v>Table Lamp</x:v>
      </x:c>
      <x:c r="J376" s="8" t="str">
        <x:v>Home &amp; Kitchen</x:v>
      </x:c>
      <x:c r="K376" s="8" t="n">
        <x:v>3</x:v>
      </x:c>
      <x:c r="L376" s="9" t="n">
        <x:v>1499</x:v>
      </x:c>
      <x:c r="M376" s="23" t="n">
        <x:v>0.2</x:v>
      </x:c>
      <x:c r="N376" s="8" t="str">
        <x:v>Net Banking</x:v>
      </x:c>
      <x:c r="O376" s="8" t="str">
        <x:v>Completed</x:v>
      </x:c>
    </x:row>
    <x:row r="377">
      <x:c r="A377" s="8" t="str">
        <x:v>ORD-0373</x:v>
      </x:c>
      <x:c r="B377" s="22" t="n">
        <x:v>45801.64147605324</x:v>
      </x:c>
      <x:c r="C377" s="8" t="str">
        <x:v>CUS-014</x:v>
      </x:c>
      <x:c r="D377" s="8" t="str">
        <x:v>Neha Rao</x:v>
      </x:c>
      <x:c r="E377" s="8" t="str">
        <x:v>Corporate</x:v>
      </x:c>
      <x:c r="F377" s="8" t="str">
        <x:v>Jaipur</x:v>
      </x:c>
      <x:c r="G377" s="8" t="str">
        <x:v>North</x:v>
      </x:c>
      <x:c r="H377" s="8" t="str">
        <x:v>PRD-008</x:v>
      </x:c>
      <x:c r="I377" s="8" t="str">
        <x:v>Storage Container Set</x:v>
      </x:c>
      <x:c r="J377" s="8" t="str">
        <x:v>Home &amp; Kitchen</x:v>
      </x:c>
      <x:c r="K377" s="8" t="n">
        <x:v>1</x:v>
      </x:c>
      <x:c r="L377" s="9" t="n">
        <x:v>999</x:v>
      </x:c>
      <x:c r="M377" s="23" t="n">
        <x:v>0.05</x:v>
      </x:c>
      <x:c r="N377" s="8" t="str">
        <x:v>UPI</x:v>
      </x:c>
      <x:c r="O377" s="8" t="str">
        <x:v>Completed</x:v>
      </x:c>
    </x:row>
    <x:row r="378">
      <x:c r="A378" s="8" t="str">
        <x:v>ORD-0374</x:v>
      </x:c>
      <x:c r="B378" s="22" t="n">
        <x:v>45775.38786131945</x:v>
      </x:c>
      <x:c r="C378" s="8" t="str">
        <x:v>CUS-051</x:v>
      </x:c>
      <x:c r="D378" s="8" t="str">
        <x:v>Aditya Joshi 3</x:v>
      </x:c>
      <x:c r="E378" s="8" t="str">
        <x:v>Small Business</x:v>
      </x:c>
      <x:c r="F378" s="8" t="str">
        <x:v>Bengaluru</x:v>
      </x:c>
      <x:c r="G378" s="8" t="str">
        <x:v>South</x:v>
      </x:c>
      <x:c r="H378" s="8" t="str">
        <x:v>PRD-007</x:v>
      </x:c>
      <x:c r="I378" s="8" t="str">
        <x:v>Electric Kettle</x:v>
      </x:c>
      <x:c r="J378" s="8" t="str">
        <x:v>Home &amp; Kitchen</x:v>
      </x:c>
      <x:c r="K378" s="8" t="n">
        <x:v>5</x:v>
      </x:c>
      <x:c r="L378" s="9" t="n">
        <x:v>1699</x:v>
      </x:c>
      <x:c r="M378" s="23" t="n">
        <x:v>0.05</x:v>
      </x:c>
      <x:c r="N378" s="8" t="str">
        <x:v>Debit Card</x:v>
      </x:c>
      <x:c r="O378" s="8" t="str">
        <x:v>Completed</x:v>
      </x:c>
    </x:row>
    <x:row r="379">
      <x:c r="A379" s="8" t="str">
        <x:v>ORD-0375</x:v>
      </x:c>
      <x:c r="B379" s="22" t="n">
        <x:v>45679.325573842594</x:v>
      </x:c>
      <x:c r="C379" s="8" t="str">
        <x:v>CUS-043</x:v>
      </x:c>
      <x:c r="D379" s="8" t="str">
        <x:v>Vihaan Singh 3</x:v>
      </x:c>
      <x:c r="E379" s="8" t="str">
        <x:v>Consumer</x:v>
      </x:c>
      <x:c r="F379" s="8" t="str">
        <x:v>Ahmedabad</x:v>
      </x:c>
      <x:c r="G379" s="8" t="str">
        <x:v>West</x:v>
      </x:c>
      <x:c r="H379" s="8" t="str">
        <x:v>PRD-003</x:v>
      </x:c>
      <x:c r="I379" s="8" t="str">
        <x:v>USB-C Hub</x:v>
      </x:c>
      <x:c r="J379" s="8" t="str">
        <x:v>Electronics</x:v>
      </x:c>
      <x:c r="K379" s="8" t="n">
        <x:v>2</x:v>
      </x:c>
      <x:c r="L379" s="9" t="n">
        <x:v>1899</x:v>
      </x:c>
      <x:c r="M379" s="23" t="n">
        <x:v>0.05</x:v>
      </x:c>
      <x:c r="N379" s="8" t="str">
        <x:v>UPI</x:v>
      </x:c>
      <x:c r="O379" s="8" t="str">
        <x:v>Completed</x:v>
      </x:c>
    </x:row>
    <x:row r="380">
      <x:c r="A380" s="8" t="str">
        <x:v>ORD-0376</x:v>
      </x:c>
      <x:c r="B380" s="22" t="n">
        <x:v>45850.83596366898</x:v>
      </x:c>
      <x:c r="C380" s="8" t="str">
        <x:v>CUS-048</x:v>
      </x:c>
      <x:c r="D380" s="8" t="str">
        <x:v>Meera Nair 3</x:v>
      </x:c>
      <x:c r="E380" s="8" t="str">
        <x:v>Small Business</x:v>
      </x:c>
      <x:c r="F380" s="8" t="str">
        <x:v>Jaipur</x:v>
      </x:c>
      <x:c r="G380" s="8" t="str">
        <x:v>North</x:v>
      </x:c>
      <x:c r="H380" s="8" t="str">
        <x:v>PRD-008</x:v>
      </x:c>
      <x:c r="I380" s="8" t="str">
        <x:v>Storage Container Set</x:v>
      </x:c>
      <x:c r="J380" s="8" t="str">
        <x:v>Home &amp; Kitchen</x:v>
      </x:c>
      <x:c r="K380" s="8" t="n">
        <x:v>4</x:v>
      </x:c>
      <x:c r="L380" s="9" t="n">
        <x:v>999</x:v>
      </x:c>
      <x:c r="M380" s="23" t="n">
        <x:v>0</x:v>
      </x:c>
      <x:c r="N380" s="8" t="str">
        <x:v>Cash on Delivery</x:v>
      </x:c>
      <x:c r="O380" s="8" t="str">
        <x:v>Completed</x:v>
      </x:c>
    </x:row>
    <x:row r="381">
      <x:c r="A381" s="8" t="str">
        <x:v>ORD-0377</x:v>
      </x:c>
      <x:c r="B381" s="22" t="n">
        <x:v>45701.32910542824</x:v>
      </x:c>
      <x:c r="C381" s="8" t="str">
        <x:v>CUS-036</x:v>
      </x:c>
      <x:c r="D381" s="8" t="str">
        <x:v>Pooja Saxena 2</x:v>
      </x:c>
      <x:c r="E381" s="8" t="str">
        <x:v>Small Business</x:v>
      </x:c>
      <x:c r="F381" s="8" t="str">
        <x:v>Pune</x:v>
      </x:c>
      <x:c r="G381" s="8" t="str">
        <x:v>West</x:v>
      </x:c>
      <x:c r="H381" s="8" t="str">
        <x:v>PRD-012</x:v>
      </x:c>
      <x:c r="I381" s="8" t="str">
        <x:v>Stainless Water Bottle</x:v>
      </x:c>
      <x:c r="J381" s="8" t="str">
        <x:v>Lifestyle</x:v>
      </x:c>
      <x:c r="K381" s="8" t="n">
        <x:v>3</x:v>
      </x:c>
      <x:c r="L381" s="9" t="n">
        <x:v>799</x:v>
      </x:c>
      <x:c r="M381" s="23" t="n">
        <x:v>0.15</x:v>
      </x:c>
      <x:c r="N381" s="8" t="str">
        <x:v>Credit Card</x:v>
      </x:c>
      <x:c r="O381" s="8" t="str">
        <x:v>Completed</x:v>
      </x:c>
    </x:row>
    <x:row r="382">
      <x:c r="A382" s="8" t="str">
        <x:v>ORD-0378</x:v>
      </x:c>
      <x:c r="B382" s="22" t="n">
        <x:v>45918.92301967592</x:v>
      </x:c>
      <x:c r="C382" s="8" t="str">
        <x:v>CUS-046</x:v>
      </x:c>
      <x:c r="D382" s="8" t="str">
        <x:v>Isha Mehta 3</x:v>
      </x:c>
      <x:c r="E382" s="8" t="str">
        <x:v>Consumer</x:v>
      </x:c>
      <x:c r="F382" s="8" t="str">
        <x:v>Chennai</x:v>
      </x:c>
      <x:c r="G382" s="8" t="str">
        <x:v>South</x:v>
      </x:c>
      <x:c r="H382" s="8" t="str">
        <x:v>PRD-010</x:v>
      </x:c>
      <x:c r="I382" s="8" t="str">
        <x:v>Travel Backpack</x:v>
      </x:c>
      <x:c r="J382" s="8" t="str">
        <x:v>Fashion</x:v>
      </x:c>
      <x:c r="K382" s="8" t="n">
        <x:v>1</x:v>
      </x:c>
      <x:c r="L382" s="9" t="n">
        <x:v>2199</x:v>
      </x:c>
      <x:c r="M382" s="23" t="n">
        <x:v>0.15</x:v>
      </x:c>
      <x:c r="N382" s="8" t="str">
        <x:v>Credit Card</x:v>
      </x:c>
      <x:c r="O382" s="8" t="str">
        <x:v>Completed</x:v>
      </x:c>
    </x:row>
    <x:row r="383">
      <x:c r="A383" s="8" t="str">
        <x:v>ORD-0379</x:v>
      </x:c>
      <x:c r="B383" s="22" t="n">
        <x:v>45764.45253268519</x:v>
      </x:c>
      <x:c r="C383" s="8" t="str">
        <x:v>CUS-073</x:v>
      </x:c>
      <x:c r="D383" s="8" t="str">
        <x:v>Rahul Mishra 4</x:v>
      </x:c>
      <x:c r="E383" s="8" t="str">
        <x:v>Consumer</x:v>
      </x:c>
      <x:c r="F383" s="8" t="str">
        <x:v>Kolkata</x:v>
      </x:c>
      <x:c r="G383" s="8" t="str">
        <x:v>East</x:v>
      </x:c>
      <x:c r="H383" s="8" t="str">
        <x:v>PRD-009</x:v>
      </x:c>
      <x:c r="I383" s="8" t="str">
        <x:v>Table Lamp</x:v>
      </x:c>
      <x:c r="J383" s="8" t="str">
        <x:v>Home &amp; Kitchen</x:v>
      </x:c>
      <x:c r="K383" s="8" t="n">
        <x:v>3</x:v>
      </x:c>
      <x:c r="L383" s="9" t="n">
        <x:v>1499</x:v>
      </x:c>
      <x:c r="M383" s="23" t="n">
        <x:v>0</x:v>
      </x:c>
      <x:c r="N383" s="8" t="str">
        <x:v>Net Banking</x:v>
      </x:c>
      <x:c r="O383" s="8" t="str">
        <x:v>Completed</x:v>
      </x:c>
    </x:row>
    <x:row r="384">
      <x:c r="A384" s="8" t="str">
        <x:v>ORD-0380</x:v>
      </x:c>
      <x:c r="B384" s="22" t="n">
        <x:v>45839.399987488425</x:v>
      </x:c>
      <x:c r="C384" s="8" t="str">
        <x:v>CUS-013</x:v>
      </x:c>
      <x:c r="D384" s="8" t="str">
        <x:v>Rahul Mishra</x:v>
      </x:c>
      <x:c r="E384" s="8" t="str">
        <x:v>Consumer</x:v>
      </x:c>
      <x:c r="F384" s="8" t="str">
        <x:v>Hyderabad</x:v>
      </x:c>
      <x:c r="G384" s="8" t="str">
        <x:v>South</x:v>
      </x:c>
      <x:c r="H384" s="8" t="str">
        <x:v>PRD-009</x:v>
      </x:c>
      <x:c r="I384" s="8" t="str">
        <x:v>Table Lamp</x:v>
      </x:c>
      <x:c r="J384" s="8" t="str">
        <x:v>Home &amp; Kitchen</x:v>
      </x:c>
      <x:c r="K384" s="8" t="n">
        <x:v>4</x:v>
      </x:c>
      <x:c r="L384" s="9" t="n">
        <x:v>1499</x:v>
      </x:c>
      <x:c r="M384" s="23" t="n">
        <x:v>0.2</x:v>
      </x:c>
      <x:c r="N384" s="8" t="str">
        <x:v>UPI</x:v>
      </x:c>
      <x:c r="O384" s="8" t="str">
        <x:v>Completed</x:v>
      </x:c>
    </x:row>
    <x:row r="385">
      <x:c r="A385" s="8" t="str">
        <x:v>ORD-0381</x:v>
      </x:c>
      <x:c r="B385" s="22" t="n">
        <x:v>45868.5370141088</x:v>
      </x:c>
      <x:c r="C385" s="8" t="str">
        <x:v>CUS-058</x:v>
      </x:c>
      <x:c r="D385" s="8" t="str">
        <x:v>Nisha Bansal 3</x:v>
      </x:c>
      <x:c r="E385" s="8" t="str">
        <x:v>Consumer</x:v>
      </x:c>
      <x:c r="F385" s="8" t="str">
        <x:v>Delhi</x:v>
      </x:c>
      <x:c r="G385" s="8" t="str">
        <x:v>North</x:v>
      </x:c>
      <x:c r="H385" s="8" t="str">
        <x:v>PRD-006</x:v>
      </x:c>
      <x:c r="I385" s="8" t="str">
        <x:v>Desk Organiser</x:v>
      </x:c>
      <x:c r="J385" s="8" t="str">
        <x:v>Office Supplies</x:v>
      </x:c>
      <x:c r="K385" s="8" t="n">
        <x:v>4</x:v>
      </x:c>
      <x:c r="L385" s="9" t="n">
        <x:v>699</x:v>
      </x:c>
      <x:c r="M385" s="23" t="n">
        <x:v>0</x:v>
      </x:c>
      <x:c r="N385" s="8" t="str">
        <x:v>Net Banking</x:v>
      </x:c>
      <x:c r="O385" s="8" t="str">
        <x:v>Completed</x:v>
      </x:c>
    </x:row>
    <x:row r="386">
      <x:c r="A386" s="8" t="str">
        <x:v>ORD-0382</x:v>
      </x:c>
      <x:c r="B386" s="22" t="n">
        <x:v>45700.7584621412</x:v>
      </x:c>
      <x:c r="C386" s="8" t="str">
        <x:v>CUS-047</x:v>
      </x:c>
      <x:c r="D386" s="8" t="str">
        <x:v>Kabir Khan 3</x:v>
      </x:c>
      <x:c r="E386" s="8" t="str">
        <x:v>Corporate</x:v>
      </x:c>
      <x:c r="F386" s="8" t="str">
        <x:v>Pune</x:v>
      </x:c>
      <x:c r="G386" s="8" t="str">
        <x:v>West</x:v>
      </x:c>
      <x:c r="H386" s="8" t="str">
        <x:v>PRD-010</x:v>
      </x:c>
      <x:c r="I386" s="8" t="str">
        <x:v>Travel Backpack</x:v>
      </x:c>
      <x:c r="J386" s="8" t="str">
        <x:v>Fashion</x:v>
      </x:c>
      <x:c r="K386" s="8" t="n">
        <x:v>3</x:v>
      </x:c>
      <x:c r="L386" s="9" t="n">
        <x:v>2199</x:v>
      </x:c>
      <x:c r="M386" s="23" t="n">
        <x:v>0</x:v>
      </x:c>
      <x:c r="N386" s="8" t="str">
        <x:v>Debit Card</x:v>
      </x:c>
      <x:c r="O386" s="8" t="str">
        <x:v>Completed</x:v>
      </x:c>
    </x:row>
    <x:row r="387">
      <x:c r="A387" s="8" t="str">
        <x:v>ORD-0383</x:v>
      </x:c>
      <x:c r="B387" s="22" t="n">
        <x:v>45781.20282899305</x:v>
      </x:c>
      <x:c r="C387" s="8" t="str">
        <x:v>CUS-062</x:v>
      </x:c>
      <x:c r="D387" s="8" t="str">
        <x:v>Diya Patel 4</x:v>
      </x:c>
      <x:c r="E387" s="8" t="str">
        <x:v>Corporate</x:v>
      </x:c>
      <x:c r="F387" s="8" t="str">
        <x:v>Hyderabad</x:v>
      </x:c>
      <x:c r="G387" s="8" t="str">
        <x:v>South</x:v>
      </x:c>
      <x:c r="H387" s="8" t="str">
        <x:v>PRD-005</x:v>
      </x:c>
      <x:c r="I387" s="8" t="str">
        <x:v>Executive Notebook</x:v>
      </x:c>
      <x:c r="J387" s="8" t="str">
        <x:v>Office Supplies</x:v>
      </x:c>
      <x:c r="K387" s="8" t="n">
        <x:v>2</x:v>
      </x:c>
      <x:c r="L387" s="9" t="n">
        <x:v>349</x:v>
      </x:c>
      <x:c r="M387" s="23" t="n">
        <x:v>0.2</x:v>
      </x:c>
      <x:c r="N387" s="8" t="str">
        <x:v>Cash on Delivery</x:v>
      </x:c>
      <x:c r="O387" s="8" t="str">
        <x:v>Returned</x:v>
      </x:c>
    </x:row>
    <x:row r="388">
      <x:c r="A388" s="8" t="str">
        <x:v>ORD-0384</x:v>
      </x:c>
      <x:c r="B388" s="22" t="n">
        <x:v>45793.354528194446</x:v>
      </x:c>
      <x:c r="C388" s="8" t="str">
        <x:v>CUS-019</x:v>
      </x:c>
      <x:c r="D388" s="8" t="str">
        <x:v>Siddharth Jain</x:v>
      </x:c>
      <x:c r="E388" s="8" t="str">
        <x:v>Consumer</x:v>
      </x:c>
      <x:c r="F388" s="8" t="str">
        <x:v>Delhi</x:v>
      </x:c>
      <x:c r="G388" s="8" t="str">
        <x:v>North</x:v>
      </x:c>
      <x:c r="H388" s="8" t="str">
        <x:v>PRD-009</x:v>
      </x:c>
      <x:c r="I388" s="8" t="str">
        <x:v>Table Lamp</x:v>
      </x:c>
      <x:c r="J388" s="8" t="str">
        <x:v>Home &amp; Kitchen</x:v>
      </x:c>
      <x:c r="K388" s="8" t="n">
        <x:v>1</x:v>
      </x:c>
      <x:c r="L388" s="9" t="n">
        <x:v>1499</x:v>
      </x:c>
      <x:c r="M388" s="23" t="n">
        <x:v>0</x:v>
      </x:c>
      <x:c r="N388" s="8" t="str">
        <x:v>Credit Card</x:v>
      </x:c>
      <x:c r="O388" s="8" t="str">
        <x:v>Completed</x:v>
      </x:c>
    </x:row>
    <x:row r="389">
      <x:c r="A389" s="8" t="str">
        <x:v>ORD-0385</x:v>
      </x:c>
      <x:c r="B389" s="22" t="n">
        <x:v>45863.285963518516</x:v>
      </x:c>
      <x:c r="C389" s="8" t="str">
        <x:v>CUS-009</x:v>
      </x:c>
      <x:c r="D389" s="8" t="str">
        <x:v>Rohan Das</x:v>
      </x:c>
      <x:c r="E389" s="8" t="str">
        <x:v>Small Business</x:v>
      </x:c>
      <x:c r="F389" s="8" t="str">
        <x:v>Bengaluru</x:v>
      </x:c>
      <x:c r="G389" s="8" t="str">
        <x:v>South</x:v>
      </x:c>
      <x:c r="H389" s="8" t="str">
        <x:v>PRD-011</x:v>
      </x:c>
      <x:c r="I389" s="8" t="str">
        <x:v>Classic Wallet</x:v>
      </x:c>
      <x:c r="J389" s="8" t="str">
        <x:v>Fashion</x:v>
      </x:c>
      <x:c r="K389" s="8" t="n">
        <x:v>3</x:v>
      </x:c>
      <x:c r="L389" s="9" t="n">
        <x:v>1199</x:v>
      </x:c>
      <x:c r="M389" s="23" t="n">
        <x:v>0.15</x:v>
      </x:c>
      <x:c r="N389" s="8" t="str">
        <x:v>Net Banking</x:v>
      </x:c>
      <x:c r="O389" s="8" t="str">
        <x:v>Cancelled</x:v>
      </x:c>
    </x:row>
    <x:row r="390">
      <x:c r="A390" s="8" t="str">
        <x:v>ORD-0386</x:v>
      </x:c>
      <x:c r="B390" s="22" t="n">
        <x:v>45804.06253967593</x:v>
      </x:c>
      <x:c r="C390" s="8" t="str">
        <x:v>CUS-014</x:v>
      </x:c>
      <x:c r="D390" s="8" t="str">
        <x:v>Neha Rao</x:v>
      </x:c>
      <x:c r="E390" s="8" t="str">
        <x:v>Corporate</x:v>
      </x:c>
      <x:c r="F390" s="8" t="str">
        <x:v>Lucknow</x:v>
      </x:c>
      <x:c r="G390" s="8" t="str">
        <x:v>North</x:v>
      </x:c>
      <x:c r="H390" s="8" t="str">
        <x:v>PRD-007</x:v>
      </x:c>
      <x:c r="I390" s="8" t="str">
        <x:v>Electric Kettle</x:v>
      </x:c>
      <x:c r="J390" s="8" t="str">
        <x:v>Home &amp; Kitchen</x:v>
      </x:c>
      <x:c r="K390" s="8" t="n">
        <x:v>4</x:v>
      </x:c>
      <x:c r="L390" s="9" t="n">
        <x:v>1699</x:v>
      </x:c>
      <x:c r="M390" s="23" t="n">
        <x:v>0</x:v>
      </x:c>
      <x:c r="N390" s="8" t="str">
        <x:v>Credit Card</x:v>
      </x:c>
      <x:c r="O390" s="8" t="str">
        <x:v>Cancelled</x:v>
      </x:c>
    </x:row>
    <x:row r="391">
      <x:c r="A391" s="8" t="str">
        <x:v>ORD-0387</x:v>
      </x:c>
      <x:c r="B391" s="22" t="n">
        <x:v>45671.0584528125</x:v>
      </x:c>
      <x:c r="C391" s="8" t="str">
        <x:v>CUS-071</x:v>
      </x:c>
      <x:c r="D391" s="8" t="str">
        <x:v>Aditya Joshi 4</x:v>
      </x:c>
      <x:c r="E391" s="8" t="str">
        <x:v>Corporate</x:v>
      </x:c>
      <x:c r="F391" s="8" t="str">
        <x:v>Ahmedabad</x:v>
      </x:c>
      <x:c r="G391" s="8" t="str">
        <x:v>West</x:v>
      </x:c>
      <x:c r="H391" s="8" t="str">
        <x:v>PRD-004</x:v>
      </x:c>
      <x:c r="I391" s="8" t="str">
        <x:v>Laptop Stand</x:v>
      </x:c>
      <x:c r="J391" s="8" t="str">
        <x:v>Office Supplies</x:v>
      </x:c>
      <x:c r="K391" s="8" t="n">
        <x:v>3</x:v>
      </x:c>
      <x:c r="L391" s="9" t="n">
        <x:v>1299</x:v>
      </x:c>
      <x:c r="M391" s="23" t="n">
        <x:v>0.2</x:v>
      </x:c>
      <x:c r="N391" s="8" t="str">
        <x:v>Cash on Delivery</x:v>
      </x:c>
      <x:c r="O391" s="8" t="str">
        <x:v>Completed</x:v>
      </x:c>
    </x:row>
    <x:row r="392">
      <x:c r="A392" s="8" t="str">
        <x:v>ORD-0388</x:v>
      </x:c>
      <x:c r="B392" s="22" t="n">
        <x:v>45746.548022152776</x:v>
      </x:c>
      <x:c r="C392" s="8" t="str">
        <x:v>CUS-022</x:v>
      </x:c>
      <x:c r="D392" s="8" t="str">
        <x:v>Diya Patel 2</x:v>
      </x:c>
      <x:c r="E392" s="8" t="str">
        <x:v>Consumer</x:v>
      </x:c>
      <x:c r="F392" s="8" t="str">
        <x:v>Delhi</x:v>
      </x:c>
      <x:c r="G392" s="8" t="str">
        <x:v>North</x:v>
      </x:c>
      <x:c r="H392" s="8" t="str">
        <x:v>PRD-010</x:v>
      </x:c>
      <x:c r="I392" s="8" t="str">
        <x:v>Travel Backpack</x:v>
      </x:c>
      <x:c r="J392" s="8" t="str">
        <x:v>Fashion</x:v>
      </x:c>
      <x:c r="K392" s="8" t="n">
        <x:v>1</x:v>
      </x:c>
      <x:c r="L392" s="9" t="n">
        <x:v>2199</x:v>
      </x:c>
      <x:c r="M392" s="23" t="n">
        <x:v>0.15</x:v>
      </x:c>
      <x:c r="N392" s="8" t="str">
        <x:v>Cash on Delivery</x:v>
      </x:c>
      <x:c r="O392" s="8" t="str">
        <x:v>Completed</x:v>
      </x:c>
    </x:row>
    <x:row r="393">
      <x:c r="A393" s="8" t="str">
        <x:v>ORD-0389</x:v>
      </x:c>
      <x:c r="B393" s="22" t="n">
        <x:v>45985.120713993056</x:v>
      </x:c>
      <x:c r="C393" s="8" t="str">
        <x:v>CUS-079</x:v>
      </x:c>
      <x:c r="D393" s="8" t="str">
        <x:v>Siddharth Jain 4</x:v>
      </x:c>
      <x:c r="E393" s="8" t="str">
        <x:v>Consumer</x:v>
      </x:c>
      <x:c r="F393" s="8" t="str">
        <x:v>Bengaluru</x:v>
      </x:c>
      <x:c r="G393" s="8" t="str">
        <x:v>South</x:v>
      </x:c>
      <x:c r="H393" s="8" t="str">
        <x:v>PRD-012</x:v>
      </x:c>
      <x:c r="I393" s="8" t="str">
        <x:v>Stainless Water Bottle</x:v>
      </x:c>
      <x:c r="J393" s="8" t="str">
        <x:v>Lifestyle</x:v>
      </x:c>
      <x:c r="K393" s="8" t="n">
        <x:v>4</x:v>
      </x:c>
      <x:c r="L393" s="9" t="n">
        <x:v>799</x:v>
      </x:c>
      <x:c r="M393" s="23" t="n">
        <x:v>0</x:v>
      </x:c>
      <x:c r="N393" s="8" t="str">
        <x:v>Cash on Delivery</x:v>
      </x:c>
      <x:c r="O393" s="8" t="str">
        <x:v>Cancelled</x:v>
      </x:c>
    </x:row>
    <x:row r="394">
      <x:c r="A394" s="8" t="str">
        <x:v>ORD-0390</x:v>
      </x:c>
      <x:c r="B394" s="22" t="n">
        <x:v>45722.1196081713</x:v>
      </x:c>
      <x:c r="C394" s="8" t="str">
        <x:v>CUS-068</x:v>
      </x:c>
      <x:c r="D394" s="8" t="str">
        <x:v>Meera Nair 4</x:v>
      </x:c>
      <x:c r="E394" s="8" t="str">
        <x:v>Corporate</x:v>
      </x:c>
      <x:c r="F394" s="8" t="str">
        <x:v>Chennai</x:v>
      </x:c>
      <x:c r="G394" s="8" t="str">
        <x:v>South</x:v>
      </x:c>
      <x:c r="H394" s="8" t="str">
        <x:v>PRD-012</x:v>
      </x:c>
      <x:c r="I394" s="8" t="str">
        <x:v>Stainless Water Bottle</x:v>
      </x:c>
      <x:c r="J394" s="8" t="str">
        <x:v>Lifestyle</x:v>
      </x:c>
      <x:c r="K394" s="8" t="n">
        <x:v>1</x:v>
      </x:c>
      <x:c r="L394" s="9" t="n">
        <x:v>799</x:v>
      </x:c>
      <x:c r="M394" s="23" t="n">
        <x:v>0.15</x:v>
      </x:c>
      <x:c r="N394" s="8" t="str">
        <x:v>UPI</x:v>
      </x:c>
      <x:c r="O394" s="8" t="str">
        <x:v>Completed</x:v>
      </x:c>
    </x:row>
    <x:row r="395">
      <x:c r="A395" s="8" t="str">
        <x:v>ORD-0391</x:v>
      </x:c>
      <x:c r="B395" s="22" t="n">
        <x:v>45772.854671203706</x:v>
      </x:c>
      <x:c r="C395" s="8" t="str">
        <x:v>CUS-036</x:v>
      </x:c>
      <x:c r="D395" s="8" t="str">
        <x:v>Pooja Saxena 2</x:v>
      </x:c>
      <x:c r="E395" s="8" t="str">
        <x:v>Small Business</x:v>
      </x:c>
      <x:c r="F395" s="8" t="str">
        <x:v>Mumbai</x:v>
      </x:c>
      <x:c r="G395" s="8" t="str">
        <x:v>West</x:v>
      </x:c>
      <x:c r="H395" s="8" t="str">
        <x:v>PRD-010</x:v>
      </x:c>
      <x:c r="I395" s="8" t="str">
        <x:v>Travel Backpack</x:v>
      </x:c>
      <x:c r="J395" s="8" t="str">
        <x:v>Fashion</x:v>
      </x:c>
      <x:c r="K395" s="8" t="n">
        <x:v>5</x:v>
      </x:c>
      <x:c r="L395" s="9" t="n">
        <x:v>2199</x:v>
      </x:c>
      <x:c r="M395" s="23" t="n">
        <x:v>0.1</x:v>
      </x:c>
      <x:c r="N395" s="8" t="str">
        <x:v>Debit Card</x:v>
      </x:c>
      <x:c r="O395" s="8" t="str">
        <x:v>Cancelled</x:v>
      </x:c>
    </x:row>
    <x:row r="396">
      <x:c r="A396" s="8" t="str">
        <x:v>ORD-0392</x:v>
      </x:c>
      <x:c r="B396" s="22" t="n">
        <x:v>45833.06926314815</x:v>
      </x:c>
      <x:c r="C396" s="8" t="str">
        <x:v>CUS-026</x:v>
      </x:c>
      <x:c r="D396" s="8" t="str">
        <x:v>Isha Mehta 2</x:v>
      </x:c>
      <x:c r="E396" s="8" t="str">
        <x:v>Corporate</x:v>
      </x:c>
      <x:c r="F396" s="8" t="str">
        <x:v>Kolkata</x:v>
      </x:c>
      <x:c r="G396" s="8" t="str">
        <x:v>East</x:v>
      </x:c>
      <x:c r="H396" s="8" t="str">
        <x:v>PRD-006</x:v>
      </x:c>
      <x:c r="I396" s="8" t="str">
        <x:v>Desk Organiser</x:v>
      </x:c>
      <x:c r="J396" s="8" t="str">
        <x:v>Office Supplies</x:v>
      </x:c>
      <x:c r="K396" s="8" t="n">
        <x:v>2</x:v>
      </x:c>
      <x:c r="L396" s="9" t="n">
        <x:v>699</x:v>
      </x:c>
      <x:c r="M396" s="23" t="n">
        <x:v>0.05</x:v>
      </x:c>
      <x:c r="N396" s="8" t="str">
        <x:v>UPI</x:v>
      </x:c>
      <x:c r="O396" s="8" t="str">
        <x:v>Cancelled</x:v>
      </x:c>
    </x:row>
    <x:row r="397">
      <x:c r="A397" s="8" t="str">
        <x:v>ORD-0393</x:v>
      </x:c>
      <x:c r="B397" s="22" t="n">
        <x:v>45856.4290666088</x:v>
      </x:c>
      <x:c r="C397" s="8" t="str">
        <x:v>CUS-045</x:v>
      </x:c>
      <x:c r="D397" s="8" t="str">
        <x:v>Arjun Verma 3</x:v>
      </x:c>
      <x:c r="E397" s="8" t="str">
        <x:v>Small Business</x:v>
      </x:c>
      <x:c r="F397" s="8" t="str">
        <x:v>Ahmedabad</x:v>
      </x:c>
      <x:c r="G397" s="8" t="str">
        <x:v>West</x:v>
      </x:c>
      <x:c r="H397" s="8" t="str">
        <x:v>PRD-009</x:v>
      </x:c>
      <x:c r="I397" s="8" t="str">
        <x:v>Table Lamp</x:v>
      </x:c>
      <x:c r="J397" s="8" t="str">
        <x:v>Home &amp; Kitchen</x:v>
      </x:c>
      <x:c r="K397" s="8" t="n">
        <x:v>1</x:v>
      </x:c>
      <x:c r="L397" s="9" t="n">
        <x:v>1499</x:v>
      </x:c>
      <x:c r="M397" s="23" t="n">
        <x:v>0.05</x:v>
      </x:c>
      <x:c r="N397" s="8" t="str">
        <x:v>Credit Card</x:v>
      </x:c>
      <x:c r="O397" s="8" t="str">
        <x:v>Returned</x:v>
      </x:c>
    </x:row>
    <x:row r="398">
      <x:c r="A398" s="8" t="str">
        <x:v>ORD-0394</x:v>
      </x:c>
      <x:c r="B398" s="22" t="n">
        <x:v>45934.24539403935</x:v>
      </x:c>
      <x:c r="C398" s="8" t="str">
        <x:v>CUS-006</x:v>
      </x:c>
      <x:c r="D398" s="8" t="str">
        <x:v>Isha Mehta</x:v>
      </x:c>
      <x:c r="E398" s="8" t="str">
        <x:v>Small Business</x:v>
      </x:c>
      <x:c r="F398" s="8" t="str">
        <x:v>Mumbai</x:v>
      </x:c>
      <x:c r="G398" s="8" t="str">
        <x:v>West</x:v>
      </x:c>
      <x:c r="H398" s="8" t="str">
        <x:v>PRD-008</x:v>
      </x:c>
      <x:c r="I398" s="8" t="str">
        <x:v>Storage Container Set</x:v>
      </x:c>
      <x:c r="J398" s="8" t="str">
        <x:v>Home &amp; Kitchen</x:v>
      </x:c>
      <x:c r="K398" s="8" t="n">
        <x:v>1</x:v>
      </x:c>
      <x:c r="L398" s="9" t="n">
        <x:v>999</x:v>
      </x:c>
      <x:c r="M398" s="23" t="n">
        <x:v>0.15</x:v>
      </x:c>
      <x:c r="N398" s="8" t="str">
        <x:v>Cash on Delivery</x:v>
      </x:c>
      <x:c r="O398" s="8" t="str">
        <x:v>Completed</x:v>
      </x:c>
    </x:row>
    <x:row r="399">
      <x:c r="A399" s="8" t="str">
        <x:v>ORD-0395</x:v>
      </x:c>
      <x:c r="B399" s="22" t="n">
        <x:v>45665.573109351855</x:v>
      </x:c>
      <x:c r="C399" s="8" t="str">
        <x:v>CUS-018</x:v>
      </x:c>
      <x:c r="D399" s="8" t="str">
        <x:v>Nisha Bansal</x:v>
      </x:c>
      <x:c r="E399" s="8" t="str">
        <x:v>Small Business</x:v>
      </x:c>
      <x:c r="F399" s="8" t="str">
        <x:v>Delhi</x:v>
      </x:c>
      <x:c r="G399" s="8" t="str">
        <x:v>North</x:v>
      </x:c>
      <x:c r="H399" s="8" t="str">
        <x:v>PRD-009</x:v>
      </x:c>
      <x:c r="I399" s="8" t="str">
        <x:v>Table Lamp</x:v>
      </x:c>
      <x:c r="J399" s="8" t="str">
        <x:v>Home &amp; Kitchen</x:v>
      </x:c>
      <x:c r="K399" s="8" t="n">
        <x:v>5</x:v>
      </x:c>
      <x:c r="L399" s="9" t="n">
        <x:v>1499</x:v>
      </x:c>
      <x:c r="M399" s="23" t="n">
        <x:v>0</x:v>
      </x:c>
      <x:c r="N399" s="8" t="str">
        <x:v>Debit Card</x:v>
      </x:c>
      <x:c r="O399" s="8" t="str">
        <x:v>Completed</x:v>
      </x:c>
    </x:row>
    <x:row r="400">
      <x:c r="A400" s="8" t="str">
        <x:v>ORD-0396</x:v>
      </x:c>
      <x:c r="B400" s="22" t="n">
        <x:v>45677.631580023146</x:v>
      </x:c>
      <x:c r="C400" s="8" t="str">
        <x:v>CUS-036</x:v>
      </x:c>
      <x:c r="D400" s="8" t="str">
        <x:v>Pooja Saxena 2</x:v>
      </x:c>
      <x:c r="E400" s="8" t="str">
        <x:v>Small Business</x:v>
      </x:c>
      <x:c r="F400" s="8" t="str">
        <x:v>Mumbai</x:v>
      </x:c>
      <x:c r="G400" s="8" t="str">
        <x:v>West</x:v>
      </x:c>
      <x:c r="H400" s="8" t="str">
        <x:v>PRD-004</x:v>
      </x:c>
      <x:c r="I400" s="8" t="str">
        <x:v>Laptop Stand</x:v>
      </x:c>
      <x:c r="J400" s="8" t="str">
        <x:v>Office Supplies</x:v>
      </x:c>
      <x:c r="K400" s="8" t="n">
        <x:v>3</x:v>
      </x:c>
      <x:c r="L400" s="9" t="n">
        <x:v>1299</x:v>
      </x:c>
      <x:c r="M400" s="23" t="n">
        <x:v>0.15</x:v>
      </x:c>
      <x:c r="N400" s="8" t="str">
        <x:v>Net Banking</x:v>
      </x:c>
      <x:c r="O400" s="8" t="str">
        <x:v>Returned</x:v>
      </x:c>
    </x:row>
    <x:row r="401">
      <x:c r="A401" s="8" t="str">
        <x:v>ORD-0397</x:v>
      </x:c>
      <x:c r="B401" s="22" t="n">
        <x:v>45874.86064637732</x:v>
      </x:c>
      <x:c r="C401" s="8" t="str">
        <x:v>CUS-002</x:v>
      </x:c>
      <x:c r="D401" s="8" t="str">
        <x:v>Diya Patel</x:v>
      </x:c>
      <x:c r="E401" s="8" t="str">
        <x:v>Corporate</x:v>
      </x:c>
      <x:c r="F401" s="8" t="str">
        <x:v>Kolkata</x:v>
      </x:c>
      <x:c r="G401" s="8" t="str">
        <x:v>East</x:v>
      </x:c>
      <x:c r="H401" s="8" t="str">
        <x:v>PRD-008</x:v>
      </x:c>
      <x:c r="I401" s="8" t="str">
        <x:v>Storage Container Set</x:v>
      </x:c>
      <x:c r="J401" s="8" t="str">
        <x:v>Home &amp; Kitchen</x:v>
      </x:c>
      <x:c r="K401" s="8" t="n">
        <x:v>5</x:v>
      </x:c>
      <x:c r="L401" s="9" t="n">
        <x:v>999</x:v>
      </x:c>
      <x:c r="M401" s="23" t="n">
        <x:v>0.05</x:v>
      </x:c>
      <x:c r="N401" s="8" t="str">
        <x:v>Credit Card</x:v>
      </x:c>
      <x:c r="O401" s="8" t="str">
        <x:v>Completed</x:v>
      </x:c>
    </x:row>
    <x:row r="402">
      <x:c r="A402" s="8" t="str">
        <x:v>ORD-0398</x:v>
      </x:c>
      <x:c r="B402" s="22" t="n">
        <x:v>45978.199582581015</x:v>
      </x:c>
      <x:c r="C402" s="8" t="str">
        <x:v>CUS-048</x:v>
      </x:c>
      <x:c r="D402" s="8" t="str">
        <x:v>Meera Nair 3</x:v>
      </x:c>
      <x:c r="E402" s="8" t="str">
        <x:v>Small Business</x:v>
      </x:c>
      <x:c r="F402" s="8" t="str">
        <x:v>Pune</x:v>
      </x:c>
      <x:c r="G402" s="8" t="str">
        <x:v>West</x:v>
      </x:c>
      <x:c r="H402" s="8" t="str">
        <x:v>PRD-009</x:v>
      </x:c>
      <x:c r="I402" s="8" t="str">
        <x:v>Table Lamp</x:v>
      </x:c>
      <x:c r="J402" s="8" t="str">
        <x:v>Home &amp; Kitchen</x:v>
      </x:c>
      <x:c r="K402" s="8" t="n">
        <x:v>5</x:v>
      </x:c>
      <x:c r="L402" s="9" t="n">
        <x:v>1499</x:v>
      </x:c>
      <x:c r="M402" s="23" t="n">
        <x:v>0.05</x:v>
      </x:c>
      <x:c r="N402" s="8" t="str">
        <x:v>UPI</x:v>
      </x:c>
      <x:c r="O402" s="8" t="str">
        <x:v>Completed</x:v>
      </x:c>
    </x:row>
    <x:row r="403">
      <x:c r="A403" s="8" t="str">
        <x:v>ORD-0399</x:v>
      </x:c>
      <x:c r="B403" s="22" t="n">
        <x:v>45943.026449861114</x:v>
      </x:c>
      <x:c r="C403" s="8" t="str">
        <x:v>CUS-040</x:v>
      </x:c>
      <x:c r="D403" s="8" t="str">
        <x:v>Kavya Reddy 2</x:v>
      </x:c>
      <x:c r="E403" s="8" t="str">
        <x:v>Consumer</x:v>
      </x:c>
      <x:c r="F403" s="8" t="str">
        <x:v>Lucknow</x:v>
      </x:c>
      <x:c r="G403" s="8" t="str">
        <x:v>North</x:v>
      </x:c>
      <x:c r="H403" s="8" t="str">
        <x:v>PRD-005</x:v>
      </x:c>
      <x:c r="I403" s="8" t="str">
        <x:v>Executive Notebook</x:v>
      </x:c>
      <x:c r="J403" s="8" t="str">
        <x:v>Office Supplies</x:v>
      </x:c>
      <x:c r="K403" s="8" t="n">
        <x:v>5</x:v>
      </x:c>
      <x:c r="L403" s="9" t="n">
        <x:v>349</x:v>
      </x:c>
      <x:c r="M403" s="23" t="n">
        <x:v>0.1</x:v>
      </x:c>
      <x:c r="N403" s="8" t="str">
        <x:v>UPI</x:v>
      </x:c>
      <x:c r="O403" s="8" t="str">
        <x:v>Completed</x:v>
      </x:c>
    </x:row>
    <x:row r="404">
      <x:c r="A404" s="8" t="str">
        <x:v>ORD-0400</x:v>
      </x:c>
      <x:c r="B404" s="22" t="n">
        <x:v>45976.80063052083</x:v>
      </x:c>
      <x:c r="C404" s="8" t="str">
        <x:v>CUS-074</x:v>
      </x:c>
      <x:c r="D404" s="8" t="str">
        <x:v>Neha Rao 4</x:v>
      </x:c>
      <x:c r="E404" s="8" t="str">
        <x:v>Corporate</x:v>
      </x:c>
      <x:c r="F404" s="8" t="str">
        <x:v>Hyderabad</x:v>
      </x:c>
      <x:c r="G404" s="8" t="str">
        <x:v>South</x:v>
      </x:c>
      <x:c r="H404" s="8" t="str">
        <x:v>PRD-001</x:v>
      </x:c>
      <x:c r="I404" s="8" t="str">
        <x:v>Wireless Mouse</x:v>
      </x:c>
      <x:c r="J404" s="8" t="str">
        <x:v>Electronics</x:v>
      </x:c>
      <x:c r="K404" s="8" t="n">
        <x:v>5</x:v>
      </x:c>
      <x:c r="L404" s="9" t="n">
        <x:v>899</x:v>
      </x:c>
      <x:c r="M404" s="23" t="n">
        <x:v>0.05</x:v>
      </x:c>
      <x:c r="N404" s="8" t="str">
        <x:v>Cash on Delivery</x:v>
      </x:c>
      <x:c r="O404" s="8" t="str">
        <x:v>Cancelled</x:v>
      </x:c>
    </x:row>
    <x:row r="405">
      <x:c r="A405" s="8" t="str">
        <x:v>ORD-0401</x:v>
      </x:c>
      <x:c r="B405" s="22" t="n">
        <x:v>45986.37039458333</x:v>
      </x:c>
      <x:c r="C405" s="8" t="str">
        <x:v>CUS-048</x:v>
      </x:c>
      <x:c r="D405" s="8" t="str">
        <x:v>Meera Nair 3</x:v>
      </x:c>
      <x:c r="E405" s="8" t="str">
        <x:v>Small Business</x:v>
      </x:c>
      <x:c r="F405" s="8" t="str">
        <x:v>Mumbai</x:v>
      </x:c>
      <x:c r="G405" s="8" t="str">
        <x:v>West</x:v>
      </x:c>
      <x:c r="H405" s="8" t="str">
        <x:v>PRD-004</x:v>
      </x:c>
      <x:c r="I405" s="8" t="str">
        <x:v>Laptop Stand</x:v>
      </x:c>
      <x:c r="J405" s="8" t="str">
        <x:v>Office Supplies</x:v>
      </x:c>
      <x:c r="K405" s="8" t="n">
        <x:v>5</x:v>
      </x:c>
      <x:c r="L405" s="9" t="n">
        <x:v>1299</x:v>
      </x:c>
      <x:c r="M405" s="23" t="n">
        <x:v>0</x:v>
      </x:c>
      <x:c r="N405" s="8" t="str">
        <x:v>UPI</x:v>
      </x:c>
      <x:c r="O405" s="8" t="str">
        <x:v>Returned</x:v>
      </x:c>
    </x:row>
    <x:row r="406">
      <x:c r="A406" s="8" t="str">
        <x:v>ORD-0402</x:v>
      </x:c>
      <x:c r="B406" s="22" t="n">
        <x:v>45882.56447027778</x:v>
      </x:c>
      <x:c r="C406" s="8" t="str">
        <x:v>CUS-064</x:v>
      </x:c>
      <x:c r="D406" s="8" t="str">
        <x:v>Ananya Gupta 4</x:v>
      </x:c>
      <x:c r="E406" s="8" t="str">
        <x:v>Consumer</x:v>
      </x:c>
      <x:c r="F406" s="8" t="str">
        <x:v>Bengaluru</x:v>
      </x:c>
      <x:c r="G406" s="8" t="str">
        <x:v>South</x:v>
      </x:c>
      <x:c r="H406" s="8" t="str">
        <x:v>PRD-008</x:v>
      </x:c>
      <x:c r="I406" s="8" t="str">
        <x:v>Storage Container Set</x:v>
      </x:c>
      <x:c r="J406" s="8" t="str">
        <x:v>Home &amp; Kitchen</x:v>
      </x:c>
      <x:c r="K406" s="8" t="n">
        <x:v>4</x:v>
      </x:c>
      <x:c r="L406" s="9" t="n">
        <x:v>999</x:v>
      </x:c>
      <x:c r="M406" s="23" t="n">
        <x:v>0.2</x:v>
      </x:c>
      <x:c r="N406" s="8" t="str">
        <x:v>Credit Card</x:v>
      </x:c>
      <x:c r="O406" s="8" t="str">
        <x:v>Completed</x:v>
      </x:c>
    </x:row>
    <x:row r="407">
      <x:c r="A407" s="8" t="str">
        <x:v>ORD-0403</x:v>
      </x:c>
      <x:c r="B407" s="22" t="n">
        <x:v>45676.54454054398</x:v>
      </x:c>
      <x:c r="C407" s="8" t="str">
        <x:v>CUS-004</x:v>
      </x:c>
      <x:c r="D407" s="8" t="str">
        <x:v>Ananya Gupta</x:v>
      </x:c>
      <x:c r="E407" s="8" t="str">
        <x:v>Consumer</x:v>
      </x:c>
      <x:c r="F407" s="8" t="str">
        <x:v>Lucknow</x:v>
      </x:c>
      <x:c r="G407" s="8" t="str">
        <x:v>North</x:v>
      </x:c>
      <x:c r="H407" s="8" t="str">
        <x:v>PRD-006</x:v>
      </x:c>
      <x:c r="I407" s="8" t="str">
        <x:v>Desk Organiser</x:v>
      </x:c>
      <x:c r="J407" s="8" t="str">
        <x:v>Office Supplies</x:v>
      </x:c>
      <x:c r="K407" s="8" t="n">
        <x:v>4</x:v>
      </x:c>
      <x:c r="L407" s="9" t="n">
        <x:v>699</x:v>
      </x:c>
      <x:c r="M407" s="23" t="n">
        <x:v>0.15</x:v>
      </x:c>
      <x:c r="N407" s="8" t="str">
        <x:v>Credit Card</x:v>
      </x:c>
      <x:c r="O407" s="8" t="str">
        <x:v>Completed</x:v>
      </x:c>
    </x:row>
    <x:row r="408">
      <x:c r="A408" s="8" t="str">
        <x:v>ORD-0404</x:v>
      </x:c>
      <x:c r="B408" s="22" t="n">
        <x:v>45755.87039399306</x:v>
      </x:c>
      <x:c r="C408" s="8" t="str">
        <x:v>CUS-004</x:v>
      </x:c>
      <x:c r="D408" s="8" t="str">
        <x:v>Ananya Gupta</x:v>
      </x:c>
      <x:c r="E408" s="8" t="str">
        <x:v>Consumer</x:v>
      </x:c>
      <x:c r="F408" s="8" t="str">
        <x:v>Hyderabad</x:v>
      </x:c>
      <x:c r="G408" s="8" t="str">
        <x:v>South</x:v>
      </x:c>
      <x:c r="H408" s="8" t="str">
        <x:v>PRD-012</x:v>
      </x:c>
      <x:c r="I408" s="8" t="str">
        <x:v>Stainless Water Bottle</x:v>
      </x:c>
      <x:c r="J408" s="8" t="str">
        <x:v>Lifestyle</x:v>
      </x:c>
      <x:c r="K408" s="8" t="n">
        <x:v>2</x:v>
      </x:c>
      <x:c r="L408" s="9" t="n">
        <x:v>799</x:v>
      </x:c>
      <x:c r="M408" s="23" t="n">
        <x:v>0</x:v>
      </x:c>
      <x:c r="N408" s="8" t="str">
        <x:v>UPI</x:v>
      </x:c>
      <x:c r="O408" s="8" t="str">
        <x:v>Completed</x:v>
      </x:c>
    </x:row>
    <x:row r="409">
      <x:c r="A409" s="8" t="str">
        <x:v>ORD-0405</x:v>
      </x:c>
      <x:c r="B409" s="22" t="n">
        <x:v>45769.92294761574</x:v>
      </x:c>
      <x:c r="C409" s="8" t="str">
        <x:v>CUS-069</x:v>
      </x:c>
      <x:c r="D409" s="8" t="str">
        <x:v>Rohan Das 4</x:v>
      </x:c>
      <x:c r="E409" s="8" t="str">
        <x:v>Small Business</x:v>
      </x:c>
      <x:c r="F409" s="8" t="str">
        <x:v>Mumbai</x:v>
      </x:c>
      <x:c r="G409" s="8" t="str">
        <x:v>West</x:v>
      </x:c>
      <x:c r="H409" s="8" t="str">
        <x:v>PRD-007</x:v>
      </x:c>
      <x:c r="I409" s="8" t="str">
        <x:v>Electric Kettle</x:v>
      </x:c>
      <x:c r="J409" s="8" t="str">
        <x:v>Home &amp; Kitchen</x:v>
      </x:c>
      <x:c r="K409" s="8" t="n">
        <x:v>5</x:v>
      </x:c>
      <x:c r="L409" s="9" t="n">
        <x:v>1699</x:v>
      </x:c>
      <x:c r="M409" s="23"/>
      <x:c r="N409" s="8" t="str">
        <x:v>Net Banking</x:v>
      </x:c>
      <x:c r="O409" s="8" t="str">
        <x:v>Completed</x:v>
      </x:c>
    </x:row>
    <x:row r="410">
      <x:c r="A410" s="8" t="str">
        <x:v>ORD-0406</x:v>
      </x:c>
      <x:c r="B410" s="22" t="n">
        <x:v>45711.001258599536</x:v>
      </x:c>
      <x:c r="C410" s="8" t="str">
        <x:v>CUS-050</x:v>
      </x:c>
      <x:c r="D410" s="8" t="str">
        <x:v>Saanvi Iyer 3</x:v>
      </x:c>
      <x:c r="E410" s="8" t="str">
        <x:v>Corporate</x:v>
      </x:c>
      <x:c r="F410" s="8" t="str">
        <x:v>Hyderabad</x:v>
      </x:c>
      <x:c r="G410" s="8" t="str">
        <x:v>South</x:v>
      </x:c>
      <x:c r="H410" s="8" t="str">
        <x:v>PRD-010</x:v>
      </x:c>
      <x:c r="I410" s="8" t="str">
        <x:v>Travel Backpack</x:v>
      </x:c>
      <x:c r="J410" s="8" t="str">
        <x:v>Fashion</x:v>
      </x:c>
      <x:c r="K410" s="8" t="n">
        <x:v>5</x:v>
      </x:c>
      <x:c r="L410" s="9" t="n">
        <x:v>2199</x:v>
      </x:c>
      <x:c r="M410" s="23" t="n">
        <x:v>0</x:v>
      </x:c>
      <x:c r="N410" s="8" t="str">
        <x:v>Debit Card</x:v>
      </x:c>
      <x:c r="O410" s="8" t="str">
        <x:v>Completed</x:v>
      </x:c>
    </x:row>
    <x:row r="411">
      <x:c r="A411" s="8" t="str">
        <x:v>ORD-0407</x:v>
      </x:c>
      <x:c r="B411" s="22" t="n">
        <x:v>45676.93287412037</x:v>
      </x:c>
      <x:c r="C411" s="8" t="str">
        <x:v>CUS-079</x:v>
      </x:c>
      <x:c r="D411" s="8" t="str">
        <x:v>Siddharth Jain 4</x:v>
      </x:c>
      <x:c r="E411" s="8" t="str">
        <x:v>Consumer</x:v>
      </x:c>
      <x:c r="F411" s="8" t="str">
        <x:v>Pune</x:v>
      </x:c>
      <x:c r="G411" s="8" t="str">
        <x:v>West</x:v>
      </x:c>
      <x:c r="H411" s="8" t="str">
        <x:v>PRD-012</x:v>
      </x:c>
      <x:c r="I411" s="8" t="str">
        <x:v>Stainless Water Bottle</x:v>
      </x:c>
      <x:c r="J411" s="8" t="str">
        <x:v>Lifestyle</x:v>
      </x:c>
      <x:c r="K411" s="8" t="n">
        <x:v>5</x:v>
      </x:c>
      <x:c r="L411" s="9" t="n">
        <x:v>799</x:v>
      </x:c>
      <x:c r="M411" s="23" t="n">
        <x:v>0.1</x:v>
      </x:c>
      <x:c r="N411" s="8" t="str">
        <x:v>UPI</x:v>
      </x:c>
      <x:c r="O411" s="8" t="str">
        <x:v>Cancelled</x:v>
      </x:c>
    </x:row>
    <x:row r="412">
      <x:c r="A412" s="8" t="str">
        <x:v>ORD-0408</x:v>
      </x:c>
      <x:c r="B412" s="22" t="n">
        <x:v>45708.18512212963</x:v>
      </x:c>
      <x:c r="C412" s="8" t="str">
        <x:v>CUS-010</x:v>
      </x:c>
      <x:c r="D412" s="8" t="str">
        <x:v>Saanvi Iyer</x:v>
      </x:c>
      <x:c r="E412" s="8" t="str">
        <x:v>Consumer</x:v>
      </x:c>
      <x:c r="F412" s="8" t="str">
        <x:v>Bengaluru</x:v>
      </x:c>
      <x:c r="G412" s="8" t="str">
        <x:v>South</x:v>
      </x:c>
      <x:c r="H412" s="8" t="str">
        <x:v>PRD-004</x:v>
      </x:c>
      <x:c r="I412" s="8" t="str">
        <x:v>Laptop Stand</x:v>
      </x:c>
      <x:c r="J412" s="8" t="str">
        <x:v>Office Supplies</x:v>
      </x:c>
      <x:c r="K412" s="8" t="n">
        <x:v>2</x:v>
      </x:c>
      <x:c r="L412" s="9" t="n">
        <x:v>1299</x:v>
      </x:c>
      <x:c r="M412" s="23" t="n">
        <x:v>0.05</x:v>
      </x:c>
      <x:c r="N412" s="8" t="str">
        <x:v>Cash on Delivery</x:v>
      </x:c>
      <x:c r="O412" s="8" t="str">
        <x:v>Completed</x:v>
      </x:c>
    </x:row>
    <x:row r="413">
      <x:c r="A413" s="8" t="str">
        <x:v>ORD-0409</x:v>
      </x:c>
      <x:c r="B413" s="22" t="n">
        <x:v>46006.46227505787</x:v>
      </x:c>
      <x:c r="C413" s="8" t="str">
        <x:v>CUS-016</x:v>
      </x:c>
      <x:c r="D413" s="8" t="str">
        <x:v>Pooja Saxena</x:v>
      </x:c>
      <x:c r="E413" s="8" t="str">
        <x:v>Consumer</x:v>
      </x:c>
      <x:c r="F413" s="8" t="str">
        <x:v>Kolkata</x:v>
      </x:c>
      <x:c r="G413" s="8" t="str">
        <x:v>East</x:v>
      </x:c>
      <x:c r="H413" s="8" t="str">
        <x:v>PRD-009</x:v>
      </x:c>
      <x:c r="I413" s="8" t="str">
        <x:v>Table Lamp</x:v>
      </x:c>
      <x:c r="J413" s="8" t="str">
        <x:v>Home &amp; Kitchen</x:v>
      </x:c>
      <x:c r="K413" s="8" t="n">
        <x:v>2</x:v>
      </x:c>
      <x:c r="L413" s="9" t="n">
        <x:v>1499</x:v>
      </x:c>
      <x:c r="M413" s="23" t="n">
        <x:v>0.2</x:v>
      </x:c>
      <x:c r="N413" s="8" t="str">
        <x:v>Debit Card</x:v>
      </x:c>
      <x:c r="O413" s="8" t="str">
        <x:v>Returned</x:v>
      </x:c>
    </x:row>
    <x:row r="414">
      <x:c r="A414" s="8" t="str">
        <x:v>ORD-0410</x:v>
      </x:c>
      <x:c r="B414" s="22" t="n">
        <x:v>46015.994871180555</x:v>
      </x:c>
      <x:c r="C414" s="8" t="str">
        <x:v>CUS-061</x:v>
      </x:c>
      <x:c r="D414" s="8" t="str">
        <x:v>Aarav Sharma 4</x:v>
      </x:c>
      <x:c r="E414" s="8" t="str">
        <x:v>Consumer</x:v>
      </x:c>
      <x:c r="F414" s="8" t="str">
        <x:v>Kolkata</x:v>
      </x:c>
      <x:c r="G414" s="8" t="str">
        <x:v>East</x:v>
      </x:c>
      <x:c r="H414" s="8" t="str">
        <x:v>PRD-005</x:v>
      </x:c>
      <x:c r="I414" s="8" t="str">
        <x:v>Executive Notebook</x:v>
      </x:c>
      <x:c r="J414" s="8" t="str">
        <x:v>Office Supplies</x:v>
      </x:c>
      <x:c r="K414" s="8" t="n">
        <x:v>3</x:v>
      </x:c>
      <x:c r="L414" s="9" t="n">
        <x:v>349</x:v>
      </x:c>
      <x:c r="M414" s="23" t="n">
        <x:v>0</x:v>
      </x:c>
      <x:c r="N414" s="8" t="str">
        <x:v>Net Banking</x:v>
      </x:c>
      <x:c r="O414" s="8" t="str">
        <x:v>Returned</x:v>
      </x:c>
    </x:row>
    <x:row r="415">
      <x:c r="A415" s="8" t="str">
        <x:v>ORD-0411</x:v>
      </x:c>
      <x:c r="B415" s="22" t="n">
        <x:v>45685.19920527778</x:v>
      </x:c>
      <x:c r="C415" s="8" t="str">
        <x:v>CUS-007</x:v>
      </x:c>
      <x:c r="D415" s="8" t="str">
        <x:v>Kabir Khan</x:v>
      </x:c>
      <x:c r="E415" s="8" t="str">
        <x:v>Consumer</x:v>
      </x:c>
      <x:c r="F415" s="8" t="str">
        <x:v>Ahmedabad</x:v>
      </x:c>
      <x:c r="G415" s="8" t="str">
        <x:v>West</x:v>
      </x:c>
      <x:c r="H415" s="8" t="str">
        <x:v>PRD-005</x:v>
      </x:c>
      <x:c r="I415" s="8" t="str">
        <x:v>Executive Notebook</x:v>
      </x:c>
      <x:c r="J415" s="8" t="str">
        <x:v>Office Supplies</x:v>
      </x:c>
      <x:c r="K415" s="8" t="n">
        <x:v>1</x:v>
      </x:c>
      <x:c r="L415" s="9" t="n">
        <x:v>349</x:v>
      </x:c>
      <x:c r="M415" s="23" t="n">
        <x:v>0</x:v>
      </x:c>
      <x:c r="N415" s="8" t="str">
        <x:v>Debit Card</x:v>
      </x:c>
      <x:c r="O415" s="8" t="str">
        <x:v>Returned</x:v>
      </x:c>
    </x:row>
    <x:row r="416">
      <x:c r="A416" s="8" t="str">
        <x:v>ORD-0412</x:v>
      </x:c>
      <x:c r="B416" s="22" t="n">
        <x:v>45740.82814462963</x:v>
      </x:c>
      <x:c r="C416" s="8" t="str">
        <x:v>CUS-046</x:v>
      </x:c>
      <x:c r="D416" s="8" t="str">
        <x:v>Isha Mehta 3</x:v>
      </x:c>
      <x:c r="E416" s="8" t="str">
        <x:v>Consumer</x:v>
      </x:c>
      <x:c r="F416" s="8" t="str">
        <x:v>Ahmedabad</x:v>
      </x:c>
      <x:c r="G416" s="8" t="str">
        <x:v>West</x:v>
      </x:c>
      <x:c r="H416" s="8" t="str">
        <x:v>PRD-008</x:v>
      </x:c>
      <x:c r="I416" s="8" t="str">
        <x:v>Storage Container Set</x:v>
      </x:c>
      <x:c r="J416" s="8" t="str">
        <x:v>Home &amp; Kitchen</x:v>
      </x:c>
      <x:c r="K416" s="8" t="n">
        <x:v>1</x:v>
      </x:c>
      <x:c r="L416" s="9" t="n">
        <x:v>999</x:v>
      </x:c>
      <x:c r="M416" s="23" t="n">
        <x:v>0.1</x:v>
      </x:c>
      <x:c r="N416" s="8" t="str">
        <x:v>UPI</x:v>
      </x:c>
      <x:c r="O416" s="8" t="str">
        <x:v>Completed</x:v>
      </x:c>
    </x:row>
    <x:row r="417">
      <x:c r="A417" s="8" t="str">
        <x:v>ORD-0413</x:v>
      </x:c>
      <x:c r="B417" s="22" t="n">
        <x:v>45855.36410255787</x:v>
      </x:c>
      <x:c r="C417" s="8" t="str">
        <x:v>CUS-071</x:v>
      </x:c>
      <x:c r="D417" s="8" t="str">
        <x:v>Aditya Joshi 4</x:v>
      </x:c>
      <x:c r="E417" s="8" t="str">
        <x:v>Corporate</x:v>
      </x:c>
      <x:c r="F417" s="8" t="str">
        <x:v>Bengaluru</x:v>
      </x:c>
      <x:c r="G417" s="8" t="str">
        <x:v>South</x:v>
      </x:c>
      <x:c r="H417" s="8" t="str">
        <x:v>PRD-006</x:v>
      </x:c>
      <x:c r="I417" s="8" t="str">
        <x:v>Desk Organiser</x:v>
      </x:c>
      <x:c r="J417" s="8" t="str">
        <x:v>Office Supplies</x:v>
      </x:c>
      <x:c r="K417" s="8" t="n">
        <x:v>4</x:v>
      </x:c>
      <x:c r="L417" s="9" t="n">
        <x:v>699</x:v>
      </x:c>
      <x:c r="M417" s="23" t="n">
        <x:v>0</x:v>
      </x:c>
      <x:c r="N417" s="8" t="str">
        <x:v>Debit Card</x:v>
      </x:c>
      <x:c r="O417" s="8" t="str">
        <x:v>Returned</x:v>
      </x:c>
    </x:row>
    <x:row r="418">
      <x:c r="A418" s="8" t="str">
        <x:v>ORD-0414</x:v>
      </x:c>
      <x:c r="B418" s="22" t="n">
        <x:v>45901.05302398148</x:v>
      </x:c>
      <x:c r="C418" s="8" t="str">
        <x:v>CUS-061</x:v>
      </x:c>
      <x:c r="D418" s="8" t="str">
        <x:v>Aarav Sharma 4</x:v>
      </x:c>
      <x:c r="E418" s="8" t="str">
        <x:v>Consumer</x:v>
      </x:c>
      <x:c r="F418" s="8" t="str">
        <x:v>Delhi</x:v>
      </x:c>
      <x:c r="G418" s="8" t="str">
        <x:v>North</x:v>
      </x:c>
      <x:c r="H418" s="8" t="str">
        <x:v>PRD-001</x:v>
      </x:c>
      <x:c r="I418" s="8" t="str">
        <x:v>Wireless Mouse</x:v>
      </x:c>
      <x:c r="J418" s="8" t="str">
        <x:v>Electronics</x:v>
      </x:c>
      <x:c r="K418" s="8" t="n">
        <x:v>3</x:v>
      </x:c>
      <x:c r="L418" s="9" t="n">
        <x:v>899</x:v>
      </x:c>
      <x:c r="M418" s="23" t="n">
        <x:v>0.2</x:v>
      </x:c>
      <x:c r="N418" s="8" t="str">
        <x:v>Net Banking</x:v>
      </x:c>
      <x:c r="O418" s="8" t="str">
        <x:v>Completed</x:v>
      </x:c>
    </x:row>
    <x:row r="419">
      <x:c r="A419" s="8" t="str">
        <x:v>ORD-0415</x:v>
      </x:c>
      <x:c r="B419" s="22" t="n">
        <x:v>45984.13927743056</x:v>
      </x:c>
      <x:c r="C419" s="8" t="str">
        <x:v>CUS-071</x:v>
      </x:c>
      <x:c r="D419" s="8" t="str">
        <x:v>Aditya Joshi 4</x:v>
      </x:c>
      <x:c r="E419" s="8" t="str">
        <x:v>Corporate</x:v>
      </x:c>
      <x:c r="F419" s="8" t="str">
        <x:v>Delhi</x:v>
      </x:c>
      <x:c r="G419" s="8" t="str">
        <x:v>North</x:v>
      </x:c>
      <x:c r="H419" s="8" t="str">
        <x:v>PRD-003</x:v>
      </x:c>
      <x:c r="I419" s="8" t="str">
        <x:v>USB-C Hub</x:v>
      </x:c>
      <x:c r="J419" s="8" t="str">
        <x:v>Electronics</x:v>
      </x:c>
      <x:c r="K419" s="8" t="n">
        <x:v>3</x:v>
      </x:c>
      <x:c r="L419" s="9" t="n">
        <x:v>1899</x:v>
      </x:c>
      <x:c r="M419" s="23" t="n">
        <x:v>0</x:v>
      </x:c>
      <x:c r="N419" s="8" t="str">
        <x:v>Cash on Delivery</x:v>
      </x:c>
      <x:c r="O419" s="8" t="str">
        <x:v>Returned</x:v>
      </x:c>
    </x:row>
    <x:row r="420">
      <x:c r="A420" s="8" t="str">
        <x:v>ORD-0416</x:v>
      </x:c>
      <x:c r="B420" s="22" t="n">
        <x:v>45968.17214041667</x:v>
      </x:c>
      <x:c r="C420" s="8" t="str">
        <x:v>CUS-066</x:v>
      </x:c>
      <x:c r="D420" s="8" t="str">
        <x:v>Isha Mehta 4</x:v>
      </x:c>
      <x:c r="E420" s="8" t="str">
        <x:v>Small Business</x:v>
      </x:c>
      <x:c r="F420" s="8" t="str">
        <x:v>Jaipur</x:v>
      </x:c>
      <x:c r="G420" s="8" t="str">
        <x:v>North</x:v>
      </x:c>
      <x:c r="H420" s="8" t="str">
        <x:v>PRD-002</x:v>
      </x:c>
      <x:c r="I420" s="8" t="str">
        <x:v>Bluetooth Headphones</x:v>
      </x:c>
      <x:c r="J420" s="8" t="str">
        <x:v>Electronics</x:v>
      </x:c>
      <x:c r="K420" s="8" t="n">
        <x:v>2</x:v>
      </x:c>
      <x:c r="L420" s="9" t="n">
        <x:v>2499</x:v>
      </x:c>
      <x:c r="M420" s="23" t="n">
        <x:v>0.05</x:v>
      </x:c>
      <x:c r="N420" s="8" t="str">
        <x:v>UPI</x:v>
      </x:c>
      <x:c r="O420" s="8" t="str">
        <x:v>Completed</x:v>
      </x:c>
    </x:row>
    <x:row r="421">
      <x:c r="A421" s="8" t="str">
        <x:v>ORD-0417</x:v>
      </x:c>
      <x:c r="B421" s="22" t="n">
        <x:v>45772.47929806713</x:v>
      </x:c>
      <x:c r="C421" s="8" t="str">
        <x:v>CUS-014</x:v>
      </x:c>
      <x:c r="D421" s="8" t="str">
        <x:v>Neha Rao</x:v>
      </x:c>
      <x:c r="E421" s="8" t="str">
        <x:v>Corporate</x:v>
      </x:c>
      <x:c r="F421" s="8" t="str">
        <x:v>Bengaluru</x:v>
      </x:c>
      <x:c r="G421" s="8" t="str">
        <x:v>South</x:v>
      </x:c>
      <x:c r="H421" s="8" t="str">
        <x:v>PRD-004</x:v>
      </x:c>
      <x:c r="I421" s="8" t="str">
        <x:v>Laptop Stand</x:v>
      </x:c>
      <x:c r="J421" s="8" t="str">
        <x:v>Office Supplies</x:v>
      </x:c>
      <x:c r="K421" s="8" t="n">
        <x:v>4</x:v>
      </x:c>
      <x:c r="L421" s="9" t="n">
        <x:v>1299</x:v>
      </x:c>
      <x:c r="M421" s="23" t="n">
        <x:v>0.1</x:v>
      </x:c>
      <x:c r="N421" s="8" t="str">
        <x:v>Net Banking</x:v>
      </x:c>
      <x:c r="O421" s="8" t="str">
        <x:v>Completed</x:v>
      </x:c>
    </x:row>
    <x:row r="422">
      <x:c r="A422" s="8" t="str">
        <x:v>ORD-0418</x:v>
      </x:c>
      <x:c r="B422" s="22" t="n">
        <x:v>45674.709731724535</x:v>
      </x:c>
      <x:c r="C422" s="8" t="str">
        <x:v>CUS-076</x:v>
      </x:c>
      <x:c r="D422" s="8"/>
      <x:c r="E422" s="8" t="str">
        <x:v>Consumer</x:v>
      </x:c>
      <x:c r="F422" s="8" t="str">
        <x:v>Bengaluru</x:v>
      </x:c>
      <x:c r="G422" s="8" t="str">
        <x:v>South</x:v>
      </x:c>
      <x:c r="H422" s="8" t="str">
        <x:v>PRD-003</x:v>
      </x:c>
      <x:c r="I422" s="8" t="str">
        <x:v>USB-C Hub</x:v>
      </x:c>
      <x:c r="J422" s="8" t="str">
        <x:v>Electronics</x:v>
      </x:c>
      <x:c r="K422" s="8" t="n">
        <x:v>2</x:v>
      </x:c>
      <x:c r="L422" s="9" t="n">
        <x:v>1899</x:v>
      </x:c>
      <x:c r="M422" s="23" t="n">
        <x:v>0.15</x:v>
      </x:c>
      <x:c r="N422" s="8" t="str">
        <x:v>UPI</x:v>
      </x:c>
      <x:c r="O422" s="8" t="str">
        <x:v>Completed</x:v>
      </x:c>
    </x:row>
    <x:row r="423">
      <x:c r="A423" s="8" t="str">
        <x:v>ORD-0419</x:v>
      </x:c>
      <x:c r="B423" s="22" t="n">
        <x:v>45865.01947150463</x:v>
      </x:c>
      <x:c r="C423" s="8" t="str">
        <x:v>CUS-064</x:v>
      </x:c>
      <x:c r="D423" s="8" t="str">
        <x:v>Ananya Gupta 4</x:v>
      </x:c>
      <x:c r="E423" s="8" t="str">
        <x:v>Consumer</x:v>
      </x:c>
      <x:c r="F423" s="8" t="str">
        <x:v>Hyderabad</x:v>
      </x:c>
      <x:c r="G423" s="8" t="str">
        <x:v>South</x:v>
      </x:c>
      <x:c r="H423" s="8" t="str">
        <x:v>PRD-007</x:v>
      </x:c>
      <x:c r="I423" s="8" t="str">
        <x:v>Electric Kettle</x:v>
      </x:c>
      <x:c r="J423" s="8" t="str">
        <x:v>Home &amp; Kitchen</x:v>
      </x:c>
      <x:c r="K423" s="8" t="n">
        <x:v>5</x:v>
      </x:c>
      <x:c r="L423" s="9" t="n">
        <x:v>1699</x:v>
      </x:c>
      <x:c r="M423" s="23" t="n">
        <x:v>0.15</x:v>
      </x:c>
      <x:c r="N423" s="8" t="str">
        <x:v>Credit Card</x:v>
      </x:c>
      <x:c r="O423" s="8" t="str">
        <x:v>Completed</x:v>
      </x:c>
    </x:row>
    <x:row r="424">
      <x:c r="A424" s="8" t="str">
        <x:v>ORD-0420</x:v>
      </x:c>
      <x:c r="B424" s="22" t="n">
        <x:v>45733.31351954861</x:v>
      </x:c>
      <x:c r="C424" s="8" t="str">
        <x:v>CUS-067</x:v>
      </x:c>
      <x:c r="D424" s="8" t="str">
        <x:v>Kabir Khan 4</x:v>
      </x:c>
      <x:c r="E424" s="8" t="str">
        <x:v>Consumer</x:v>
      </x:c>
      <x:c r="F424" s="8" t="str">
        <x:v>Hyderabad</x:v>
      </x:c>
      <x:c r="G424" s="8" t="str">
        <x:v>South</x:v>
      </x:c>
      <x:c r="H424" s="8" t="str">
        <x:v>PRD-008</x:v>
      </x:c>
      <x:c r="I424" s="8" t="str">
        <x:v>Storage Container Set</x:v>
      </x:c>
      <x:c r="J424" s="8" t="str">
        <x:v>Home &amp; Kitchen</x:v>
      </x:c>
      <x:c r="K424" s="8" t="n">
        <x:v>1</x:v>
      </x:c>
      <x:c r="L424" s="9" t="n">
        <x:v>999</x:v>
      </x:c>
      <x:c r="M424" s="23" t="n">
        <x:v>0.05</x:v>
      </x:c>
      <x:c r="N424" s="8" t="str">
        <x:v>Debit Card</x:v>
      </x:c>
      <x:c r="O424" s="8" t="str">
        <x:v>Returned</x:v>
      </x:c>
    </x:row>
    <x:row r="425">
      <x:c r="A425" s="8" t="str">
        <x:v>ORD-0421</x:v>
      </x:c>
      <x:c r="B425" s="22" t="n">
        <x:v>45897.999388449076</x:v>
      </x:c>
      <x:c r="C425" s="8" t="str">
        <x:v>CUS-060</x:v>
      </x:c>
      <x:c r="D425" s="8" t="str">
        <x:v>Kavya Reddy 3</x:v>
      </x:c>
      <x:c r="E425" s="8" t="str">
        <x:v>Small Business</x:v>
      </x:c>
      <x:c r="F425" s="8" t="str">
        <x:v>Jaipur</x:v>
      </x:c>
      <x:c r="G425" s="8" t="str">
        <x:v>North</x:v>
      </x:c>
      <x:c r="H425" s="8" t="str">
        <x:v>PRD-003</x:v>
      </x:c>
      <x:c r="I425" s="8" t="str">
        <x:v>USB-C Hub</x:v>
      </x:c>
      <x:c r="J425" s="8" t="str">
        <x:v>Electronics</x:v>
      </x:c>
      <x:c r="K425" s="8" t="n">
        <x:v>4</x:v>
      </x:c>
      <x:c r="L425" s="9" t="n">
        <x:v>1899</x:v>
      </x:c>
      <x:c r="M425" s="23" t="n">
        <x:v>0.05</x:v>
      </x:c>
      <x:c r="N425" s="8" t="str">
        <x:v>Cash on Delivery</x:v>
      </x:c>
      <x:c r="O425" s="8" t="str">
        <x:v>Completed</x:v>
      </x:c>
    </x:row>
    <x:row r="426">
      <x:c r="A426" s="8" t="str">
        <x:v>ORD-0422</x:v>
      </x:c>
      <x:c r="B426" s="22" t="n">
        <x:v>45913.96520962963</x:v>
      </x:c>
      <x:c r="C426" s="8" t="str">
        <x:v>CUS-049</x:v>
      </x:c>
      <x:c r="D426" s="8" t="str">
        <x:v>Rohan Das 3</x:v>
      </x:c>
      <x:c r="E426" s="8" t="str">
        <x:v>Consumer</x:v>
      </x:c>
      <x:c r="F426" s="8" t="str">
        <x:v>Chennai</x:v>
      </x:c>
      <x:c r="G426" s="8" t="str">
        <x:v>South</x:v>
      </x:c>
      <x:c r="H426" s="8" t="str">
        <x:v>PRD-009</x:v>
      </x:c>
      <x:c r="I426" s="8" t="str">
        <x:v>Table Lamp</x:v>
      </x:c>
      <x:c r="J426" s="8" t="str">
        <x:v>Home &amp; Kitchen</x:v>
      </x:c>
      <x:c r="K426" s="8" t="n">
        <x:v>5</x:v>
      </x:c>
      <x:c r="L426" s="9" t="n">
        <x:v>1499</x:v>
      </x:c>
      <x:c r="M426" s="23" t="n">
        <x:v>0.05</x:v>
      </x:c>
      <x:c r="N426" s="8" t="str">
        <x:v>UPI</x:v>
      </x:c>
      <x:c r="O426" s="8" t="str">
        <x:v>Completed</x:v>
      </x:c>
    </x:row>
    <x:row r="427">
      <x:c r="A427" s="8" t="str">
        <x:v>ORD-0423</x:v>
      </x:c>
      <x:c r="B427" s="22" t="n">
        <x:v>45862.95569097222</x:v>
      </x:c>
      <x:c r="C427" s="8" t="str">
        <x:v>CUS-017</x:v>
      </x:c>
      <x:c r="D427" s="8" t="str">
        <x:v>Vikram Yadav</x:v>
      </x:c>
      <x:c r="E427" s="8" t="str">
        <x:v>Corporate</x:v>
      </x:c>
      <x:c r="F427" s="8" t="str">
        <x:v>Ahmedabad</x:v>
      </x:c>
      <x:c r="G427" s="8" t="str">
        <x:v>West</x:v>
      </x:c>
      <x:c r="H427" s="8" t="str">
        <x:v>PRD-006</x:v>
      </x:c>
      <x:c r="I427" s="8" t="str">
        <x:v>Desk Organiser</x:v>
      </x:c>
      <x:c r="J427" s="8" t="str">
        <x:v>Office Supplies</x:v>
      </x:c>
      <x:c r="K427" s="8" t="n">
        <x:v>4</x:v>
      </x:c>
      <x:c r="L427" s="9" t="n">
        <x:v>699</x:v>
      </x:c>
      <x:c r="M427" s="23" t="n">
        <x:v>0.05</x:v>
      </x:c>
      <x:c r="N427" s="8" t="str">
        <x:v>Net Banking</x:v>
      </x:c>
      <x:c r="O427" s="8" t="str">
        <x:v>Cancelled</x:v>
      </x:c>
    </x:row>
    <x:row r="428">
      <x:c r="A428" s="8" t="str">
        <x:v>ORD-0424</x:v>
      </x:c>
      <x:c r="B428" s="22" t="n">
        <x:v>45966.983201006944</x:v>
      </x:c>
      <x:c r="C428" s="8" t="str">
        <x:v>CUS-028</x:v>
      </x:c>
      <x:c r="D428" s="8" t="str">
        <x:v>Meera Nair 2</x:v>
      </x:c>
      <x:c r="E428" s="8" t="str">
        <x:v>Consumer</x:v>
      </x:c>
      <x:c r="F428" s="8" t="str">
        <x:v>Jaipur</x:v>
      </x:c>
      <x:c r="G428" s="8" t="str">
        <x:v>North</x:v>
      </x:c>
      <x:c r="H428" s="8" t="str">
        <x:v>PRD-001</x:v>
      </x:c>
      <x:c r="I428" s="8" t="str">
        <x:v>Wireless Mouse</x:v>
      </x:c>
      <x:c r="J428" s="8" t="str">
        <x:v>Electronics</x:v>
      </x:c>
      <x:c r="K428" s="8" t="n">
        <x:v>3</x:v>
      </x:c>
      <x:c r="L428" s="9" t="n">
        <x:v>899</x:v>
      </x:c>
      <x:c r="M428" s="23" t="n">
        <x:v>0.05</x:v>
      </x:c>
      <x:c r="N428" s="8" t="str">
        <x:v>UPI</x:v>
      </x:c>
      <x:c r="O428" s="8" t="str">
        <x:v>Completed</x:v>
      </x:c>
    </x:row>
    <x:row r="429">
      <x:c r="A429" s="8" t="str">
        <x:v>ORD-0425</x:v>
      </x:c>
      <x:c r="B429" s="22" t="n">
        <x:v>45811.88249707176</x:v>
      </x:c>
      <x:c r="C429" s="8" t="str">
        <x:v>CUS-003</x:v>
      </x:c>
      <x:c r="D429" s="8" t="str">
        <x:v>Vihaan Singh</x:v>
      </x:c>
      <x:c r="E429" s="8" t="str">
        <x:v>Small Business</x:v>
      </x:c>
      <x:c r="F429" s="8" t="str">
        <x:v>Pune</x:v>
      </x:c>
      <x:c r="G429" s="8" t="str">
        <x:v>West</x:v>
      </x:c>
      <x:c r="H429" s="8" t="str">
        <x:v>PRD-004</x:v>
      </x:c>
      <x:c r="I429" s="8" t="str">
        <x:v>Laptop Stand</x:v>
      </x:c>
      <x:c r="J429" s="8" t="str">
        <x:v>Office Supplies</x:v>
      </x:c>
      <x:c r="K429" s="8" t="n">
        <x:v>3</x:v>
      </x:c>
      <x:c r="L429" s="9" t="n">
        <x:v>1299</x:v>
      </x:c>
      <x:c r="M429" s="23" t="n">
        <x:v>0.1</x:v>
      </x:c>
      <x:c r="N429" s="8" t="str">
        <x:v>Net Banking</x:v>
      </x:c>
      <x:c r="O429" s="8" t="str">
        <x:v>Returned</x:v>
      </x:c>
    </x:row>
    <x:row r="430">
      <x:c r="A430" s="8" t="str">
        <x:v>ORD-0426</x:v>
      </x:c>
      <x:c r="B430" s="22" t="n">
        <x:v>45953.17964545139</x:v>
      </x:c>
      <x:c r="C430" s="8" t="str">
        <x:v>CUS-077</x:v>
      </x:c>
      <x:c r="D430" s="8" t="str">
        <x:v>Vikram Yadav 4</x:v>
      </x:c>
      <x:c r="E430" s="8" t="str">
        <x:v>Corporate</x:v>
      </x:c>
      <x:c r="F430" s="8" t="str">
        <x:v>Hyderabad</x:v>
      </x:c>
      <x:c r="G430" s="8" t="str">
        <x:v>South</x:v>
      </x:c>
      <x:c r="H430" s="8" t="str">
        <x:v>PRD-003</x:v>
      </x:c>
      <x:c r="I430" s="8" t="str">
        <x:v>USB-C Hub</x:v>
      </x:c>
      <x:c r="J430" s="8" t="str">
        <x:v>Electronics</x:v>
      </x:c>
      <x:c r="K430" s="8" t="n">
        <x:v>4</x:v>
      </x:c>
      <x:c r="L430" s="9" t="n">
        <x:v>1899</x:v>
      </x:c>
      <x:c r="M430" s="23" t="n">
        <x:v>0.05</x:v>
      </x:c>
      <x:c r="N430" s="8" t="str">
        <x:v>Credit Card</x:v>
      </x:c>
      <x:c r="O430" s="8" t="str">
        <x:v>Completed</x:v>
      </x:c>
    </x:row>
    <x:row r="431">
      <x:c r="A431" s="8" t="str">
        <x:v>ORD-0427</x:v>
      </x:c>
      <x:c r="B431" s="22" t="n">
        <x:v>45706.96368527778</x:v>
      </x:c>
      <x:c r="C431" s="8" t="str">
        <x:v>CUS-008</x:v>
      </x:c>
      <x:c r="D431" s="8" t="str">
        <x:v>Meera Nair</x:v>
      </x:c>
      <x:c r="E431" s="8" t="str">
        <x:v>Corporate</x:v>
      </x:c>
      <x:c r="F431" s="8" t="str">
        <x:v>Pune</x:v>
      </x:c>
      <x:c r="G431" s="8" t="str">
        <x:v>West</x:v>
      </x:c>
      <x:c r="H431" s="8" t="str">
        <x:v>PRD-006</x:v>
      </x:c>
      <x:c r="I431" s="8" t="str">
        <x:v>Desk Organiser</x:v>
      </x:c>
      <x:c r="J431" s="8" t="str">
        <x:v>Office Supplies</x:v>
      </x:c>
      <x:c r="K431" s="8" t="n">
        <x:v>4</x:v>
      </x:c>
      <x:c r="L431" s="9" t="n">
        <x:v>699</x:v>
      </x:c>
      <x:c r="M431" s="23" t="n">
        <x:v>0</x:v>
      </x:c>
      <x:c r="N431" s="8" t="str">
        <x:v>Debit Card</x:v>
      </x:c>
      <x:c r="O431" s="8" t="str">
        <x:v>Returned</x:v>
      </x:c>
    </x:row>
    <x:row r="432">
      <x:c r="A432" s="8" t="str">
        <x:v>ORD-0428</x:v>
      </x:c>
      <x:c r="B432" s="22" t="n">
        <x:v>45915.24900927083</x:v>
      </x:c>
      <x:c r="C432" s="8" t="str">
        <x:v>CUS-056</x:v>
      </x:c>
      <x:c r="D432" s="8" t="str">
        <x:v>Pooja Saxena 3</x:v>
      </x:c>
      <x:c r="E432" s="8" t="str">
        <x:v>Corporate</x:v>
      </x:c>
      <x:c r="F432" s="8" t="str">
        <x:v>Mumbai</x:v>
      </x:c>
      <x:c r="G432" s="8" t="str">
        <x:v>West</x:v>
      </x:c>
      <x:c r="H432" s="8" t="str">
        <x:v>PRD-003</x:v>
      </x:c>
      <x:c r="I432" s="8" t="str">
        <x:v>USB-C Hub</x:v>
      </x:c>
      <x:c r="J432" s="8" t="str">
        <x:v>Electronics</x:v>
      </x:c>
      <x:c r="K432" s="8" t="n">
        <x:v>2</x:v>
      </x:c>
      <x:c r="L432" s="9" t="n">
        <x:v>1899</x:v>
      </x:c>
      <x:c r="M432" s="23" t="n">
        <x:v>0.1</x:v>
      </x:c>
      <x:c r="N432" s="8" t="str">
        <x:v>UPI</x:v>
      </x:c>
      <x:c r="O432" s="8" t="str">
        <x:v>Completed</x:v>
      </x:c>
    </x:row>
    <x:row r="433">
      <x:c r="A433" s="8" t="str">
        <x:v>ORD-0429</x:v>
      </x:c>
      <x:c r="B433" s="22" t="n">
        <x:v>45834.91011737269</x:v>
      </x:c>
      <x:c r="C433" s="8" t="str">
        <x:v>CUS-025</x:v>
      </x:c>
      <x:c r="D433" s="8" t="str">
        <x:v>Arjun Verma 2</x:v>
      </x:c>
      <x:c r="E433" s="8" t="str">
        <x:v>Consumer</x:v>
      </x:c>
      <x:c r="F433" s="8" t="str">
        <x:v>Kolkata</x:v>
      </x:c>
      <x:c r="G433" s="8" t="str">
        <x:v>East</x:v>
      </x:c>
      <x:c r="H433" s="8" t="str">
        <x:v>PRD-011</x:v>
      </x:c>
      <x:c r="I433" s="8" t="str">
        <x:v>Classic Wallet</x:v>
      </x:c>
      <x:c r="J433" s="8" t="str">
        <x:v>Fashion</x:v>
      </x:c>
      <x:c r="K433" s="8" t="n">
        <x:v>2</x:v>
      </x:c>
      <x:c r="L433" s="9" t="n">
        <x:v>1199</x:v>
      </x:c>
      <x:c r="M433" s="23" t="n">
        <x:v>0</x:v>
      </x:c>
      <x:c r="N433" s="8" t="str">
        <x:v>Net Banking</x:v>
      </x:c>
      <x:c r="O433" s="8" t="str">
        <x:v>Completed</x:v>
      </x:c>
    </x:row>
    <x:row r="434">
      <x:c r="A434" s="8" t="str">
        <x:v>ORD-0430</x:v>
      </x:c>
      <x:c r="B434" s="22" t="n">
        <x:v>46011.94191787037</x:v>
      </x:c>
      <x:c r="C434" s="8" t="str">
        <x:v>CUS-058</x:v>
      </x:c>
      <x:c r="D434" s="8" t="str">
        <x:v>Nisha Bansal 3</x:v>
      </x:c>
      <x:c r="E434" s="8" t="str">
        <x:v>Consumer</x:v>
      </x:c>
      <x:c r="F434" s="8" t="str">
        <x:v>Kolkata</x:v>
      </x:c>
      <x:c r="G434" s="8" t="str">
        <x:v>East</x:v>
      </x:c>
      <x:c r="H434" s="8" t="str">
        <x:v>PRD-003</x:v>
      </x:c>
      <x:c r="I434" s="8" t="str">
        <x:v>USB-C Hub</x:v>
      </x:c>
      <x:c r="J434" s="8" t="str">
        <x:v>Electronics</x:v>
      </x:c>
      <x:c r="K434" s="8" t="n">
        <x:v>5</x:v>
      </x:c>
      <x:c r="L434" s="9" t="n">
        <x:v>1899</x:v>
      </x:c>
      <x:c r="M434" s="23" t="n">
        <x:v>0.05</x:v>
      </x:c>
      <x:c r="N434" s="8" t="str">
        <x:v>Debit Card</x:v>
      </x:c>
      <x:c r="O434" s="8" t="str">
        <x:v>Completed</x:v>
      </x:c>
    </x:row>
    <x:row r="435">
      <x:c r="A435" s="8" t="str">
        <x:v>ORD-0431</x:v>
      </x:c>
      <x:c r="B435" s="22" t="n">
        <x:v>45900.16870920139</x:v>
      </x:c>
      <x:c r="C435" s="8" t="str">
        <x:v>CUS-033</x:v>
      </x:c>
      <x:c r="D435" s="8" t="str">
        <x:v>Rahul Mishra 2</x:v>
      </x:c>
      <x:c r="E435" s="8" t="str">
        <x:v>Small Business</x:v>
      </x:c>
      <x:c r="F435" s="8" t="str">
        <x:v>Pune</x:v>
      </x:c>
      <x:c r="G435" s="8" t="str">
        <x:v>West</x:v>
      </x:c>
      <x:c r="H435" s="8" t="str">
        <x:v>PRD-005</x:v>
      </x:c>
      <x:c r="I435" s="8" t="str">
        <x:v>Executive Notebook</x:v>
      </x:c>
      <x:c r="J435" s="8" t="str">
        <x:v>Office Supplies</x:v>
      </x:c>
      <x:c r="K435" s="8" t="n">
        <x:v>1</x:v>
      </x:c>
      <x:c r="L435" s="9" t="n">
        <x:v>349</x:v>
      </x:c>
      <x:c r="M435" s="23" t="n">
        <x:v>0.05</x:v>
      </x:c>
      <x:c r="N435" s="8" t="str">
        <x:v>Net Banking</x:v>
      </x:c>
      <x:c r="O435" s="8" t="str">
        <x:v>Completed</x:v>
      </x:c>
    </x:row>
    <x:row r="436">
      <x:c r="A436" s="8" t="str">
        <x:v>ORD-0432</x:v>
      </x:c>
      <x:c r="B436" s="22" t="n">
        <x:v>45727.99904568287</x:v>
      </x:c>
      <x:c r="C436" s="8" t="str">
        <x:v>CUS-032</x:v>
      </x:c>
      <x:c r="D436" s="8" t="str">
        <x:v>Priya Kapoor 2</x:v>
      </x:c>
      <x:c r="E436" s="8" t="str">
        <x:v>Corporate</x:v>
      </x:c>
      <x:c r="F436" s="8" t="str">
        <x:v>Mumbai</x:v>
      </x:c>
      <x:c r="G436" s="8" t="str">
        <x:v>West</x:v>
      </x:c>
      <x:c r="H436" s="8" t="str">
        <x:v>PRD-001</x:v>
      </x:c>
      <x:c r="I436" s="8" t="str">
        <x:v>Wireless Mouse</x:v>
      </x:c>
      <x:c r="J436" s="8" t="str">
        <x:v>Electronics</x:v>
      </x:c>
      <x:c r="K436" s="8" t="n">
        <x:v>4</x:v>
      </x:c>
      <x:c r="L436" s="9" t="n">
        <x:v>899</x:v>
      </x:c>
      <x:c r="M436" s="23" t="n">
        <x:v>0.05</x:v>
      </x:c>
      <x:c r="N436" s="8" t="str">
        <x:v>Debit Card</x:v>
      </x:c>
      <x:c r="O436" s="8" t="str">
        <x:v>Cancelled</x:v>
      </x:c>
    </x:row>
    <x:row r="437">
      <x:c r="A437" s="8" t="str">
        <x:v>ORD-0433</x:v>
      </x:c>
      <x:c r="B437" s="22" t="n">
        <x:v>45721.25007232639</x:v>
      </x:c>
      <x:c r="C437" s="8" t="str">
        <x:v>CUS-071</x:v>
      </x:c>
      <x:c r="D437" s="8" t="str">
        <x:v>Aditya Joshi 4</x:v>
      </x:c>
      <x:c r="E437" s="8" t="str">
        <x:v>Corporate</x:v>
      </x:c>
      <x:c r="F437" s="8" t="str">
        <x:v>Jaipur</x:v>
      </x:c>
      <x:c r="G437" s="8" t="str">
        <x:v>North</x:v>
      </x:c>
      <x:c r="H437" s="8" t="str">
        <x:v>PRD-005</x:v>
      </x:c>
      <x:c r="I437" s="8" t="str">
        <x:v>Executive Notebook</x:v>
      </x:c>
      <x:c r="J437" s="8" t="str">
        <x:v>Office Supplies</x:v>
      </x:c>
      <x:c r="K437" s="8" t="n">
        <x:v>4</x:v>
      </x:c>
      <x:c r="L437" s="9" t="n">
        <x:v>349</x:v>
      </x:c>
      <x:c r="M437" s="23" t="n">
        <x:v>0.15</x:v>
      </x:c>
      <x:c r="N437" s="8" t="str">
        <x:v>Credit Card</x:v>
      </x:c>
      <x:c r="O437" s="8" t="str">
        <x:v>Completed</x:v>
      </x:c>
    </x:row>
    <x:row r="438">
      <x:c r="A438" s="8" t="str">
        <x:v>ORD-0434</x:v>
      </x:c>
      <x:c r="B438" s="22" t="n">
        <x:v>45992.50031846065</x:v>
      </x:c>
      <x:c r="C438" s="8" t="str">
        <x:v>CUS-070</x:v>
      </x:c>
      <x:c r="D438" s="8" t="str">
        <x:v>Saanvi Iyer 4</x:v>
      </x:c>
      <x:c r="E438" s="8" t="str">
        <x:v>Consumer</x:v>
      </x:c>
      <x:c r="F438" s="8" t="str">
        <x:v>Jaipur</x:v>
      </x:c>
      <x:c r="G438" s="8" t="str">
        <x:v>North</x:v>
      </x:c>
      <x:c r="H438" s="8" t="str">
        <x:v>PRD-005</x:v>
      </x:c>
      <x:c r="I438" s="8" t="str">
        <x:v>Executive Notebook</x:v>
      </x:c>
      <x:c r="J438" s="8" t="str">
        <x:v>Office Supplies</x:v>
      </x:c>
      <x:c r="K438" s="8" t="n">
        <x:v>2</x:v>
      </x:c>
      <x:c r="L438" s="9" t="n">
        <x:v>349</x:v>
      </x:c>
      <x:c r="M438" s="23" t="n">
        <x:v>0</x:v>
      </x:c>
      <x:c r="N438" s="8" t="str">
        <x:v>Credit Card</x:v>
      </x:c>
      <x:c r="O438" s="8" t="str">
        <x:v>Returned</x:v>
      </x:c>
    </x:row>
    <x:row r="439">
      <x:c r="A439" s="8" t="str">
        <x:v>ORD-0435</x:v>
      </x:c>
      <x:c r="B439" s="22" t="n">
        <x:v>45736.90050887731</x:v>
      </x:c>
      <x:c r="C439" s="8" t="str">
        <x:v>CUS-054</x:v>
      </x:c>
      <x:c r="D439" s="8" t="str">
        <x:v>Neha Rao 3</x:v>
      </x:c>
      <x:c r="E439" s="8" t="str">
        <x:v>Small Business</x:v>
      </x:c>
      <x:c r="F439" s="8" t="str">
        <x:v>Bengaluru</x:v>
      </x:c>
      <x:c r="G439" s="8" t="str">
        <x:v>South</x:v>
      </x:c>
      <x:c r="H439" s="8" t="str">
        <x:v>PRD-009</x:v>
      </x:c>
      <x:c r="I439" s="8" t="str">
        <x:v>Table Lamp</x:v>
      </x:c>
      <x:c r="J439" s="8" t="str">
        <x:v>Home &amp; Kitchen</x:v>
      </x:c>
      <x:c r="K439" s="8" t="n">
        <x:v>3</x:v>
      </x:c>
      <x:c r="L439" s="9" t="n">
        <x:v>1499</x:v>
      </x:c>
      <x:c r="M439" s="23" t="n">
        <x:v>0.15</x:v>
      </x:c>
      <x:c r="N439" s="8" t="str">
        <x:v>Debit Card</x:v>
      </x:c>
      <x:c r="O439" s="8" t="str">
        <x:v>Completed</x:v>
      </x:c>
    </x:row>
    <x:row r="440">
      <x:c r="A440" s="8" t="str">
        <x:v>ORD-0436</x:v>
      </x:c>
      <x:c r="B440" s="22" t="n">
        <x:v>45880.9988581713</x:v>
      </x:c>
      <x:c r="C440" s="8" t="str">
        <x:v>CUS-010</x:v>
      </x:c>
      <x:c r="D440" s="8" t="str">
        <x:v>Saanvi Iyer</x:v>
      </x:c>
      <x:c r="E440" s="8" t="str">
        <x:v>Consumer</x:v>
      </x:c>
      <x:c r="F440" s="8" t="str">
        <x:v>Jaipur</x:v>
      </x:c>
      <x:c r="G440" s="8" t="str">
        <x:v>North</x:v>
      </x:c>
      <x:c r="H440" s="8" t="str">
        <x:v>PRD-007</x:v>
      </x:c>
      <x:c r="I440" s="8" t="str">
        <x:v>Electric Kettle</x:v>
      </x:c>
      <x:c r="J440" s="8" t="str">
        <x:v>Home &amp; Kitchen</x:v>
      </x:c>
      <x:c r="K440" s="8" t="n">
        <x:v>4</x:v>
      </x:c>
      <x:c r="L440" s="9" t="n">
        <x:v>1699</x:v>
      </x:c>
      <x:c r="M440" s="23" t="n">
        <x:v>0</x:v>
      </x:c>
      <x:c r="N440" s="8" t="str">
        <x:v>Debit Card</x:v>
      </x:c>
      <x:c r="O440" s="8" t="str">
        <x:v>Returned</x:v>
      </x:c>
    </x:row>
    <x:row r="441">
      <x:c r="A441" s="8" t="str">
        <x:v>ORD-0437</x:v>
      </x:c>
      <x:c r="B441" s="22" t="n">
        <x:v>45742.04285222222</x:v>
      </x:c>
      <x:c r="C441" s="8" t="str">
        <x:v>CUS-063</x:v>
      </x:c>
      <x:c r="D441" s="8" t="str">
        <x:v>Vihaan Singh 4</x:v>
      </x:c>
      <x:c r="E441" s="8" t="str">
        <x:v>Small Business</x:v>
      </x:c>
      <x:c r="F441" s="8" t="str">
        <x:v>Delhi</x:v>
      </x:c>
      <x:c r="G441" s="8" t="str">
        <x:v>North</x:v>
      </x:c>
      <x:c r="H441" s="8" t="str">
        <x:v>PRD-003</x:v>
      </x:c>
      <x:c r="I441" s="8" t="str">
        <x:v>USB-C Hub</x:v>
      </x:c>
      <x:c r="J441" s="8" t="str">
        <x:v>Electronics</x:v>
      </x:c>
      <x:c r="K441" s="8" t="n">
        <x:v>4</x:v>
      </x:c>
      <x:c r="L441" s="9" t="n">
        <x:v>1899</x:v>
      </x:c>
      <x:c r="M441" s="23" t="n">
        <x:v>0.15</x:v>
      </x:c>
      <x:c r="N441" s="8" t="str">
        <x:v>Cash on Delivery</x:v>
      </x:c>
      <x:c r="O441" s="8" t="str">
        <x:v>Completed</x:v>
      </x:c>
    </x:row>
    <x:row r="442">
      <x:c r="A442" s="8" t="str">
        <x:v>ORD-0438</x:v>
      </x:c>
      <x:c r="B442" s="22" t="n">
        <x:v>45868.98228273148</x:v>
      </x:c>
      <x:c r="C442" s="8" t="str">
        <x:v>CUS-059</x:v>
      </x:c>
      <x:c r="D442" s="8" t="str">
        <x:v>Siddharth Jain 3</x:v>
      </x:c>
      <x:c r="E442" s="8" t="str">
        <x:v>Corporate</x:v>
      </x:c>
      <x:c r="F442" s="8" t="str">
        <x:v>Mumbai</x:v>
      </x:c>
      <x:c r="G442" s="8" t="str">
        <x:v>West</x:v>
      </x:c>
      <x:c r="H442" s="8" t="str">
        <x:v>PRD-007</x:v>
      </x:c>
      <x:c r="I442" s="8" t="str">
        <x:v>Electric Kettle</x:v>
      </x:c>
      <x:c r="J442" s="8" t="str">
        <x:v>Home &amp; Kitchen</x:v>
      </x:c>
      <x:c r="K442" s="8" t="n">
        <x:v>2</x:v>
      </x:c>
      <x:c r="L442" s="9" t="n">
        <x:v>1699</x:v>
      </x:c>
      <x:c r="M442" s="23" t="n">
        <x:v>0.15</x:v>
      </x:c>
      <x:c r="N442" s="8" t="str">
        <x:v>Debit Card</x:v>
      </x:c>
      <x:c r="O442" s="8" t="str">
        <x:v>Completed</x:v>
      </x:c>
    </x:row>
    <x:row r="443">
      <x:c r="A443" s="8" t="str">
        <x:v>ORD-0439</x:v>
      </x:c>
      <x:c r="B443" s="22" t="n">
        <x:v>45688.314400243056</x:v>
      </x:c>
      <x:c r="C443" s="8" t="str">
        <x:v>CUS-027</x:v>
      </x:c>
      <x:c r="D443" s="8" t="str">
        <x:v>Kabir Khan 2</x:v>
      </x:c>
      <x:c r="E443" s="8" t="str">
        <x:v>Small Business</x:v>
      </x:c>
      <x:c r="F443" s="8" t="str">
        <x:v>Jaipur</x:v>
      </x:c>
      <x:c r="G443" s="8" t="str">
        <x:v>North</x:v>
      </x:c>
      <x:c r="H443" s="8" t="str">
        <x:v>PRD-002</x:v>
      </x:c>
      <x:c r="I443" s="8" t="str">
        <x:v>Bluetooth Headphones</x:v>
      </x:c>
      <x:c r="J443" s="8" t="str">
        <x:v>Electronics</x:v>
      </x:c>
      <x:c r="K443" s="8" t="n">
        <x:v>4</x:v>
      </x:c>
      <x:c r="L443" s="9" t="n">
        <x:v>2499</x:v>
      </x:c>
      <x:c r="M443" s="23" t="n">
        <x:v>0</x:v>
      </x:c>
      <x:c r="N443" s="8" t="str">
        <x:v>Cash on Delivery</x:v>
      </x:c>
      <x:c r="O443" s="8" t="str">
        <x:v>Returned</x:v>
      </x:c>
    </x:row>
    <x:row r="444">
      <x:c r="A444" s="8" t="str">
        <x:v>ORD-0440</x:v>
      </x:c>
      <x:c r="B444" s="22" t="n">
        <x:v>45866.39915989583</x:v>
      </x:c>
      <x:c r="C444" s="8" t="str">
        <x:v>CUS-039</x:v>
      </x:c>
      <x:c r="D444" s="8" t="str">
        <x:v>Siddharth Jain 2</x:v>
      </x:c>
      <x:c r="E444" s="8" t="str">
        <x:v>Small Business</x:v>
      </x:c>
      <x:c r="F444" s="8" t="str">
        <x:v>Lucknow</x:v>
      </x:c>
      <x:c r="G444" s="8" t="str">
        <x:v>North</x:v>
      </x:c>
      <x:c r="H444" s="8" t="str">
        <x:v>PRD-003</x:v>
      </x:c>
      <x:c r="I444" s="8" t="str">
        <x:v>USB-C Hub</x:v>
      </x:c>
      <x:c r="J444" s="8" t="str">
        <x:v>Electronics</x:v>
      </x:c>
      <x:c r="K444" s="8" t="n">
        <x:v>1</x:v>
      </x:c>
      <x:c r="L444" s="9" t="n">
        <x:v>1899</x:v>
      </x:c>
      <x:c r="M444" s="23" t="n">
        <x:v>0.05</x:v>
      </x:c>
      <x:c r="N444" s="8" t="str">
        <x:v>Debit Card</x:v>
      </x:c>
      <x:c r="O444" s="8" t="str">
        <x:v>Completed</x:v>
      </x:c>
    </x:row>
    <x:row r="445">
      <x:c r="A445" s="8" t="str">
        <x:v>ORD-0441</x:v>
      </x:c>
      <x:c r="B445" s="22" t="n">
        <x:v>45991.37476613426</x:v>
      </x:c>
      <x:c r="C445" s="8" t="str">
        <x:v>CUS-021</x:v>
      </x:c>
      <x:c r="D445" s="8" t="str">
        <x:v>Aarav Sharma 2</x:v>
      </x:c>
      <x:c r="E445" s="8" t="str">
        <x:v>Small Business</x:v>
      </x:c>
      <x:c r="F445" s="8" t="str">
        <x:v>Delhi</x:v>
      </x:c>
      <x:c r="G445" s="8" t="str">
        <x:v>North</x:v>
      </x:c>
      <x:c r="H445" s="8" t="str">
        <x:v>PRD-005</x:v>
      </x:c>
      <x:c r="I445" s="8" t="str">
        <x:v>Executive Notebook</x:v>
      </x:c>
      <x:c r="J445" s="8" t="str">
        <x:v>Office Supplies</x:v>
      </x:c>
      <x:c r="K445" s="8" t="n">
        <x:v>1</x:v>
      </x:c>
      <x:c r="L445" s="9" t="n">
        <x:v>349</x:v>
      </x:c>
      <x:c r="M445" s="23" t="n">
        <x:v>0</x:v>
      </x:c>
      <x:c r="N445" s="8" t="str">
        <x:v>UPI</x:v>
      </x:c>
      <x:c r="O445" s="8" t="str">
        <x:v>Completed</x:v>
      </x:c>
    </x:row>
    <x:row r="446">
      <x:c r="A446" s="8" t="str">
        <x:v>ORD-0442</x:v>
      </x:c>
      <x:c r="B446" s="22" t="n">
        <x:v>45737.43926010417</x:v>
      </x:c>
      <x:c r="C446" s="8" t="str">
        <x:v>CUS-001</x:v>
      </x:c>
      <x:c r="D446" s="8" t="str">
        <x:v>Aarav Sharma</x:v>
      </x:c>
      <x:c r="E446" s="8" t="str">
        <x:v>Consumer</x:v>
      </x:c>
      <x:c r="F446" s="8" t="str">
        <x:v>Delhi</x:v>
      </x:c>
      <x:c r="G446" s="8" t="str">
        <x:v>North</x:v>
      </x:c>
      <x:c r="H446" s="8" t="str">
        <x:v>PRD-009</x:v>
      </x:c>
      <x:c r="I446" s="8" t="str">
        <x:v>Table Lamp</x:v>
      </x:c>
      <x:c r="J446" s="8" t="str">
        <x:v>Home &amp; Kitchen</x:v>
      </x:c>
      <x:c r="K446" s="8" t="n">
        <x:v>2</x:v>
      </x:c>
      <x:c r="L446" s="9" t="n">
        <x:v>1499</x:v>
      </x:c>
      <x:c r="M446" s="23" t="n">
        <x:v>0</x:v>
      </x:c>
      <x:c r="N446" s="8" t="str">
        <x:v>Debit Card</x:v>
      </x:c>
      <x:c r="O446" s="8" t="str">
        <x:v>Completed</x:v>
      </x:c>
    </x:row>
    <x:row r="447">
      <x:c r="A447" s="8" t="str">
        <x:v>ORD-0443</x:v>
      </x:c>
      <x:c r="B447" s="22" t="n">
        <x:v>45769.596722407405</x:v>
      </x:c>
      <x:c r="C447" s="8" t="str">
        <x:v>CUS-056</x:v>
      </x:c>
      <x:c r="D447" s="8" t="str">
        <x:v>Pooja Saxena 3</x:v>
      </x:c>
      <x:c r="E447" s="8" t="str">
        <x:v>Corporate</x:v>
      </x:c>
      <x:c r="F447" s="8" t="str">
        <x:v>Hyderabad</x:v>
      </x:c>
      <x:c r="G447" s="8" t="str">
        <x:v>South</x:v>
      </x:c>
      <x:c r="H447" s="8" t="str">
        <x:v>PRD-001</x:v>
      </x:c>
      <x:c r="I447" s="8" t="str">
        <x:v>Wireless Mouse</x:v>
      </x:c>
      <x:c r="J447" s="8" t="str">
        <x:v>Electronics</x:v>
      </x:c>
      <x:c r="K447" s="8" t="n">
        <x:v>2</x:v>
      </x:c>
      <x:c r="L447" s="9" t="n">
        <x:v>899</x:v>
      </x:c>
      <x:c r="M447" s="23" t="n">
        <x:v>0</x:v>
      </x:c>
      <x:c r="N447" s="8" t="str">
        <x:v>Cash on Delivery</x:v>
      </x:c>
      <x:c r="O447" s="8" t="str">
        <x:v>Completed</x:v>
      </x:c>
    </x:row>
    <x:row r="448">
      <x:c r="A448" s="8" t="str">
        <x:v>ORD-0444</x:v>
      </x:c>
      <x:c r="B448" s="22" t="n">
        <x:v>45994.52974425926</x:v>
      </x:c>
      <x:c r="C448" s="8" t="str">
        <x:v>CUS-032</x:v>
      </x:c>
      <x:c r="D448" s="8" t="str">
        <x:v>Priya Kapoor 2</x:v>
      </x:c>
      <x:c r="E448" s="8" t="str">
        <x:v>Corporate</x:v>
      </x:c>
      <x:c r="F448" s="8" t="str">
        <x:v>Lucknow</x:v>
      </x:c>
      <x:c r="G448" s="8" t="str">
        <x:v>North</x:v>
      </x:c>
      <x:c r="H448" s="8" t="str">
        <x:v>PRD-011</x:v>
      </x:c>
      <x:c r="I448" s="8" t="str">
        <x:v>Classic Wallet</x:v>
      </x:c>
      <x:c r="J448" s="8" t="str">
        <x:v>Fashion</x:v>
      </x:c>
      <x:c r="K448" s="8" t="n">
        <x:v>2</x:v>
      </x:c>
      <x:c r="L448" s="9" t="n">
        <x:v>1199</x:v>
      </x:c>
      <x:c r="M448" s="23" t="n">
        <x:v>0.05</x:v>
      </x:c>
      <x:c r="N448" s="8" t="str">
        <x:v>Cash on Delivery</x:v>
      </x:c>
      <x:c r="O448" s="8" t="str">
        <x:v>Completed</x:v>
      </x:c>
    </x:row>
    <x:row r="449">
      <x:c r="A449" s="8" t="str">
        <x:v>ORD-0445</x:v>
      </x:c>
      <x:c r="B449" s="22" t="n">
        <x:v>45851.828096909725</x:v>
      </x:c>
      <x:c r="C449" s="8" t="str">
        <x:v>CUS-051</x:v>
      </x:c>
      <x:c r="D449" s="8" t="str">
        <x:v>Aditya Joshi 3</x:v>
      </x:c>
      <x:c r="E449" s="8" t="str">
        <x:v>Small Business</x:v>
      </x:c>
      <x:c r="F449" s="8" t="str">
        <x:v>Bengaluru</x:v>
      </x:c>
      <x:c r="G449" s="8" t="str">
        <x:v>South</x:v>
      </x:c>
      <x:c r="H449" s="8" t="str">
        <x:v>PRD-001</x:v>
      </x:c>
      <x:c r="I449" s="8" t="str">
        <x:v>Wireless Mouse</x:v>
      </x:c>
      <x:c r="J449" s="8" t="str">
        <x:v>Electronics</x:v>
      </x:c>
      <x:c r="K449" s="8" t="n">
        <x:v>2</x:v>
      </x:c>
      <x:c r="L449" s="9" t="n">
        <x:v>899</x:v>
      </x:c>
      <x:c r="M449" s="23" t="n">
        <x:v>0.05</x:v>
      </x:c>
      <x:c r="N449" s="8" t="str">
        <x:v>Credit Card</x:v>
      </x:c>
      <x:c r="O449" s="8" t="str">
        <x:v>Cancelled</x:v>
      </x:c>
    </x:row>
    <x:row r="450">
      <x:c r="A450" s="8" t="str">
        <x:v>ORD-0446</x:v>
      </x:c>
      <x:c r="B450" s="22" t="n">
        <x:v>46007.01274056713</x:v>
      </x:c>
      <x:c r="C450" s="8" t="str">
        <x:v>CUS-015</x:v>
      </x:c>
      <x:c r="D450" s="8" t="str">
        <x:v>Karan Malhotra</x:v>
      </x:c>
      <x:c r="E450" s="8" t="str">
        <x:v>Small Business</x:v>
      </x:c>
      <x:c r="F450" s="8" t="str">
        <x:v>Bengaluru</x:v>
      </x:c>
      <x:c r="G450" s="8" t="str">
        <x:v>South</x:v>
      </x:c>
      <x:c r="H450" s="8" t="str">
        <x:v>PRD-003</x:v>
      </x:c>
      <x:c r="I450" s="8" t="str">
        <x:v>USB-C Hub</x:v>
      </x:c>
      <x:c r="J450" s="8" t="str">
        <x:v>Electronics</x:v>
      </x:c>
      <x:c r="K450" s="8" t="n">
        <x:v>1</x:v>
      </x:c>
      <x:c r="L450" s="9" t="n">
        <x:v>1899</x:v>
      </x:c>
      <x:c r="M450" s="23" t="n">
        <x:v>0.05</x:v>
      </x:c>
      <x:c r="N450" s="8" t="str">
        <x:v>UPI</x:v>
      </x:c>
      <x:c r="O450" s="8" t="str">
        <x:v>Cancelled</x:v>
      </x:c>
    </x:row>
    <x:row r="451">
      <x:c r="A451" s="8" t="str">
        <x:v>ORD-0447</x:v>
      </x:c>
      <x:c r="B451" s="22" t="n">
        <x:v>45789.30074568287</x:v>
      </x:c>
      <x:c r="C451" s="8" t="str">
        <x:v>CUS-033</x:v>
      </x:c>
      <x:c r="D451" s="8" t="str">
        <x:v>Rahul Mishra 2</x:v>
      </x:c>
      <x:c r="E451" s="8" t="str">
        <x:v>Small Business</x:v>
      </x:c>
      <x:c r="F451" s="8" t="str">
        <x:v>Ahmedabad</x:v>
      </x:c>
      <x:c r="G451" s="8" t="str">
        <x:v>West</x:v>
      </x:c>
      <x:c r="H451" s="8" t="str">
        <x:v>PRD-006</x:v>
      </x:c>
      <x:c r="I451" s="8" t="str">
        <x:v>Desk Organiser</x:v>
      </x:c>
      <x:c r="J451" s="8" t="str">
        <x:v>Office Supplies</x:v>
      </x:c>
      <x:c r="K451" s="8" t="n">
        <x:v>5</x:v>
      </x:c>
      <x:c r="L451" s="9" t="n">
        <x:v>699</x:v>
      </x:c>
      <x:c r="M451" s="23" t="n">
        <x:v>0.05</x:v>
      </x:c>
      <x:c r="N451" s="8" t="str">
        <x:v>Debit Card</x:v>
      </x:c>
      <x:c r="O451" s="8" t="str">
        <x:v>Returned</x:v>
      </x:c>
    </x:row>
    <x:row r="452">
      <x:c r="A452" s="8" t="str">
        <x:v>ORD-0448</x:v>
      </x:c>
      <x:c r="B452" s="22" t="n">
        <x:v>45670.84378210648</x:v>
      </x:c>
      <x:c r="C452" s="8" t="str">
        <x:v>CUS-073</x:v>
      </x:c>
      <x:c r="D452" s="8" t="str">
        <x:v>Rahul Mishra 4</x:v>
      </x:c>
      <x:c r="E452" s="8" t="str">
        <x:v>Consumer</x:v>
      </x:c>
      <x:c r="F452" s="8" t="str">
        <x:v>Hyderabad</x:v>
      </x:c>
      <x:c r="G452" s="8" t="str">
        <x:v>South</x:v>
      </x:c>
      <x:c r="H452" s="8" t="str">
        <x:v>PRD-003</x:v>
      </x:c>
      <x:c r="I452" s="8" t="str">
        <x:v>USB-C Hub</x:v>
      </x:c>
      <x:c r="J452" s="8" t="str">
        <x:v>Electronics</x:v>
      </x:c>
      <x:c r="K452" s="8" t="n">
        <x:v>2</x:v>
      </x:c>
      <x:c r="L452" s="9" t="n">
        <x:v>1899</x:v>
      </x:c>
      <x:c r="M452" s="23" t="n">
        <x:v>0.05</x:v>
      </x:c>
      <x:c r="N452" s="8" t="str">
        <x:v>Debit Card</x:v>
      </x:c>
      <x:c r="O452" s="8" t="str">
        <x:v>Returned</x:v>
      </x:c>
    </x:row>
    <x:row r="453">
      <x:c r="A453" s="8" t="str">
        <x:v>ORD-0449</x:v>
      </x:c>
      <x:c r="B453" s="22" t="n">
        <x:v>45777.42389925926</x:v>
      </x:c>
      <x:c r="C453" s="8" t="str">
        <x:v>CUS-038</x:v>
      </x:c>
      <x:c r="D453" s="8" t="str">
        <x:v>Nisha Bansal 2</x:v>
      </x:c>
      <x:c r="E453" s="8" t="str">
        <x:v>Corporate</x:v>
      </x:c>
      <x:c r="F453" s="8" t="str">
        <x:v>Jaipur</x:v>
      </x:c>
      <x:c r="G453" s="8" t="str">
        <x:v>North</x:v>
      </x:c>
      <x:c r="H453" s="8" t="str">
        <x:v>PRD-004</x:v>
      </x:c>
      <x:c r="I453" s="8" t="str">
        <x:v>Laptop Stand</x:v>
      </x:c>
      <x:c r="J453" s="8" t="str">
        <x:v>Office Supplies</x:v>
      </x:c>
      <x:c r="K453" s="8" t="n">
        <x:v>4</x:v>
      </x:c>
      <x:c r="L453" s="9" t="n">
        <x:v>1299</x:v>
      </x:c>
      <x:c r="M453" s="23" t="n">
        <x:v>0</x:v>
      </x:c>
      <x:c r="N453" s="8" t="str">
        <x:v>Cash on Delivery</x:v>
      </x:c>
      <x:c r="O453" s="8" t="str">
        <x:v>Cancelled</x:v>
      </x:c>
    </x:row>
    <x:row r="454">
      <x:c r="A454" s="8" t="str">
        <x:v>ORD-0450</x:v>
      </x:c>
      <x:c r="B454" s="22" t="n">
        <x:v>45972.5735528588</x:v>
      </x:c>
      <x:c r="C454" s="8" t="str">
        <x:v>CUS-037</x:v>
      </x:c>
      <x:c r="D454" s="8" t="str">
        <x:v>Vikram Yadav 2</x:v>
      </x:c>
      <x:c r="E454" s="8" t="str">
        <x:v>Consumer</x:v>
      </x:c>
      <x:c r="F454" s="8" t="str">
        <x:v>Jaipur</x:v>
      </x:c>
      <x:c r="G454" s="8" t="str">
        <x:v>North</x:v>
      </x:c>
      <x:c r="H454" s="8" t="str">
        <x:v>PRD-011</x:v>
      </x:c>
      <x:c r="I454" s="8" t="str">
        <x:v>Classic Wallet</x:v>
      </x:c>
      <x:c r="J454" s="8" t="str">
        <x:v>Fashion</x:v>
      </x:c>
      <x:c r="K454" s="8" t="n">
        <x:v>3</x:v>
      </x:c>
      <x:c r="L454" s="9" t="n">
        <x:v>1199</x:v>
      </x:c>
      <x:c r="M454" s="23" t="n">
        <x:v>0</x:v>
      </x:c>
      <x:c r="N454" s="8" t="str">
        <x:v>Cash on Delivery</x:v>
      </x:c>
      <x:c r="O454" s="8" t="str">
        <x:v>Completed</x:v>
      </x:c>
    </x:row>
    <x:row r="455">
      <x:c r="A455" s="8" t="str">
        <x:v>ORD-0451</x:v>
      </x:c>
      <x:c r="B455" s="22" t="n">
        <x:v>45720.51932799769</x:v>
      </x:c>
      <x:c r="C455" s="8" t="str">
        <x:v>CUS-007</x:v>
      </x:c>
      <x:c r="D455" s="8" t="str">
        <x:v>Kabir Khan</x:v>
      </x:c>
      <x:c r="E455" s="8" t="str">
        <x:v>Consumer</x:v>
      </x:c>
      <x:c r="F455" s="8" t="str">
        <x:v>Pune</x:v>
      </x:c>
      <x:c r="G455" s="8" t="str">
        <x:v>West</x:v>
      </x:c>
      <x:c r="H455" s="8" t="str">
        <x:v>PRD-007</x:v>
      </x:c>
      <x:c r="I455" s="8" t="str">
        <x:v>Electric Kettle</x:v>
      </x:c>
      <x:c r="J455" s="8" t="str">
        <x:v>Home &amp; Kitchen</x:v>
      </x:c>
      <x:c r="K455" s="8" t="n">
        <x:v>1</x:v>
      </x:c>
      <x:c r="L455" s="9" t="n">
        <x:v>1699</x:v>
      </x:c>
      <x:c r="M455" s="23" t="n">
        <x:v>0.05</x:v>
      </x:c>
      <x:c r="N455" s="8" t="str">
        <x:v>UPI</x:v>
      </x:c>
      <x:c r="O455" s="8" t="str">
        <x:v>Completed</x:v>
      </x:c>
    </x:row>
    <x:row r="456">
      <x:c r="A456" s="8" t="str">
        <x:v>ORD-0452</x:v>
      </x:c>
      <x:c r="B456" s="22" t="n">
        <x:v>45914.76451886574</x:v>
      </x:c>
      <x:c r="C456" s="8" t="str">
        <x:v>CUS-052</x:v>
      </x:c>
      <x:c r="D456" s="8" t="str">
        <x:v>Priya Kapoor 3</x:v>
      </x:c>
      <x:c r="E456" s="8" t="str">
        <x:v>Consumer</x:v>
      </x:c>
      <x:c r="F456" s="8" t="str">
        <x:v>Mumbai</x:v>
      </x:c>
      <x:c r="G456" s="8" t="str">
        <x:v>West</x:v>
      </x:c>
      <x:c r="H456" s="8" t="str">
        <x:v>PRD-002</x:v>
      </x:c>
      <x:c r="I456" s="8" t="str">
        <x:v>Bluetooth Headphones</x:v>
      </x:c>
      <x:c r="J456" s="8" t="str">
        <x:v>Electronics</x:v>
      </x:c>
      <x:c r="K456" s="8" t="n">
        <x:v>4</x:v>
      </x:c>
      <x:c r="L456" s="9" t="n">
        <x:v>2499</x:v>
      </x:c>
      <x:c r="M456" s="23" t="n">
        <x:v>0.15</x:v>
      </x:c>
      <x:c r="N456" s="8" t="str">
        <x:v>Cash on Delivery</x:v>
      </x:c>
      <x:c r="O456" s="8" t="str">
        <x:v>Completed</x:v>
      </x:c>
    </x:row>
    <x:row r="457">
      <x:c r="A457" s="8" t="str">
        <x:v>ORD-0453</x:v>
      </x:c>
      <x:c r="B457" s="22" t="n">
        <x:v>45855.12718962963</x:v>
      </x:c>
      <x:c r="C457" s="8" t="str">
        <x:v>CUS-030</x:v>
      </x:c>
      <x:c r="D457" s="8" t="str">
        <x:v>Saanvi Iyer 2</x:v>
      </x:c>
      <x:c r="E457" s="8" t="str">
        <x:v>Small Business</x:v>
      </x:c>
      <x:c r="F457" s="8" t="str">
        <x:v>Hyderabad</x:v>
      </x:c>
      <x:c r="G457" s="8" t="str">
        <x:v>South</x:v>
      </x:c>
      <x:c r="H457" s="8" t="str">
        <x:v>PRD-006</x:v>
      </x:c>
      <x:c r="I457" s="8" t="str">
        <x:v>Desk Organiser</x:v>
      </x:c>
      <x:c r="J457" s="8" t="str">
        <x:v>Office Supplies</x:v>
      </x:c>
      <x:c r="K457" s="8" t="n">
        <x:v>1</x:v>
      </x:c>
      <x:c r="L457" s="9" t="n">
        <x:v>699</x:v>
      </x:c>
      <x:c r="M457" s="23" t="n">
        <x:v>0.1</x:v>
      </x:c>
      <x:c r="N457" s="8" t="str">
        <x:v>UPI</x:v>
      </x:c>
      <x:c r="O457" s="8" t="str">
        <x:v>Returned</x:v>
      </x:c>
    </x:row>
    <x:row r="458">
      <x:c r="A458" s="8" t="str">
        <x:v>ORD-0454</x:v>
      </x:c>
      <x:c r="B458" s="22" t="n">
        <x:v>45684.96185318287</x:v>
      </x:c>
      <x:c r="C458" s="8" t="str">
        <x:v>CUS-073</x:v>
      </x:c>
      <x:c r="D458" s="8" t="str">
        <x:v>Rahul Mishra 4</x:v>
      </x:c>
      <x:c r="E458" s="8" t="str">
        <x:v>Consumer</x:v>
      </x:c>
      <x:c r="F458" s="8" t="str">
        <x:v>Hyderabad</x:v>
      </x:c>
      <x:c r="G458" s="8" t="str">
        <x:v>South</x:v>
      </x:c>
      <x:c r="H458" s="8" t="str">
        <x:v>PRD-006</x:v>
      </x:c>
      <x:c r="I458" s="8" t="str">
        <x:v>Desk Organiser</x:v>
      </x:c>
      <x:c r="J458" s="8" t="str">
        <x:v>Office Supplies</x:v>
      </x:c>
      <x:c r="K458" s="8" t="n">
        <x:v>1</x:v>
      </x:c>
      <x:c r="L458" s="9" t="n">
        <x:v>699</x:v>
      </x:c>
      <x:c r="M458" s="23" t="n">
        <x:v>0.2</x:v>
      </x:c>
      <x:c r="N458" s="8" t="str">
        <x:v>UPI</x:v>
      </x:c>
      <x:c r="O458" s="8" t="str">
        <x:v>Completed</x:v>
      </x:c>
    </x:row>
    <x:row r="459">
      <x:c r="A459" s="8" t="str">
        <x:v>ORD-0455</x:v>
      </x:c>
      <x:c r="B459" s="22" t="n">
        <x:v>45818.54413519676</x:v>
      </x:c>
      <x:c r="C459" s="8" t="str">
        <x:v>CUS-070</x:v>
      </x:c>
      <x:c r="D459" s="8" t="str">
        <x:v>Saanvi Iyer 4</x:v>
      </x:c>
      <x:c r="E459" s="8" t="str">
        <x:v>Consumer</x:v>
      </x:c>
      <x:c r="F459" s="8" t="str">
        <x:v>Kolkata</x:v>
      </x:c>
      <x:c r="G459" s="8" t="str">
        <x:v>East</x:v>
      </x:c>
      <x:c r="H459" s="8" t="str">
        <x:v>PRD-003</x:v>
      </x:c>
      <x:c r="I459" s="8" t="str">
        <x:v>USB-C Hub</x:v>
      </x:c>
      <x:c r="J459" s="8" t="str">
        <x:v>Electronics</x:v>
      </x:c>
      <x:c r="K459" s="8" t="n">
        <x:v>4</x:v>
      </x:c>
      <x:c r="L459" s="9" t="n">
        <x:v>1899</x:v>
      </x:c>
      <x:c r="M459" s="23" t="n">
        <x:v>0.15</x:v>
      </x:c>
      <x:c r="N459" s="8" t="str">
        <x:v>Debit Card</x:v>
      </x:c>
      <x:c r="O459" s="8" t="str">
        <x:v>Completed</x:v>
      </x:c>
    </x:row>
    <x:row r="460">
      <x:c r="A460" s="8" t="str">
        <x:v>ORD-0456</x:v>
      </x:c>
      <x:c r="B460" s="22" t="n">
        <x:v>45735.91809582176</x:v>
      </x:c>
      <x:c r="C460" s="8" t="str">
        <x:v>CUS-051</x:v>
      </x:c>
      <x:c r="D460" s="8" t="str">
        <x:v>Aditya Joshi 3</x:v>
      </x:c>
      <x:c r="E460" s="8" t="str">
        <x:v>Small Business</x:v>
      </x:c>
      <x:c r="F460" s="8" t="str">
        <x:v>Jaipur</x:v>
      </x:c>
      <x:c r="G460" s="8" t="str">
        <x:v>North</x:v>
      </x:c>
      <x:c r="H460" s="8" t="str">
        <x:v>PRD-005</x:v>
      </x:c>
      <x:c r="I460" s="8" t="str">
        <x:v>Executive Notebook</x:v>
      </x:c>
      <x:c r="J460" s="8" t="str">
        <x:v>Office Supplies</x:v>
      </x:c>
      <x:c r="K460" s="8" t="n">
        <x:v>5</x:v>
      </x:c>
      <x:c r="L460" s="9" t="n">
        <x:v>349</x:v>
      </x:c>
      <x:c r="M460" s="23" t="n">
        <x:v>0</x:v>
      </x:c>
      <x:c r="N460" s="8" t="str">
        <x:v>Credit Card</x:v>
      </x:c>
      <x:c r="O460" s="8" t="str">
        <x:v>Cancelled</x:v>
      </x:c>
    </x:row>
    <x:row r="461">
      <x:c r="A461" s="8" t="str">
        <x:v>ORD-0457</x:v>
      </x:c>
      <x:c r="B461" s="22" t="n">
        <x:v>45666.983934606484</x:v>
      </x:c>
      <x:c r="C461" s="8" t="str">
        <x:v>CUS-038</x:v>
      </x:c>
      <x:c r="D461" s="8" t="str">
        <x:v>Nisha Bansal 2</x:v>
      </x:c>
      <x:c r="E461" s="8" t="str">
        <x:v>Corporate</x:v>
      </x:c>
      <x:c r="F461" s="8" t="str">
        <x:v>Ahmedabad</x:v>
      </x:c>
      <x:c r="G461" s="8" t="str">
        <x:v>West</x:v>
      </x:c>
      <x:c r="H461" s="8" t="str">
        <x:v>PRD-012</x:v>
      </x:c>
      <x:c r="I461" s="8" t="str">
        <x:v>Stainless Water Bottle</x:v>
      </x:c>
      <x:c r="J461" s="8" t="str">
        <x:v>Lifestyle</x:v>
      </x:c>
      <x:c r="K461" s="8" t="n">
        <x:v>1</x:v>
      </x:c>
      <x:c r="L461" s="9" t="n">
        <x:v>799</x:v>
      </x:c>
      <x:c r="M461" s="23" t="n">
        <x:v>0.2</x:v>
      </x:c>
      <x:c r="N461" s="8" t="str">
        <x:v>Debit Card</x:v>
      </x:c>
      <x:c r="O461" s="8" t="str">
        <x:v>Completed</x:v>
      </x:c>
    </x:row>
    <x:row r="462">
      <x:c r="A462" s="8" t="str">
        <x:v>ORD-0458</x:v>
      </x:c>
      <x:c r="B462" s="22" t="n">
        <x:v>45864.00391131944</x:v>
      </x:c>
      <x:c r="C462" s="8" t="str">
        <x:v>CUS-014</x:v>
      </x:c>
      <x:c r="D462" s="8" t="str">
        <x:v>Neha Rao</x:v>
      </x:c>
      <x:c r="E462" s="8" t="str">
        <x:v>Corporate</x:v>
      </x:c>
      <x:c r="F462" s="8" t="str">
        <x:v>Delhi</x:v>
      </x:c>
      <x:c r="G462" s="8" t="str">
        <x:v>North</x:v>
      </x:c>
      <x:c r="H462" s="8" t="str">
        <x:v>PRD-007</x:v>
      </x:c>
      <x:c r="I462" s="8" t="str">
        <x:v>Electric Kettle</x:v>
      </x:c>
      <x:c r="J462" s="8" t="str">
        <x:v>Home &amp; Kitchen</x:v>
      </x:c>
      <x:c r="K462" s="8" t="n">
        <x:v>1</x:v>
      </x:c>
      <x:c r="L462" s="9" t="n">
        <x:v>1699</x:v>
      </x:c>
      <x:c r="M462" s="23" t="n">
        <x:v>0.2</x:v>
      </x:c>
      <x:c r="N462" s="8" t="str">
        <x:v>Cash on Delivery</x:v>
      </x:c>
      <x:c r="O462" s="8" t="str">
        <x:v>Completed</x:v>
      </x:c>
    </x:row>
    <x:row r="463">
      <x:c r="A463" s="8" t="str">
        <x:v>ORD-0459</x:v>
      </x:c>
      <x:c r="B463" s="22" t="n">
        <x:v>45993.38557057871</x:v>
      </x:c>
      <x:c r="C463" s="8" t="str">
        <x:v>CUS-070</x:v>
      </x:c>
      <x:c r="D463" s="8" t="str">
        <x:v>Saanvi Iyer 4</x:v>
      </x:c>
      <x:c r="E463" s="8" t="str">
        <x:v>Consumer</x:v>
      </x:c>
      <x:c r="F463" s="8" t="str">
        <x:v>Jaipur</x:v>
      </x:c>
      <x:c r="G463" s="8" t="str">
        <x:v>North</x:v>
      </x:c>
      <x:c r="H463" s="8" t="str">
        <x:v>PRD-006</x:v>
      </x:c>
      <x:c r="I463" s="8" t="str">
        <x:v>Desk Organiser</x:v>
      </x:c>
      <x:c r="J463" s="8" t="str">
        <x:v>Office Supplies</x:v>
      </x:c>
      <x:c r="K463" s="8" t="n">
        <x:v>4</x:v>
      </x:c>
      <x:c r="L463" s="9" t="n">
        <x:v>699</x:v>
      </x:c>
      <x:c r="M463" s="23" t="n">
        <x:v>0.15</x:v>
      </x:c>
      <x:c r="N463" s="8" t="str">
        <x:v>Net Banking</x:v>
      </x:c>
      <x:c r="O463" s="8" t="str">
        <x:v>Completed</x:v>
      </x:c>
    </x:row>
    <x:row r="464">
      <x:c r="A464" s="8" t="str">
        <x:v>ORD-0460</x:v>
      </x:c>
      <x:c r="B464" s="22" t="n">
        <x:v>45895.8811375</x:v>
      </x:c>
      <x:c r="C464" s="8" t="str">
        <x:v>CUS-062</x:v>
      </x:c>
      <x:c r="D464" s="8" t="str">
        <x:v>Diya Patel 4</x:v>
      </x:c>
      <x:c r="E464" s="8" t="str">
        <x:v>Corporate</x:v>
      </x:c>
      <x:c r="F464" s="8" t="str">
        <x:v>Chennai</x:v>
      </x:c>
      <x:c r="G464" s="8" t="str">
        <x:v>South</x:v>
      </x:c>
      <x:c r="H464" s="8" t="str">
        <x:v>PRD-006</x:v>
      </x:c>
      <x:c r="I464" s="8" t="str">
        <x:v>Desk Organiser</x:v>
      </x:c>
      <x:c r="J464" s="8" t="str">
        <x:v>Office Supplies</x:v>
      </x:c>
      <x:c r="K464" s="8" t="n">
        <x:v>5</x:v>
      </x:c>
      <x:c r="L464" s="9" t="n">
        <x:v>699</x:v>
      </x:c>
      <x:c r="M464" s="23" t="n">
        <x:v>0.15</x:v>
      </x:c>
      <x:c r="N464" s="8" t="str">
        <x:v>Credit Card</x:v>
      </x:c>
      <x:c r="O464" s="8" t="str">
        <x:v>Completed</x:v>
      </x:c>
    </x:row>
    <x:row r="465">
      <x:c r="A465" s="8" t="str">
        <x:v>ORD-0461</x:v>
      </x:c>
      <x:c r="B465" s="22" t="n">
        <x:v>45954.57136229167</x:v>
      </x:c>
      <x:c r="C465" s="8" t="str">
        <x:v>CUS-016</x:v>
      </x:c>
      <x:c r="D465" s="8" t="str">
        <x:v>Pooja Saxena</x:v>
      </x:c>
      <x:c r="E465" s="8" t="str">
        <x:v>Consumer</x:v>
      </x:c>
      <x:c r="F465" s="8" t="str">
        <x:v>Chennai</x:v>
      </x:c>
      <x:c r="G465" s="8" t="str">
        <x:v>South</x:v>
      </x:c>
      <x:c r="H465" s="8" t="str">
        <x:v>PRD-003</x:v>
      </x:c>
      <x:c r="I465" s="8" t="str">
        <x:v>USB-C Hub</x:v>
      </x:c>
      <x:c r="J465" s="8" t="str">
        <x:v>Electronics</x:v>
      </x:c>
      <x:c r="K465" s="8" t="n">
        <x:v>4</x:v>
      </x:c>
      <x:c r="L465" s="9" t="n">
        <x:v>1899</x:v>
      </x:c>
      <x:c r="M465" s="23" t="n">
        <x:v>0</x:v>
      </x:c>
      <x:c r="N465" s="8" t="str">
        <x:v>UPI</x:v>
      </x:c>
      <x:c r="O465" s="8" t="str">
        <x:v>Completed</x:v>
      </x:c>
    </x:row>
    <x:row r="466">
      <x:c r="A466" s="8" t="str">
        <x:v>ORD-0462</x:v>
      </x:c>
      <x:c r="B466" s="22" t="n">
        <x:v>45978.32732357639</x:v>
      </x:c>
      <x:c r="C466" s="8" t="str">
        <x:v>CUS-008</x:v>
      </x:c>
      <x:c r="D466" s="8" t="str">
        <x:v>Meera Nair</x:v>
      </x:c>
      <x:c r="E466" s="8" t="str">
        <x:v>Corporate</x:v>
      </x:c>
      <x:c r="F466" s="8" t="str">
        <x:v>Jaipur</x:v>
      </x:c>
      <x:c r="G466" s="8" t="str">
        <x:v>North</x:v>
      </x:c>
      <x:c r="H466" s="8" t="str">
        <x:v>PRD-003</x:v>
      </x:c>
      <x:c r="I466" s="8" t="str">
        <x:v>USB-C Hub</x:v>
      </x:c>
      <x:c r="J466" s="8" t="str">
        <x:v>Electronics</x:v>
      </x:c>
      <x:c r="K466" s="8" t="n">
        <x:v>5</x:v>
      </x:c>
      <x:c r="L466" s="9" t="n">
        <x:v>1899</x:v>
      </x:c>
      <x:c r="M466" s="23" t="n">
        <x:v>0.1</x:v>
      </x:c>
      <x:c r="N466" s="8" t="str">
        <x:v>Debit Card</x:v>
      </x:c>
      <x:c r="O466" s="8" t="str">
        <x:v>Completed</x:v>
      </x:c>
    </x:row>
    <x:row r="467">
      <x:c r="A467" s="8" t="str">
        <x:v>ORD-0463</x:v>
      </x:c>
      <x:c r="B467" s="22" t="n">
        <x:v>45920.47319967593</x:v>
      </x:c>
      <x:c r="C467" s="8" t="str">
        <x:v>CUS-042</x:v>
      </x:c>
      <x:c r="D467" s="8" t="str">
        <x:v>Diya Patel 3</x:v>
      </x:c>
      <x:c r="E467" s="8" t="str">
        <x:v>Small Business</x:v>
      </x:c>
      <x:c r="F467" s="8" t="str">
        <x:v>Kolkata</x:v>
      </x:c>
      <x:c r="G467" s="8" t="str">
        <x:v>East</x:v>
      </x:c>
      <x:c r="H467" s="8" t="str">
        <x:v>PRD-006</x:v>
      </x:c>
      <x:c r="I467" s="8" t="str">
        <x:v>Desk Organiser</x:v>
      </x:c>
      <x:c r="J467" s="8" t="str">
        <x:v>Office Supplies</x:v>
      </x:c>
      <x:c r="K467" s="8" t="n">
        <x:v>2</x:v>
      </x:c>
      <x:c r="L467" s="9" t="n">
        <x:v>699</x:v>
      </x:c>
      <x:c r="M467" s="23" t="n">
        <x:v>0.15</x:v>
      </x:c>
      <x:c r="N467" s="8" t="str">
        <x:v>Net Banking</x:v>
      </x:c>
      <x:c r="O467" s="8" t="str">
        <x:v>Completed</x:v>
      </x:c>
    </x:row>
    <x:row r="468">
      <x:c r="A468" s="8" t="str">
        <x:v>ORD-0464</x:v>
      </x:c>
      <x:c r="B468" s="22" t="n">
        <x:v>45967.05180166667</x:v>
      </x:c>
      <x:c r="C468" s="8" t="str">
        <x:v>CUS-024</x:v>
      </x:c>
      <x:c r="D468" s="8" t="str">
        <x:v>Ananya Gupta 2</x:v>
      </x:c>
      <x:c r="E468" s="8" t="str">
        <x:v>Small Business</x:v>
      </x:c>
      <x:c r="F468" s="8" t="str">
        <x:v>Pune</x:v>
      </x:c>
      <x:c r="G468" s="8" t="str">
        <x:v>West</x:v>
      </x:c>
      <x:c r="H468" s="8" t="str">
        <x:v>PRD-005</x:v>
      </x:c>
      <x:c r="I468" s="8" t="str">
        <x:v>Executive Notebook</x:v>
      </x:c>
      <x:c r="J468" s="8" t="str">
        <x:v>Office Supplies</x:v>
      </x:c>
      <x:c r="K468" s="8" t="n">
        <x:v>4</x:v>
      </x:c>
      <x:c r="L468" s="9" t="n">
        <x:v>349</x:v>
      </x:c>
      <x:c r="M468" s="23" t="n">
        <x:v>0</x:v>
      </x:c>
      <x:c r="N468" s="8" t="str">
        <x:v>Net Banking</x:v>
      </x:c>
      <x:c r="O468" s="8" t="str">
        <x:v>Cancelled</x:v>
      </x:c>
    </x:row>
    <x:row r="469">
      <x:c r="A469" s="8" t="str">
        <x:v>ORD-0465</x:v>
      </x:c>
      <x:c r="B469" s="22" t="n">
        <x:v>45702.88916918982</x:v>
      </x:c>
      <x:c r="C469" s="8" t="str">
        <x:v>CUS-022</x:v>
      </x:c>
      <x:c r="D469" s="8" t="str">
        <x:v>Diya Patel 2</x:v>
      </x:c>
      <x:c r="E469" s="8" t="str">
        <x:v>Consumer</x:v>
      </x:c>
      <x:c r="F469" s="8" t="str">
        <x:v>Delhi</x:v>
      </x:c>
      <x:c r="G469" s="8" t="str">
        <x:v>North</x:v>
      </x:c>
      <x:c r="H469" s="8" t="str">
        <x:v>PRD-002</x:v>
      </x:c>
      <x:c r="I469" s="8" t="str">
        <x:v>Bluetooth Headphones</x:v>
      </x:c>
      <x:c r="J469" s="8" t="str">
        <x:v>Electronics</x:v>
      </x:c>
      <x:c r="K469" s="8" t="n">
        <x:v>5</x:v>
      </x:c>
      <x:c r="L469" s="9" t="n">
        <x:v>2499</x:v>
      </x:c>
      <x:c r="M469" s="23" t="n">
        <x:v>0.2</x:v>
      </x:c>
      <x:c r="N469" s="8" t="str">
        <x:v>UPI</x:v>
      </x:c>
      <x:c r="O469" s="8" t="str">
        <x:v>Completed</x:v>
      </x:c>
    </x:row>
    <x:row r="470">
      <x:c r="A470" s="8" t="str">
        <x:v>ORD-0466</x:v>
      </x:c>
      <x:c r="B470" s="22" t="n">
        <x:v>45978.190844571756</x:v>
      </x:c>
      <x:c r="C470" s="8" t="str">
        <x:v>CUS-029</x:v>
      </x:c>
      <x:c r="D470" s="8" t="str">
        <x:v>Rohan Das 2</x:v>
      </x:c>
      <x:c r="E470" s="8" t="str">
        <x:v>Corporate</x:v>
      </x:c>
      <x:c r="F470" s="8" t="str">
        <x:v>Jaipur</x:v>
      </x:c>
      <x:c r="G470" s="8" t="str">
        <x:v>North</x:v>
      </x:c>
      <x:c r="H470" s="8" t="str">
        <x:v>PRD-012</x:v>
      </x:c>
      <x:c r="I470" s="8" t="str">
        <x:v>Stainless Water Bottle</x:v>
      </x:c>
      <x:c r="J470" s="8" t="str">
        <x:v>Lifestyle</x:v>
      </x:c>
      <x:c r="K470" s="8" t="n">
        <x:v>2</x:v>
      </x:c>
      <x:c r="L470" s="9" t="n">
        <x:v>799</x:v>
      </x:c>
      <x:c r="M470" s="23" t="n">
        <x:v>0</x:v>
      </x:c>
      <x:c r="N470" s="8" t="str">
        <x:v>Cash on Delivery</x:v>
      </x:c>
      <x:c r="O470" s="8" t="str">
        <x:v>Returned</x:v>
      </x:c>
    </x:row>
    <x:row r="471">
      <x:c r="A471" s="8" t="str">
        <x:v>ORD-0467</x:v>
      </x:c>
      <x:c r="B471" s="22" t="n">
        <x:v>45679.01905613426</x:v>
      </x:c>
      <x:c r="C471" s="8" t="str">
        <x:v>CUS-001</x:v>
      </x:c>
      <x:c r="D471" s="8" t="str">
        <x:v>Aarav Sharma</x:v>
      </x:c>
      <x:c r="E471" s="8" t="str">
        <x:v>Consumer</x:v>
      </x:c>
      <x:c r="F471" s="8" t="str">
        <x:v>Lucknow</x:v>
      </x:c>
      <x:c r="G471" s="8" t="str">
        <x:v>North</x:v>
      </x:c>
      <x:c r="H471" s="8" t="str">
        <x:v>PRD-007</x:v>
      </x:c>
      <x:c r="I471" s="8" t="str">
        <x:v>Electric Kettle</x:v>
      </x:c>
      <x:c r="J471" s="8" t="str">
        <x:v>Home &amp; Kitchen</x:v>
      </x:c>
      <x:c r="K471" s="8" t="n">
        <x:v>5</x:v>
      </x:c>
      <x:c r="L471" s="9" t="n">
        <x:v>1699</x:v>
      </x:c>
      <x:c r="M471" s="23" t="n">
        <x:v>0.1</x:v>
      </x:c>
      <x:c r="N471" s="8" t="str">
        <x:v>Credit Card</x:v>
      </x:c>
      <x:c r="O471" s="8" t="str">
        <x:v>Cancelled</x:v>
      </x:c>
    </x:row>
    <x:row r="472">
      <x:c r="A472" s="8" t="str">
        <x:v>ORD-0468</x:v>
      </x:c>
      <x:c r="B472" s="22" t="n">
        <x:v>45796.92801332176</x:v>
      </x:c>
      <x:c r="C472" s="8" t="str">
        <x:v>CUS-064</x:v>
      </x:c>
      <x:c r="D472" s="8" t="str">
        <x:v>Ananya Gupta 4</x:v>
      </x:c>
      <x:c r="E472" s="8" t="str">
        <x:v>Consumer</x:v>
      </x:c>
      <x:c r="F472" s="8" t="str">
        <x:v>Hyderabad</x:v>
      </x:c>
      <x:c r="G472" s="8" t="str">
        <x:v>South</x:v>
      </x:c>
      <x:c r="H472" s="8" t="str">
        <x:v>PRD-001</x:v>
      </x:c>
      <x:c r="I472" s="8" t="str">
        <x:v>Wireless Mouse</x:v>
      </x:c>
      <x:c r="J472" s="8" t="str">
        <x:v>Electronics</x:v>
      </x:c>
      <x:c r="K472" s="8" t="n">
        <x:v>2</x:v>
      </x:c>
      <x:c r="L472" s="9" t="n">
        <x:v>899</x:v>
      </x:c>
      <x:c r="M472" s="23" t="n">
        <x:v>0</x:v>
      </x:c>
      <x:c r="N472" s="8" t="str">
        <x:v>Net Banking</x:v>
      </x:c>
      <x:c r="O472" s="8" t="str">
        <x:v>Completed</x:v>
      </x:c>
    </x:row>
    <x:row r="473">
      <x:c r="A473" s="8" t="str">
        <x:v>ORD-0469</x:v>
      </x:c>
      <x:c r="B473" s="22" t="n">
        <x:v>45908.88976211806</x:v>
      </x:c>
      <x:c r="C473" s="8" t="str">
        <x:v>CUS-072</x:v>
      </x:c>
      <x:c r="D473" s="8" t="str">
        <x:v>Priya Kapoor 4</x:v>
      </x:c>
      <x:c r="E473" s="8" t="str">
        <x:v>Small Business</x:v>
      </x:c>
      <x:c r="F473" s="8" t="str">
        <x:v>Bengaluru</x:v>
      </x:c>
      <x:c r="G473" s="8" t="str">
        <x:v>South</x:v>
      </x:c>
      <x:c r="H473" s="8" t="str">
        <x:v>PRD-001</x:v>
      </x:c>
      <x:c r="I473" s="8" t="str">
        <x:v>Wireless Mouse</x:v>
      </x:c>
      <x:c r="J473" s="8" t="str">
        <x:v>Electronics</x:v>
      </x:c>
      <x:c r="K473" s="8" t="n">
        <x:v>2</x:v>
      </x:c>
      <x:c r="L473" s="9" t="n">
        <x:v>899</x:v>
      </x:c>
      <x:c r="M473" s="23" t="n">
        <x:v>0</x:v>
      </x:c>
      <x:c r="N473" s="8" t="str">
        <x:v>UPI</x:v>
      </x:c>
      <x:c r="O473" s="8" t="str">
        <x:v>Completed</x:v>
      </x:c>
    </x:row>
    <x:row r="474">
      <x:c r="A474" s="8" t="str">
        <x:v>ORD-0470</x:v>
      </x:c>
      <x:c r="B474" s="22" t="n">
        <x:v>45983.41567483796</x:v>
      </x:c>
      <x:c r="C474" s="8" t="str">
        <x:v>CUS-080</x:v>
      </x:c>
      <x:c r="D474" s="8" t="str">
        <x:v>Kavya Reddy 4</x:v>
      </x:c>
      <x:c r="E474" s="8" t="str">
        <x:v>Corporate</x:v>
      </x:c>
      <x:c r="F474" s="8" t="str">
        <x:v>Lucknow</x:v>
      </x:c>
      <x:c r="G474" s="8" t="str">
        <x:v>North</x:v>
      </x:c>
      <x:c r="H474" s="8" t="str">
        <x:v>PRD-012</x:v>
      </x:c>
      <x:c r="I474" s="8" t="str">
        <x:v>Stainless Water Bottle</x:v>
      </x:c>
      <x:c r="J474" s="8" t="str">
        <x:v>Lifestyle</x:v>
      </x:c>
      <x:c r="K474" s="8" t="n">
        <x:v>1</x:v>
      </x:c>
      <x:c r="L474" s="9" t="n">
        <x:v>799</x:v>
      </x:c>
      <x:c r="M474" s="23" t="n">
        <x:v>0.15</x:v>
      </x:c>
      <x:c r="N474" s="8" t="str">
        <x:v>Credit Card</x:v>
      </x:c>
      <x:c r="O474" s="8" t="str">
        <x:v>Returned</x:v>
      </x:c>
    </x:row>
    <x:row r="475">
      <x:c r="A475" s="8" t="str">
        <x:v>ORD-0471</x:v>
      </x:c>
      <x:c r="B475" s="22" t="n">
        <x:v>45857.67047081018</x:v>
      </x:c>
      <x:c r="C475" s="8" t="str">
        <x:v>CUS-010</x:v>
      </x:c>
      <x:c r="D475" s="8" t="str">
        <x:v>Saanvi Iyer</x:v>
      </x:c>
      <x:c r="E475" s="8" t="str">
        <x:v>Consumer</x:v>
      </x:c>
      <x:c r="F475" s="8" t="str">
        <x:v>Kolkata</x:v>
      </x:c>
      <x:c r="G475" s="8" t="str">
        <x:v>East</x:v>
      </x:c>
      <x:c r="H475" s="8" t="str">
        <x:v>PRD-007</x:v>
      </x:c>
      <x:c r="I475" s="8" t="str">
        <x:v>Electric Kettle</x:v>
      </x:c>
      <x:c r="J475" s="8" t="str">
        <x:v>Home &amp; Kitchen</x:v>
      </x:c>
      <x:c r="K475" s="8" t="n">
        <x:v>5</x:v>
      </x:c>
      <x:c r="L475" s="9" t="n">
        <x:v>1699</x:v>
      </x:c>
      <x:c r="M475" s="23" t="n">
        <x:v>0.1</x:v>
      </x:c>
      <x:c r="N475" s="8" t="str">
        <x:v>Cash on Delivery</x:v>
      </x:c>
      <x:c r="O475" s="8" t="str">
        <x:v>Completed</x:v>
      </x:c>
    </x:row>
    <x:row r="476">
      <x:c r="A476" s="8" t="str">
        <x:v>ORD-0472</x:v>
      </x:c>
      <x:c r="B476" s="22" t="n">
        <x:v>45738.99335311342</x:v>
      </x:c>
      <x:c r="C476" s="8" t="str">
        <x:v>CUS-078</x:v>
      </x:c>
      <x:c r="D476" s="8" t="str">
        <x:v>Nisha Bansal 4</x:v>
      </x:c>
      <x:c r="E476" s="8" t="str">
        <x:v>Small Business</x:v>
      </x:c>
      <x:c r="F476" s="8" t="str">
        <x:v>Lucknow</x:v>
      </x:c>
      <x:c r="G476" s="8" t="str">
        <x:v>North</x:v>
      </x:c>
      <x:c r="H476" s="8" t="str">
        <x:v>PRD-007</x:v>
      </x:c>
      <x:c r="I476" s="8" t="str">
        <x:v>Electric Kettle</x:v>
      </x:c>
      <x:c r="J476" s="8" t="str">
        <x:v>Home &amp; Kitchen</x:v>
      </x:c>
      <x:c r="K476" s="8" t="n">
        <x:v>5</x:v>
      </x:c>
      <x:c r="L476" s="9" t="n">
        <x:v>1699</x:v>
      </x:c>
      <x:c r="M476" s="23" t="n">
        <x:v>0</x:v>
      </x:c>
      <x:c r="N476" s="8" t="str">
        <x:v>Debit Card</x:v>
      </x:c>
      <x:c r="O476" s="8" t="str">
        <x:v>Cancelled</x:v>
      </x:c>
    </x:row>
    <x:row r="477">
      <x:c r="A477" s="8" t="str">
        <x:v>ORD-0473</x:v>
      </x:c>
      <x:c r="B477" s="22" t="n">
        <x:v>45920.73778256944</x:v>
      </x:c>
      <x:c r="C477" s="8" t="str">
        <x:v>CUS-048</x:v>
      </x:c>
      <x:c r="D477" s="8" t="str">
        <x:v>Meera Nair 3</x:v>
      </x:c>
      <x:c r="E477" s="8" t="str">
        <x:v>Small Business</x:v>
      </x:c>
      <x:c r="F477" s="8" t="str">
        <x:v>Hyderabad</x:v>
      </x:c>
      <x:c r="G477" s="8" t="str">
        <x:v>South</x:v>
      </x:c>
      <x:c r="H477" s="8" t="str">
        <x:v>PRD-004</x:v>
      </x:c>
      <x:c r="I477" s="8" t="str">
        <x:v>Laptop Stand</x:v>
      </x:c>
      <x:c r="J477" s="8" t="str">
        <x:v>Office Supplies</x:v>
      </x:c>
      <x:c r="K477" s="8" t="n">
        <x:v>2</x:v>
      </x:c>
      <x:c r="L477" s="9" t="n">
        <x:v>1299</x:v>
      </x:c>
      <x:c r="M477" s="23" t="n">
        <x:v>0</x:v>
      </x:c>
      <x:c r="N477" s="8" t="str">
        <x:v>UPI</x:v>
      </x:c>
      <x:c r="O477" s="8" t="str">
        <x:v>Completed</x:v>
      </x:c>
    </x:row>
    <x:row r="478">
      <x:c r="A478" s="8" t="str">
        <x:v>ORD-0474</x:v>
      </x:c>
      <x:c r="B478" s="22" t="n">
        <x:v>46007.84767791667</x:v>
      </x:c>
      <x:c r="C478" s="8" t="str">
        <x:v>CUS-010</x:v>
      </x:c>
      <x:c r="D478" s="8" t="str">
        <x:v>Saanvi Iyer</x:v>
      </x:c>
      <x:c r="E478" s="8" t="str">
        <x:v>Consumer</x:v>
      </x:c>
      <x:c r="F478" s="8" t="str">
        <x:v>Lucknow</x:v>
      </x:c>
      <x:c r="G478" s="8" t="str">
        <x:v>North</x:v>
      </x:c>
      <x:c r="H478" s="8" t="str">
        <x:v>PRD-003</x:v>
      </x:c>
      <x:c r="I478" s="8" t="str">
        <x:v>USB-C Hub</x:v>
      </x:c>
      <x:c r="J478" s="8" t="str">
        <x:v>Electronics</x:v>
      </x:c>
      <x:c r="K478" s="8" t="n">
        <x:v>3</x:v>
      </x:c>
      <x:c r="L478" s="9" t="n">
        <x:v>1899</x:v>
      </x:c>
      <x:c r="M478" s="23" t="n">
        <x:v>0.2</x:v>
      </x:c>
      <x:c r="N478" s="8" t="str">
        <x:v>UPI</x:v>
      </x:c>
      <x:c r="O478" s="8" t="str">
        <x:v>Completed</x:v>
      </x:c>
    </x:row>
    <x:row r="479">
      <x:c r="A479" s="8" t="str">
        <x:v>ORD-0475</x:v>
      </x:c>
      <x:c r="B479" s="22" t="n">
        <x:v>45913.50091236111</x:v>
      </x:c>
      <x:c r="C479" s="8" t="str">
        <x:v>CUS-030</x:v>
      </x:c>
      <x:c r="D479" s="8" t="str">
        <x:v>Saanvi Iyer 2</x:v>
      </x:c>
      <x:c r="E479" s="8" t="str">
        <x:v>Small Business</x:v>
      </x:c>
      <x:c r="F479" s="8" t="str">
        <x:v>Hyderabad</x:v>
      </x:c>
      <x:c r="G479" s="8" t="str">
        <x:v>South</x:v>
      </x:c>
      <x:c r="H479" s="8" t="str">
        <x:v>PRD-008</x:v>
      </x:c>
      <x:c r="I479" s="8" t="str">
        <x:v>Storage Container Set</x:v>
      </x:c>
      <x:c r="J479" s="8" t="str">
        <x:v>Home &amp; Kitchen</x:v>
      </x:c>
      <x:c r="K479" s="8" t="n">
        <x:v>1</x:v>
      </x:c>
      <x:c r="L479" s="9" t="n">
        <x:v>999</x:v>
      </x:c>
      <x:c r="M479" s="23" t="n">
        <x:v>0</x:v>
      </x:c>
      <x:c r="N479" s="8" t="str">
        <x:v>Net Banking</x:v>
      </x:c>
      <x:c r="O479" s="8" t="str">
        <x:v>Completed</x:v>
      </x:c>
    </x:row>
    <x:row r="480">
      <x:c r="A480" s="8" t="str">
        <x:v>ORD-0476</x:v>
      </x:c>
      <x:c r="B480" s="22" t="n">
        <x:v>45818.93466549768</x:v>
      </x:c>
      <x:c r="C480" s="8" t="str">
        <x:v>CUS-066</x:v>
      </x:c>
      <x:c r="D480" s="8" t="str">
        <x:v>Isha Mehta 4</x:v>
      </x:c>
      <x:c r="E480" s="8" t="str">
        <x:v>Small Business</x:v>
      </x:c>
      <x:c r="F480" s="8" t="str">
        <x:v>Delhi</x:v>
      </x:c>
      <x:c r="G480" s="8" t="str">
        <x:v>North</x:v>
      </x:c>
      <x:c r="H480" s="8" t="str">
        <x:v>PRD-010</x:v>
      </x:c>
      <x:c r="I480" s="8" t="str">
        <x:v>Travel Backpack</x:v>
      </x:c>
      <x:c r="J480" s="8" t="str">
        <x:v>Fashion</x:v>
      </x:c>
      <x:c r="K480" s="8" t="n">
        <x:v>3</x:v>
      </x:c>
      <x:c r="L480" s="9" t="n">
        <x:v>2199</x:v>
      </x:c>
      <x:c r="M480" s="23" t="n">
        <x:v>0.05</x:v>
      </x:c>
      <x:c r="N480" s="8" t="str">
        <x:v>Cash on Delivery</x:v>
      </x:c>
      <x:c r="O480" s="8" t="str">
        <x:v>Completed</x:v>
      </x:c>
    </x:row>
    <x:row r="481">
      <x:c r="A481" s="8" t="str">
        <x:v>ORD-0477</x:v>
      </x:c>
      <x:c r="B481" s="22" t="n">
        <x:v>45986.13120391204</x:v>
      </x:c>
      <x:c r="C481" s="8" t="str">
        <x:v>CUS-077</x:v>
      </x:c>
      <x:c r="D481" s="8" t="str">
        <x:v>Vikram Yadav 4</x:v>
      </x:c>
      <x:c r="E481" s="8" t="str">
        <x:v>Corporate</x:v>
      </x:c>
      <x:c r="F481" s="8" t="str">
        <x:v>Bengaluru</x:v>
      </x:c>
      <x:c r="G481" s="8" t="str">
        <x:v>South</x:v>
      </x:c>
      <x:c r="H481" s="8" t="str">
        <x:v>PRD-001</x:v>
      </x:c>
      <x:c r="I481" s="8" t="str">
        <x:v>Wireless Mouse</x:v>
      </x:c>
      <x:c r="J481" s="8" t="str">
        <x:v>Electronics</x:v>
      </x:c>
      <x:c r="K481" s="8" t="n">
        <x:v>1</x:v>
      </x:c>
      <x:c r="L481" s="9" t="n">
        <x:v>899</x:v>
      </x:c>
      <x:c r="M481" s="23" t="n">
        <x:v>0.2</x:v>
      </x:c>
      <x:c r="N481" s="8" t="str">
        <x:v>Cash on Delivery</x:v>
      </x:c>
      <x:c r="O481" s="8" t="str">
        <x:v>Completed</x:v>
      </x:c>
    </x:row>
    <x:row r="482">
      <x:c r="A482" s="8" t="str">
        <x:v>ORD-0478</x:v>
      </x:c>
      <x:c r="B482" s="22" t="n">
        <x:v>45786.27476521991</x:v>
      </x:c>
      <x:c r="C482" s="8" t="str">
        <x:v>CUS-005</x:v>
      </x:c>
      <x:c r="D482" s="8" t="str">
        <x:v>Arjun Verma</x:v>
      </x:c>
      <x:c r="E482" s="8" t="str">
        <x:v>Corporate</x:v>
      </x:c>
      <x:c r="F482" s="8" t="str">
        <x:v>Delhi</x:v>
      </x:c>
      <x:c r="G482" s="8" t="str">
        <x:v>North</x:v>
      </x:c>
      <x:c r="H482" s="8" t="str">
        <x:v>PRD-006</x:v>
      </x:c>
      <x:c r="I482" s="8" t="str">
        <x:v>Desk Organiser</x:v>
      </x:c>
      <x:c r="J482" s="8" t="str">
        <x:v>Office Supplies</x:v>
      </x:c>
      <x:c r="K482" s="8" t="n">
        <x:v>1</x:v>
      </x:c>
      <x:c r="L482" s="9" t="n">
        <x:v>699</x:v>
      </x:c>
      <x:c r="M482" s="23" t="n">
        <x:v>0</x:v>
      </x:c>
      <x:c r="N482" s="8" t="str">
        <x:v>Credit Card</x:v>
      </x:c>
      <x:c r="O482" s="8" t="str">
        <x:v>Returned</x:v>
      </x:c>
    </x:row>
    <x:row r="483">
      <x:c r="A483" s="8" t="str">
        <x:v>ORD-0479</x:v>
      </x:c>
      <x:c r="B483" s="22" t="n">
        <x:v>45971.776284583335</x:v>
      </x:c>
      <x:c r="C483" s="8" t="str">
        <x:v>CUS-030</x:v>
      </x:c>
      <x:c r="D483" s="8" t="str">
        <x:v>Saanvi Iyer 2</x:v>
      </x:c>
      <x:c r="E483" s="8" t="str">
        <x:v>Small Business</x:v>
      </x:c>
      <x:c r="F483" s="8" t="str">
        <x:v>Bengaluru</x:v>
      </x:c>
      <x:c r="G483" s="8" t="str">
        <x:v>South</x:v>
      </x:c>
      <x:c r="H483" s="8" t="str">
        <x:v>PRD-008</x:v>
      </x:c>
      <x:c r="I483" s="8" t="str">
        <x:v>Storage Container Set</x:v>
      </x:c>
      <x:c r="J483" s="8" t="str">
        <x:v>Home &amp; Kitchen</x:v>
      </x:c>
      <x:c r="K483" s="8" t="n">
        <x:v>3</x:v>
      </x:c>
      <x:c r="L483" s="9" t="n">
        <x:v>999</x:v>
      </x:c>
      <x:c r="M483" s="23" t="n">
        <x:v>0.15</x:v>
      </x:c>
      <x:c r="N483" s="8" t="str">
        <x:v>Debit Card</x:v>
      </x:c>
      <x:c r="O483" s="8" t="str">
        <x:v>Cancelled</x:v>
      </x:c>
    </x:row>
    <x:row r="484">
      <x:c r="A484" s="8" t="str">
        <x:v>ORD-0480</x:v>
      </x:c>
      <x:c r="B484" s="22" t="n">
        <x:v>46007.33740738426</x:v>
      </x:c>
      <x:c r="C484" s="8" t="str">
        <x:v>CUS-039</x:v>
      </x:c>
      <x:c r="D484" s="8" t="str">
        <x:v>Siddharth Jain 2</x:v>
      </x:c>
      <x:c r="E484" s="8" t="str">
        <x:v>Small Business</x:v>
      </x:c>
      <x:c r="F484" s="8" t="str">
        <x:v>Pune</x:v>
      </x:c>
      <x:c r="G484" s="8" t="str">
        <x:v>West</x:v>
      </x:c>
      <x:c r="H484" s="8" t="str">
        <x:v>PRD-004</x:v>
      </x:c>
      <x:c r="I484" s="8" t="str">
        <x:v>Laptop Stand</x:v>
      </x:c>
      <x:c r="J484" s="8" t="str">
        <x:v>Office Supplies</x:v>
      </x:c>
      <x:c r="K484" s="8" t="n">
        <x:v>3</x:v>
      </x:c>
      <x:c r="L484" s="9" t="n">
        <x:v>1299</x:v>
      </x:c>
      <x:c r="M484" s="23" t="n">
        <x:v>0.15</x:v>
      </x:c>
      <x:c r="N484" s="8" t="str">
        <x:v>Cash on Delivery</x:v>
      </x:c>
      <x:c r="O484" s="8" t="str">
        <x:v>Completed</x:v>
      </x:c>
    </x:row>
    <x:row r="485">
      <x:c r="A485" s="8" t="str">
        <x:v>ORD-0481</x:v>
      </x:c>
      <x:c r="B485" s="22" t="n">
        <x:v>45949.668188599535</x:v>
      </x:c>
      <x:c r="C485" s="8" t="str">
        <x:v>CUS-018</x:v>
      </x:c>
      <x:c r="D485" s="8" t="str">
        <x:v>Nisha Bansal</x:v>
      </x:c>
      <x:c r="E485" s="8" t="str">
        <x:v>Small Business</x:v>
      </x:c>
      <x:c r="F485" s="8" t="str">
        <x:v>Chennai</x:v>
      </x:c>
      <x:c r="G485" s="8" t="str">
        <x:v>South</x:v>
      </x:c>
      <x:c r="H485" s="8" t="str">
        <x:v>PRD-009</x:v>
      </x:c>
      <x:c r="I485" s="8" t="str">
        <x:v>Table Lamp</x:v>
      </x:c>
      <x:c r="J485" s="8" t="str">
        <x:v>Home &amp; Kitchen</x:v>
      </x:c>
      <x:c r="K485" s="8" t="n">
        <x:v>3</x:v>
      </x:c>
      <x:c r="L485" s="9" t="n">
        <x:v>1499</x:v>
      </x:c>
      <x:c r="M485" s="23" t="n">
        <x:v>0.2</x:v>
      </x:c>
      <x:c r="N485" s="8" t="str">
        <x:v>Net Banking</x:v>
      </x:c>
      <x:c r="O485" s="8" t="str">
        <x:v>Cancelled</x:v>
      </x:c>
    </x:row>
    <x:row r="486">
      <x:c r="A486" s="8" t="str">
        <x:v>ORD-0482</x:v>
      </x:c>
      <x:c r="B486" s="22" t="n">
        <x:v>45777.82018606481</x:v>
      </x:c>
      <x:c r="C486" s="8" t="str">
        <x:v>CUS-030</x:v>
      </x:c>
      <x:c r="D486" s="8" t="str">
        <x:v>Saanvi Iyer 2</x:v>
      </x:c>
      <x:c r="E486" s="8" t="str">
        <x:v>Small Business</x:v>
      </x:c>
      <x:c r="F486" s="8" t="str">
        <x:v>Lucknow</x:v>
      </x:c>
      <x:c r="G486" s="8" t="str">
        <x:v>North</x:v>
      </x:c>
      <x:c r="H486" s="8" t="str">
        <x:v>PRD-008</x:v>
      </x:c>
      <x:c r="I486" s="8" t="str">
        <x:v>Storage Container Set</x:v>
      </x:c>
      <x:c r="J486" s="8" t="str">
        <x:v>Home &amp; Kitchen</x:v>
      </x:c>
      <x:c r="K486" s="8" t="n">
        <x:v>3</x:v>
      </x:c>
      <x:c r="L486" s="9" t="n">
        <x:v>999</x:v>
      </x:c>
      <x:c r="M486" s="23" t="n">
        <x:v>0</x:v>
      </x:c>
      <x:c r="N486" s="8" t="str">
        <x:v>Cash on Delivery</x:v>
      </x:c>
      <x:c r="O486" s="8" t="str">
        <x:v>Cancelled</x:v>
      </x:c>
    </x:row>
    <x:row r="487">
      <x:c r="A487" s="8" t="str">
        <x:v>ORD-0483</x:v>
      </x:c>
      <x:c r="B487" s="22" t="n">
        <x:v>45959.88739945602</x:v>
      </x:c>
      <x:c r="C487" s="8" t="str">
        <x:v>CUS-048</x:v>
      </x:c>
      <x:c r="D487" s="8" t="str">
        <x:v>Meera Nair 3</x:v>
      </x:c>
      <x:c r="E487" s="8" t="str">
        <x:v>Small Business</x:v>
      </x:c>
      <x:c r="F487" s="8" t="str">
        <x:v>Kolkata</x:v>
      </x:c>
      <x:c r="G487" s="8" t="str">
        <x:v>East</x:v>
      </x:c>
      <x:c r="H487" s="8" t="str">
        <x:v>PRD-006</x:v>
      </x:c>
      <x:c r="I487" s="8" t="str">
        <x:v>Desk Organiser</x:v>
      </x:c>
      <x:c r="J487" s="8" t="str">
        <x:v>Office Supplies</x:v>
      </x:c>
      <x:c r="K487" s="8" t="n">
        <x:v>5</x:v>
      </x:c>
      <x:c r="L487" s="9" t="n">
        <x:v>699</x:v>
      </x:c>
      <x:c r="M487" s="23" t="n">
        <x:v>0.05</x:v>
      </x:c>
      <x:c r="N487" s="8" t="str">
        <x:v>Debit Card</x:v>
      </x:c>
      <x:c r="O487" s="8" t="str">
        <x:v>Cancelled</x:v>
      </x:c>
    </x:row>
    <x:row r="488">
      <x:c r="A488" s="8" t="str">
        <x:v>ORD-0484</x:v>
      </x:c>
      <x:c r="B488" s="22" t="n">
        <x:v>45981.813826018515</x:v>
      </x:c>
      <x:c r="C488" s="8" t="str">
        <x:v>CUS-020</x:v>
      </x:c>
      <x:c r="D488" s="8" t="str">
        <x:v>Kavya Reddy</x:v>
      </x:c>
      <x:c r="E488" s="8" t="str">
        <x:v>Corporate</x:v>
      </x:c>
      <x:c r="F488" s="8" t="str">
        <x:v>Lucknow</x:v>
      </x:c>
      <x:c r="G488" s="8" t="str">
        <x:v>North</x:v>
      </x:c>
      <x:c r="H488" s="8" t="str">
        <x:v>PRD-004</x:v>
      </x:c>
      <x:c r="I488" s="8" t="str">
        <x:v>Laptop Stand</x:v>
      </x:c>
      <x:c r="J488" s="8" t="str">
        <x:v>Office Supplies</x:v>
      </x:c>
      <x:c r="K488" s="8" t="n">
        <x:v>2</x:v>
      </x:c>
      <x:c r="L488" s="9" t="n">
        <x:v>1299</x:v>
      </x:c>
      <x:c r="M488" s="23" t="n">
        <x:v>0</x:v>
      </x:c>
      <x:c r="N488" s="8" t="str">
        <x:v>Cash on Delivery</x:v>
      </x:c>
      <x:c r="O488" s="8" t="str">
        <x:v>Cancelled</x:v>
      </x:c>
    </x:row>
    <x:row r="489">
      <x:c r="A489" s="8" t="str">
        <x:v>ORD-0485</x:v>
      </x:c>
      <x:c r="B489" s="22" t="n">
        <x:v>45734.94285925926</x:v>
      </x:c>
      <x:c r="C489" s="8" t="str">
        <x:v>CUS-009</x:v>
      </x:c>
      <x:c r="D489" s="8" t="str">
        <x:v>Rohan Das</x:v>
      </x:c>
      <x:c r="E489" s="8" t="str">
        <x:v>Small Business</x:v>
      </x:c>
      <x:c r="F489" s="8" t="str">
        <x:v>Lucknow</x:v>
      </x:c>
      <x:c r="G489" s="8" t="str">
        <x:v>North</x:v>
      </x:c>
      <x:c r="H489" s="8" t="str">
        <x:v>PRD-006</x:v>
      </x:c>
      <x:c r="I489" s="8" t="str">
        <x:v>Desk Organiser</x:v>
      </x:c>
      <x:c r="J489" s="8" t="str">
        <x:v>Office Supplies</x:v>
      </x:c>
      <x:c r="K489" s="8" t="n">
        <x:v>2</x:v>
      </x:c>
      <x:c r="L489" s="9" t="n">
        <x:v>699</x:v>
      </x:c>
      <x:c r="M489" s="23" t="n">
        <x:v>0.1</x:v>
      </x:c>
      <x:c r="N489" s="8" t="str">
        <x:v>Net Banking</x:v>
      </x:c>
      <x:c r="O489" s="8" t="str">
        <x:v>Completed</x:v>
      </x:c>
    </x:row>
    <x:row r="490">
      <x:c r="A490" s="8" t="str">
        <x:v>ORD-0486</x:v>
      </x:c>
      <x:c r="B490" s="22" t="n">
        <x:v>45924.08258886574</x:v>
      </x:c>
      <x:c r="C490" s="8" t="str">
        <x:v>CUS-031</x:v>
      </x:c>
      <x:c r="D490" s="8" t="str">
        <x:v>Aditya Joshi 2</x:v>
      </x:c>
      <x:c r="E490" s="8" t="str">
        <x:v>Consumer</x:v>
      </x:c>
      <x:c r="F490" s="8" t="str">
        <x:v>Kolkata</x:v>
      </x:c>
      <x:c r="G490" s="8" t="str">
        <x:v>East</x:v>
      </x:c>
      <x:c r="H490" s="8" t="str">
        <x:v>PRD-003</x:v>
      </x:c>
      <x:c r="I490" s="8" t="str">
        <x:v>USB-C Hub</x:v>
      </x:c>
      <x:c r="J490" s="8" t="str">
        <x:v>Electronics</x:v>
      </x:c>
      <x:c r="K490" s="8" t="n">
        <x:v>4</x:v>
      </x:c>
      <x:c r="L490" s="9" t="n">
        <x:v>1899</x:v>
      </x:c>
      <x:c r="M490" s="23" t="n">
        <x:v>0.1</x:v>
      </x:c>
      <x:c r="N490" s="8" t="str">
        <x:v>Debit Card</x:v>
      </x:c>
      <x:c r="O490" s="8" t="str">
        <x:v>Completed</x:v>
      </x:c>
    </x:row>
    <x:row r="491">
      <x:c r="A491" s="8" t="str">
        <x:v>ORD-0487</x:v>
      </x:c>
      <x:c r="B491" s="22" t="n">
        <x:v>45702.48446548611</x:v>
      </x:c>
      <x:c r="C491" s="8" t="str">
        <x:v>CUS-026</x:v>
      </x:c>
      <x:c r="D491" s="8" t="str">
        <x:v>Isha Mehta 2</x:v>
      </x:c>
      <x:c r="E491" s="8" t="str">
        <x:v>Corporate</x:v>
      </x:c>
      <x:c r="F491" s="8" t="str">
        <x:v>Bengaluru</x:v>
      </x:c>
      <x:c r="G491" s="8" t="str">
        <x:v>South</x:v>
      </x:c>
      <x:c r="H491" s="8" t="str">
        <x:v>PRD-002</x:v>
      </x:c>
      <x:c r="I491" s="8" t="str">
        <x:v>Bluetooth Headphones</x:v>
      </x:c>
      <x:c r="J491" s="8" t="str">
        <x:v>Electronics</x:v>
      </x:c>
      <x:c r="K491" s="8" t="n">
        <x:v>5</x:v>
      </x:c>
      <x:c r="L491" s="9" t="n">
        <x:v>2499</x:v>
      </x:c>
      <x:c r="M491" s="23" t="n">
        <x:v>0.1</x:v>
      </x:c>
      <x:c r="N491" s="8" t="str">
        <x:v>Cash on Delivery</x:v>
      </x:c>
      <x:c r="O491" s="8" t="str">
        <x:v>Returned</x:v>
      </x:c>
    </x:row>
    <x:row r="492">
      <x:c r="A492" s="8" t="str">
        <x:v>ORD-0488</x:v>
      </x:c>
      <x:c r="B492" s="22" t="n">
        <x:v>45849.94106324074</x:v>
      </x:c>
      <x:c r="C492" s="8" t="str">
        <x:v>CUS-030</x:v>
      </x:c>
      <x:c r="D492" s="8" t="str">
        <x:v>Saanvi Iyer 2</x:v>
      </x:c>
      <x:c r="E492" s="8" t="str">
        <x:v>Small Business</x:v>
      </x:c>
      <x:c r="F492" s="8" t="str">
        <x:v>Delhi</x:v>
      </x:c>
      <x:c r="G492" s="8" t="str">
        <x:v>North</x:v>
      </x:c>
      <x:c r="H492" s="8" t="str">
        <x:v>PRD-003</x:v>
      </x:c>
      <x:c r="I492" s="8" t="str">
        <x:v>USB-C Hub</x:v>
      </x:c>
      <x:c r="J492" s="8" t="str">
        <x:v>Electronics</x:v>
      </x:c>
      <x:c r="K492" s="8" t="n">
        <x:v>3</x:v>
      </x:c>
      <x:c r="L492" s="9" t="n">
        <x:v>1899</x:v>
      </x:c>
      <x:c r="M492" s="23" t="n">
        <x:v>0</x:v>
      </x:c>
      <x:c r="N492" s="8" t="str">
        <x:v>Net Banking</x:v>
      </x:c>
      <x:c r="O492" s="8" t="str">
        <x:v>Completed</x:v>
      </x:c>
    </x:row>
    <x:row r="493">
      <x:c r="A493" s="8" t="str">
        <x:v>ORD-0489</x:v>
      </x:c>
      <x:c r="B493" s="22" t="n">
        <x:v>45852.32455304398</x:v>
      </x:c>
      <x:c r="C493" s="8" t="str">
        <x:v>CUS-022</x:v>
      </x:c>
      <x:c r="D493" s="8" t="str">
        <x:v>Diya Patel 2</x:v>
      </x:c>
      <x:c r="E493" s="8" t="str">
        <x:v>Consumer</x:v>
      </x:c>
      <x:c r="F493" s="8" t="str">
        <x:v>Kolkata</x:v>
      </x:c>
      <x:c r="G493" s="8" t="str">
        <x:v>East</x:v>
      </x:c>
      <x:c r="H493" s="8" t="str">
        <x:v>PRD-004</x:v>
      </x:c>
      <x:c r="I493" s="8" t="str">
        <x:v>Laptop Stand</x:v>
      </x:c>
      <x:c r="J493" s="8" t="str">
        <x:v>Office Supplies</x:v>
      </x:c>
      <x:c r="K493" s="8" t="n">
        <x:v>1</x:v>
      </x:c>
      <x:c r="L493" s="9" t="n">
        <x:v>1299</x:v>
      </x:c>
      <x:c r="M493" s="23" t="n">
        <x:v>0.1</x:v>
      </x:c>
      <x:c r="N493" s="8" t="str">
        <x:v>Cash on Delivery</x:v>
      </x:c>
      <x:c r="O493" s="8" t="str">
        <x:v>Completed</x:v>
      </x:c>
    </x:row>
    <x:row r="494">
      <x:c r="A494" s="8" t="str">
        <x:v>ORD-0490</x:v>
      </x:c>
      <x:c r="B494" s="22" t="n">
        <x:v>45759.487573356484</x:v>
      </x:c>
      <x:c r="C494" s="8" t="str">
        <x:v>CUS-046</x:v>
      </x:c>
      <x:c r="D494" s="8" t="str">
        <x:v>Isha Mehta 3</x:v>
      </x:c>
      <x:c r="E494" s="8" t="str">
        <x:v>Consumer</x:v>
      </x:c>
      <x:c r="F494" s="8" t="str">
        <x:v>Chennai</x:v>
      </x:c>
      <x:c r="G494" s="8" t="str">
        <x:v>South</x:v>
      </x:c>
      <x:c r="H494" s="8" t="str">
        <x:v>PRD-002</x:v>
      </x:c>
      <x:c r="I494" s="8" t="str">
        <x:v>Bluetooth Headphones</x:v>
      </x:c>
      <x:c r="J494" s="8" t="str">
        <x:v>Electronics</x:v>
      </x:c>
      <x:c r="K494" s="8" t="n">
        <x:v>3</x:v>
      </x:c>
      <x:c r="L494" s="9" t="n">
        <x:v>2499</x:v>
      </x:c>
      <x:c r="M494" s="23" t="n">
        <x:v>0.15</x:v>
      </x:c>
      <x:c r="N494" s="8" t="str">
        <x:v>Cash on Delivery</x:v>
      </x:c>
      <x:c r="O494" s="8" t="str">
        <x:v>Completed</x:v>
      </x:c>
    </x:row>
    <x:row r="495">
      <x:c r="A495" s="8" t="str">
        <x:v>ORD-0491</x:v>
      </x:c>
      <x:c r="B495" s="22" t="n">
        <x:v>45779.63945386574</x:v>
      </x:c>
      <x:c r="C495" s="8" t="str">
        <x:v>CUS-057</x:v>
      </x:c>
      <x:c r="D495" s="8" t="str">
        <x:v>Vikram Yadav 3</x:v>
      </x:c>
      <x:c r="E495" s="8" t="str">
        <x:v>Small Business</x:v>
      </x:c>
      <x:c r="F495" s="8" t="str">
        <x:v>Pune</x:v>
      </x:c>
      <x:c r="G495" s="8" t="str">
        <x:v>West</x:v>
      </x:c>
      <x:c r="H495" s="8" t="str">
        <x:v>PRD-004</x:v>
      </x:c>
      <x:c r="I495" s="8" t="str">
        <x:v>Laptop Stand</x:v>
      </x:c>
      <x:c r="J495" s="8" t="str">
        <x:v>Office Supplies</x:v>
      </x:c>
      <x:c r="K495" s="8" t="n">
        <x:v>2</x:v>
      </x:c>
      <x:c r="L495" s="9" t="n">
        <x:v>1299</x:v>
      </x:c>
      <x:c r="M495" s="23" t="n">
        <x:v>0.2</x:v>
      </x:c>
      <x:c r="N495" s="8" t="str">
        <x:v>Credit Card</x:v>
      </x:c>
      <x:c r="O495" s="8" t="str">
        <x:v>Completed</x:v>
      </x:c>
    </x:row>
    <x:row r="496">
      <x:c r="A496" s="8" t="str">
        <x:v>ORD-0492</x:v>
      </x:c>
      <x:c r="B496" s="22" t="n">
        <x:v>45691.06620771991</x:v>
      </x:c>
      <x:c r="C496" s="8" t="str">
        <x:v>CUS-069</x:v>
      </x:c>
      <x:c r="D496" s="8" t="str">
        <x:v>Rohan Das 4</x:v>
      </x:c>
      <x:c r="E496" s="8" t="str">
        <x:v>Small Business</x:v>
      </x:c>
      <x:c r="F496" s="8" t="str">
        <x:v>Hyderabad</x:v>
      </x:c>
      <x:c r="G496" s="8" t="str">
        <x:v>South</x:v>
      </x:c>
      <x:c r="H496" s="8" t="str">
        <x:v>PRD-007</x:v>
      </x:c>
      <x:c r="I496" s="8" t="str">
        <x:v>Electric Kettle</x:v>
      </x:c>
      <x:c r="J496" s="8" t="str">
        <x:v>Home &amp; Kitchen</x:v>
      </x:c>
      <x:c r="K496" s="8" t="n">
        <x:v>3</x:v>
      </x:c>
      <x:c r="L496" s="9" t="n">
        <x:v>1699</x:v>
      </x:c>
      <x:c r="M496" s="23" t="n">
        <x:v>0.05</x:v>
      </x:c>
      <x:c r="N496" s="8" t="str">
        <x:v>Cash on Delivery</x:v>
      </x:c>
      <x:c r="O496" s="8" t="str">
        <x:v>Completed</x:v>
      </x:c>
    </x:row>
    <x:row r="497">
      <x:c r="A497" s="8" t="str">
        <x:v>ORD-0493</x:v>
      </x:c>
      <x:c r="B497" s="22" t="n">
        <x:v>45980.008466770836</x:v>
      </x:c>
      <x:c r="C497" s="8" t="str">
        <x:v>CUS-032</x:v>
      </x:c>
      <x:c r="D497" s="8" t="str">
        <x:v>Priya Kapoor 2</x:v>
      </x:c>
      <x:c r="E497" s="8" t="str">
        <x:v>Corporate</x:v>
      </x:c>
      <x:c r="F497" s="8" t="str">
        <x:v>Chennai</x:v>
      </x:c>
      <x:c r="G497" s="8" t="str">
        <x:v>South</x:v>
      </x:c>
      <x:c r="H497" s="8" t="str">
        <x:v>PRD-010</x:v>
      </x:c>
      <x:c r="I497" s="8" t="str">
        <x:v>Travel Backpack</x:v>
      </x:c>
      <x:c r="J497" s="8" t="str">
        <x:v>Fashion</x:v>
      </x:c>
      <x:c r="K497" s="8" t="n">
        <x:v>3</x:v>
      </x:c>
      <x:c r="L497" s="9" t="n">
        <x:v>2199</x:v>
      </x:c>
      <x:c r="M497" s="23" t="n">
        <x:v>0.2</x:v>
      </x:c>
      <x:c r="N497" s="8" t="str">
        <x:v>Debit Card</x:v>
      </x:c>
      <x:c r="O497" s="8" t="str">
        <x:v>Completed</x:v>
      </x:c>
    </x:row>
    <x:row r="498">
      <x:c r="A498" s="8" t="str">
        <x:v>ORD-0494</x:v>
      </x:c>
      <x:c r="B498" s="22" t="n">
        <x:v>45871.39958513889</x:v>
      </x:c>
      <x:c r="C498" s="8" t="str">
        <x:v>CUS-007</x:v>
      </x:c>
      <x:c r="D498" s="8" t="str">
        <x:v>Kabir Khan</x:v>
      </x:c>
      <x:c r="E498" s="8" t="str">
        <x:v>Consumer</x:v>
      </x:c>
      <x:c r="F498" s="8" t="str">
        <x:v>Delhi</x:v>
      </x:c>
      <x:c r="G498" s="8" t="str">
        <x:v>North</x:v>
      </x:c>
      <x:c r="H498" s="8" t="str">
        <x:v>PRD-012</x:v>
      </x:c>
      <x:c r="I498" s="8" t="str">
        <x:v>Stainless Water Bottle</x:v>
      </x:c>
      <x:c r="J498" s="8" t="str">
        <x:v>Lifestyle</x:v>
      </x:c>
      <x:c r="K498" s="8" t="n">
        <x:v>5</x:v>
      </x:c>
      <x:c r="L498" s="9" t="n">
        <x:v>799</x:v>
      </x:c>
      <x:c r="M498" s="23" t="n">
        <x:v>0</x:v>
      </x:c>
      <x:c r="N498" s="8" t="str">
        <x:v>Credit Card</x:v>
      </x:c>
      <x:c r="O498" s="8" t="str">
        <x:v>Completed</x:v>
      </x:c>
    </x:row>
    <x:row r="499">
      <x:c r="A499" s="8" t="str">
        <x:v>ORD-0495</x:v>
      </x:c>
      <x:c r="B499" s="22" t="n">
        <x:v>45909.74475114583</x:v>
      </x:c>
      <x:c r="C499" s="8" t="str">
        <x:v>CUS-023</x:v>
      </x:c>
      <x:c r="D499" s="8" t="str">
        <x:v>Vihaan Singh 2</x:v>
      </x:c>
      <x:c r="E499" s="8" t="str">
        <x:v>Corporate</x:v>
      </x:c>
      <x:c r="F499" s="8" t="str">
        <x:v>Jaipur</x:v>
      </x:c>
      <x:c r="G499" s="8" t="str">
        <x:v>North</x:v>
      </x:c>
      <x:c r="H499" s="8" t="str">
        <x:v>PRD-007</x:v>
      </x:c>
      <x:c r="I499" s="8" t="str">
        <x:v>Electric Kettle</x:v>
      </x:c>
      <x:c r="J499" s="8" t="str">
        <x:v>Home &amp; Kitchen</x:v>
      </x:c>
      <x:c r="K499" s="8" t="n">
        <x:v>1</x:v>
      </x:c>
      <x:c r="L499" s="9" t="n">
        <x:v>1699</x:v>
      </x:c>
      <x:c r="M499" s="23" t="n">
        <x:v>0</x:v>
      </x:c>
      <x:c r="N499" s="8" t="str">
        <x:v>UPI</x:v>
      </x:c>
      <x:c r="O499" s="8" t="str">
        <x:v>Completed</x:v>
      </x:c>
    </x:row>
    <x:row r="500">
      <x:c r="A500" s="8" t="str">
        <x:v>ORD-0496</x:v>
      </x:c>
      <x:c r="B500" s="22" t="n">
        <x:v>45713.22303616898</x:v>
      </x:c>
      <x:c r="C500" s="8" t="str">
        <x:v>CUS-060</x:v>
      </x:c>
      <x:c r="D500" s="8" t="str">
        <x:v>Kavya Reddy 3</x:v>
      </x:c>
      <x:c r="E500" s="8" t="str">
        <x:v>Small Business</x:v>
      </x:c>
      <x:c r="F500" s="8" t="str">
        <x:v>Delhi</x:v>
      </x:c>
      <x:c r="G500" s="8" t="str">
        <x:v>North</x:v>
      </x:c>
      <x:c r="H500" s="8" t="str">
        <x:v>PRD-001</x:v>
      </x:c>
      <x:c r="I500" s="8" t="str">
        <x:v>Wireless Mouse</x:v>
      </x:c>
      <x:c r="J500" s="8" t="str">
        <x:v>Electronics</x:v>
      </x:c>
      <x:c r="K500" s="8" t="n">
        <x:v>1</x:v>
      </x:c>
      <x:c r="L500" s="9" t="n">
        <x:v>899</x:v>
      </x:c>
      <x:c r="M500" s="23" t="n">
        <x:v>0.2</x:v>
      </x:c>
      <x:c r="N500" s="8" t="str">
        <x:v>Net Banking</x:v>
      </x:c>
      <x:c r="O500" s="8" t="str">
        <x:v>Returned</x:v>
      </x:c>
    </x:row>
    <x:row r="501">
      <x:c r="A501" s="8" t="str">
        <x:v>ORD-0497</x:v>
      </x:c>
      <x:c r="B501" s="22" t="n">
        <x:v>45698.4193071875</x:v>
      </x:c>
      <x:c r="C501" s="8" t="str">
        <x:v>CUS-005</x:v>
      </x:c>
      <x:c r="D501" s="8" t="str">
        <x:v>Arjun Verma</x:v>
      </x:c>
      <x:c r="E501" s="8" t="str">
        <x:v>Corporate</x:v>
      </x:c>
      <x:c r="F501" s="8" t="str">
        <x:v>Chennai</x:v>
      </x:c>
      <x:c r="G501" s="8" t="str">
        <x:v>South</x:v>
      </x:c>
      <x:c r="H501" s="8" t="str">
        <x:v>PRD-004</x:v>
      </x:c>
      <x:c r="I501" s="8" t="str">
        <x:v>Laptop Stand</x:v>
      </x:c>
      <x:c r="J501" s="8" t="str">
        <x:v>Office Supplies</x:v>
      </x:c>
      <x:c r="K501" s="8" t="n">
        <x:v>3</x:v>
      </x:c>
      <x:c r="L501" s="9" t="n">
        <x:v>1299</x:v>
      </x:c>
      <x:c r="M501" s="23" t="n">
        <x:v>0.15</x:v>
      </x:c>
      <x:c r="N501" s="8" t="str">
        <x:v>UPI</x:v>
      </x:c>
      <x:c r="O501" s="8" t="str">
        <x:v>Returned</x:v>
      </x:c>
    </x:row>
    <x:row r="502">
      <x:c r="A502" s="8" t="str">
        <x:v>ORD-0498</x:v>
      </x:c>
      <x:c r="B502" s="22" t="n">
        <x:v>45835.73179121528</x:v>
      </x:c>
      <x:c r="C502" s="8" t="str">
        <x:v>CUS-027</x:v>
      </x:c>
      <x:c r="D502" s="8" t="str">
        <x:v>Kabir Khan 2</x:v>
      </x:c>
      <x:c r="E502" s="8" t="str">
        <x:v>Small Business</x:v>
      </x:c>
      <x:c r="F502" s="8" t="str">
        <x:v>Bengaluru</x:v>
      </x:c>
      <x:c r="G502" s="8" t="str">
        <x:v>South</x:v>
      </x:c>
      <x:c r="H502" s="8" t="str">
        <x:v>PRD-006</x:v>
      </x:c>
      <x:c r="I502" s="8" t="str">
        <x:v>Desk Organiser</x:v>
      </x:c>
      <x:c r="J502" s="8" t="str">
        <x:v>Office Supplies</x:v>
      </x:c>
      <x:c r="K502" s="8" t="n">
        <x:v>3</x:v>
      </x:c>
      <x:c r="L502" s="9" t="n">
        <x:v>699</x:v>
      </x:c>
      <x:c r="M502" s="23" t="n">
        <x:v>0.15</x:v>
      </x:c>
      <x:c r="N502" s="8" t="str">
        <x:v>UPI</x:v>
      </x:c>
      <x:c r="O502" s="8" t="str">
        <x:v>Returned</x:v>
      </x:c>
    </x:row>
    <x:row r="503">
      <x:c r="A503" s="8" t="str">
        <x:v>ORD-0499</x:v>
      </x:c>
      <x:c r="B503" s="22" t="n">
        <x:v>45901.76425733796</x:v>
      </x:c>
      <x:c r="C503" s="8" t="str">
        <x:v>CUS-079</x:v>
      </x:c>
      <x:c r="D503" s="8" t="str">
        <x:v>Siddharth Jain 4</x:v>
      </x:c>
      <x:c r="E503" s="8" t="str">
        <x:v>Consumer</x:v>
      </x:c>
      <x:c r="F503" s="8" t="str">
        <x:v>Kolkata</x:v>
      </x:c>
      <x:c r="G503" s="8" t="str">
        <x:v>East</x:v>
      </x:c>
      <x:c r="H503" s="8" t="str">
        <x:v>PRD-006</x:v>
      </x:c>
      <x:c r="I503" s="8" t="str">
        <x:v>Desk Organiser</x:v>
      </x:c>
      <x:c r="J503" s="8" t="str">
        <x:v>Office Supplies</x:v>
      </x:c>
      <x:c r="K503" s="8" t="n">
        <x:v>2</x:v>
      </x:c>
      <x:c r="L503" s="9" t="n">
        <x:v>699</x:v>
      </x:c>
      <x:c r="M503" s="23" t="n">
        <x:v>0.05</x:v>
      </x:c>
      <x:c r="N503" s="8" t="str">
        <x:v>UPI</x:v>
      </x:c>
      <x:c r="O503" s="8" t="str">
        <x:v>Returned</x:v>
      </x:c>
    </x:row>
    <x:row r="504">
      <x:c r="A504" s="8" t="str">
        <x:v>ORD-0500</x:v>
      </x:c>
      <x:c r="B504" s="22" t="n">
        <x:v>45861.89736337963</x:v>
      </x:c>
      <x:c r="C504" s="8" t="str">
        <x:v>CUS-039</x:v>
      </x:c>
      <x:c r="D504" s="8" t="str">
        <x:v>Siddharth Jain 2</x:v>
      </x:c>
      <x:c r="E504" s="8" t="str">
        <x:v>Small Business</x:v>
      </x:c>
      <x:c r="F504" s="8" t="str">
        <x:v>Pune</x:v>
      </x:c>
      <x:c r="G504" s="8" t="str">
        <x:v>West</x:v>
      </x:c>
      <x:c r="H504" s="8" t="str">
        <x:v>PRD-004</x:v>
      </x:c>
      <x:c r="I504" s="8" t="str">
        <x:v>Laptop Stand</x:v>
      </x:c>
      <x:c r="J504" s="8" t="str">
        <x:v>Office Supplies</x:v>
      </x:c>
      <x:c r="K504" s="8" t="n">
        <x:v>3</x:v>
      </x:c>
      <x:c r="L504" s="9" t="n">
        <x:v>1299</x:v>
      </x:c>
      <x:c r="M504" s="23" t="n">
        <x:v>0</x:v>
      </x:c>
      <x:c r="N504" s="8" t="str">
        <x:v>Debit Card</x:v>
      </x:c>
      <x:c r="O504" s="8" t="str">
        <x:v>Returned</x:v>
      </x:c>
    </x:row>
    <x:row r="505">
      <x:c r="A505" s="8" t="str">
        <x:v>ORD-0013</x:v>
      </x:c>
      <x:c r="B505" s="22" t="n">
        <x:v>45939.76650087963</x:v>
      </x:c>
      <x:c r="C505" s="8" t="str">
        <x:v>CUS-038</x:v>
      </x:c>
      <x:c r="D505" s="8" t="str">
        <x:v>Nisha Bansal 2</x:v>
      </x:c>
      <x:c r="E505" s="8" t="str">
        <x:v>Corporate</x:v>
      </x:c>
      <x:c r="F505" s="8" t="str">
        <x:v>Ahmedabad</x:v>
      </x:c>
      <x:c r="G505" s="8" t="str">
        <x:v>West</x:v>
      </x:c>
      <x:c r="H505" s="8" t="str">
        <x:v>PRD-007</x:v>
      </x:c>
      <x:c r="I505" s="8" t="str">
        <x:v>Electric Kettle</x:v>
      </x:c>
      <x:c r="J505" s="8" t="str">
        <x:v>Home &amp; Kitchen</x:v>
      </x:c>
      <x:c r="K505" s="8" t="n">
        <x:v>5</x:v>
      </x:c>
      <x:c r="L505" s="9" t="n">
        <x:v>1699</x:v>
      </x:c>
      <x:c r="M505" s="23" t="n">
        <x:v>0.05</x:v>
      </x:c>
      <x:c r="N505" s="8" t="str">
        <x:v>Cash on Delivery</x:v>
      </x:c>
      <x:c r="O505" s="8" t="str">
        <x:v>Completed</x:v>
      </x:c>
    </x:row>
    <x:row r="506">
      <x:c r="A506" s="8" t="str">
        <x:v>ORD-0075</x:v>
      </x:c>
      <x:c r="B506" s="22" t="n">
        <x:v>45927.43419706018</x:v>
      </x:c>
      <x:c r="C506" s="8" t="str">
        <x:v>CUS-034</x:v>
      </x:c>
      <x:c r="D506" s="8" t="str">
        <x:v>Neha Rao 2</x:v>
      </x:c>
      <x:c r="E506" s="8" t="str">
        <x:v>Consumer</x:v>
      </x:c>
      <x:c r="F506" s="8" t="str">
        <x:v>Jaipur</x:v>
      </x:c>
      <x:c r="G506" s="8" t="str">
        <x:v>North</x:v>
      </x:c>
      <x:c r="H506" s="8" t="str">
        <x:v>PRD-010</x:v>
      </x:c>
      <x:c r="I506" s="8" t="str">
        <x:v>Travel Backpack</x:v>
      </x:c>
      <x:c r="J506" s="8" t="str">
        <x:v>Fashion</x:v>
      </x:c>
      <x:c r="K506" s="8" t="n">
        <x:v>5</x:v>
      </x:c>
      <x:c r="L506" s="9" t="n">
        <x:v>2199</x:v>
      </x:c>
      <x:c r="M506" s="23" t="n">
        <x:v>0</x:v>
      </x:c>
      <x:c r="N506" s="8" t="str">
        <x:v>UPI</x:v>
      </x:c>
      <x:c r="O506" s="8" t="str">
        <x:v>Completed</x:v>
      </x:c>
    </x:row>
    <x:row r="507">
      <x:c r="A507" s="8" t="str">
        <x:v>ORD-0156</x:v>
      </x:c>
      <x:c r="B507" s="22" t="n">
        <x:v>45859.182949456015</x:v>
      </x:c>
      <x:c r="C507" s="8" t="str">
        <x:v>CUS-021</x:v>
      </x:c>
      <x:c r="D507" s="8" t="str">
        <x:v>Aarav Sharma 2</x:v>
      </x:c>
      <x:c r="E507" s="8" t="str">
        <x:v>Small Business</x:v>
      </x:c>
      <x:c r="F507" s="8" t="str">
        <x:v>Kolkata</x:v>
      </x:c>
      <x:c r="G507" s="8" t="str">
        <x:v>East</x:v>
      </x:c>
      <x:c r="H507" s="8" t="str">
        <x:v>PRD-004</x:v>
      </x:c>
      <x:c r="I507" s="8" t="str">
        <x:v>Laptop Stand</x:v>
      </x:c>
      <x:c r="J507" s="8" t="str">
        <x:v>Office Supplies</x:v>
      </x:c>
      <x:c r="K507" s="8" t="n">
        <x:v>2</x:v>
      </x:c>
      <x:c r="L507" s="9" t="n">
        <x:v>1299</x:v>
      </x:c>
      <x:c r="M507" s="23" t="n">
        <x:v>0</x:v>
      </x:c>
      <x:c r="N507" s="8" t="str">
        <x:v>Debit Card</x:v>
      </x:c>
      <x:c r="O507" s="8" t="str">
        <x:v>Completed</x:v>
      </x:c>
    </x:row>
    <x:row r="508">
      <x:c r="A508" s="8" t="str">
        <x:v>ORD-0245</x:v>
      </x:c>
      <x:c r="B508" s="22" t="n">
        <x:v>46003.67112782408</x:v>
      </x:c>
      <x:c r="C508" s="8" t="str">
        <x:v>CUS-020</x:v>
      </x:c>
      <x:c r="D508" s="8" t="str">
        <x:v>Kavya Reddy</x:v>
      </x:c>
      <x:c r="E508" s="8" t="str">
        <x:v>Corporate</x:v>
      </x:c>
      <x:c r="F508" s="8" t="str">
        <x:v>Chennai</x:v>
      </x:c>
      <x:c r="G508" s="8" t="str">
        <x:v>South</x:v>
      </x:c>
      <x:c r="H508" s="8" t="str">
        <x:v>PRD-012</x:v>
      </x:c>
      <x:c r="I508" s="8" t="str">
        <x:v>Stainless Water Bottle</x:v>
      </x:c>
      <x:c r="J508" s="8" t="str">
        <x:v>Lifestyle</x:v>
      </x:c>
      <x:c r="K508" s="8" t="n">
        <x:v>5</x:v>
      </x:c>
      <x:c r="L508" s="9" t="n">
        <x:v>799</x:v>
      </x:c>
      <x:c r="M508" s="23" t="n">
        <x:v>0.05</x:v>
      </x:c>
      <x:c r="N508" s="8" t="str">
        <x:v>UPI</x:v>
      </x:c>
      <x:c r="O508" s="8" t="str">
        <x:v>Completed</x:v>
      </x:c>
    </x:row>
    <x:row r="509">
      <x:c r="A509" s="8" t="str">
        <x:v>ORD-0368</x:v>
      </x:c>
      <x:c r="B509" s="22" t="n">
        <x:v>45693.134445358795</x:v>
      </x:c>
      <x:c r="C509" s="8" t="str">
        <x:v>CUS-075</x:v>
      </x:c>
      <x:c r="D509" s="8" t="str">
        <x:v>Karan Malhotra 4</x:v>
      </x:c>
      <x:c r="E509" s="8" t="str">
        <x:v>Small Business</x:v>
      </x:c>
      <x:c r="F509" s="8" t="str">
        <x:v>Delhi</x:v>
      </x:c>
      <x:c r="G509" s="8" t="str">
        <x:v>North</x:v>
      </x:c>
      <x:c r="H509" s="8" t="str">
        <x:v>PRD-001</x:v>
      </x:c>
      <x:c r="I509" s="8" t="str">
        <x:v>Wireless Mouse</x:v>
      </x:c>
      <x:c r="J509" s="8" t="str">
        <x:v>Electronics</x:v>
      </x:c>
      <x:c r="K509" s="8" t="n">
        <x:v>3</x:v>
      </x:c>
      <x:c r="L509" s="9" t="n">
        <x:v>899</x:v>
      </x:c>
      <x:c r="M509" s="23" t="n">
        <x:v>0.15</x:v>
      </x:c>
      <x:c r="N509" s="8" t="str">
        <x:v>Debit Card</x:v>
      </x:c>
      <x:c r="O509" s="8" t="str">
        <x:v>Returned</x:v>
      </x:c>
    </x:row>
    <x:row r="510">
      <x:c r="A510" s="8" t="str">
        <x:v>ORD-0452</x:v>
      </x:c>
      <x:c r="B510" s="22" t="n">
        <x:v>45914.76451886574</x:v>
      </x:c>
      <x:c r="C510" s="8" t="str">
        <x:v>CUS-052</x:v>
      </x:c>
      <x:c r="D510" s="8" t="str">
        <x:v>Priya Kapoor 3</x:v>
      </x:c>
      <x:c r="E510" s="8" t="str">
        <x:v>Consumer</x:v>
      </x:c>
      <x:c r="F510" s="8" t="str">
        <x:v>Mumbai</x:v>
      </x:c>
      <x:c r="G510" s="8" t="str">
        <x:v>West</x:v>
      </x:c>
      <x:c r="H510" s="8" t="str">
        <x:v>PRD-002</x:v>
      </x:c>
      <x:c r="I510" s="8" t="str">
        <x:v>Bluetooth Headphones</x:v>
      </x:c>
      <x:c r="J510" s="8" t="str">
        <x:v>Electronics</x:v>
      </x:c>
      <x:c r="K510" s="8" t="n">
        <x:v>4</x:v>
      </x:c>
      <x:c r="L510" s="9" t="n">
        <x:v>2499</x:v>
      </x:c>
      <x:c r="M510" s="23" t="n">
        <x:v>0.15</x:v>
      </x:c>
      <x:c r="N510" s="8" t="str">
        <x:v>Cash on Delivery</x:v>
      </x:c>
      <x:c r="O510" s="8" t="str">
        <x:v>Completed</x:v>
      </x:c>
    </x:row>
  </x:sheetData>
  <x:mergeCells>
    <x:mergeCell ref="A1:O1"/>
    <x:mergeCell ref="A2:O2"/>
  </x:mergeCells>
  <x:conditionalFormatting sqref="D5:D510">
    <x:cfRule type="containsBlanks" dxfId="0" priority="1"/>
  </x:conditionalFormatting>
  <x:conditionalFormatting sqref="M5:M510">
    <x:cfRule type="containsBlanks" dxfId="1" priority="2"/>
  </x:conditionalFormatting>
  <x:pageMargins left="0.7" right="0.7" top="0.75" bottom="0.75" header="0.3" footer="0.3"/>
  <x:tableParts count="1">
    <x:tablePart xmlns:r="http://schemas.openxmlformats.org/officeDocument/2006/relationships" r:id="R0fab80d1e5c34d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560001373291016" hidden="0" customWidth="1"/>
    <x:col min="2" max="2" width="53.560001373291016" hidden="0" customWidth="1"/>
    <x:col min="3" max="3" width="53.560001373291016" hidden="0" customWidth="1"/>
    <x:col min="4" max="4" width="22" hidden="0" customWidth="1"/>
    <x:col min="5" max="5" width="53.560001373291016" hidden="0" customWidth="1"/>
    <x:col min="6" max="6" width="53.560001373291016" hidden="0" customWidth="1"/>
    <x:col min="7" max="7" width="53.560001373291016" hidden="0" customWidth="1"/>
    <x:col min="8" max="8" width="53.560001373291016" hidden="0" customWidth="1"/>
    <x:col min="9" max="9" width="22" hidden="0" customWidth="1"/>
    <x:col min="10" max="10" width="53.560001373291016" hidden="0" customWidth="1"/>
    <x:col min="11" max="11" width="53.560001373291016" hidden="0" customWidth="1"/>
    <x:col min="12" max="12" width="53.560001373291016" hidden="0" customWidth="1"/>
    <x:col min="13" max="13" width="53.560001373291016" hidden="0" customWidth="1"/>
    <x:col min="14" max="14" width="53.560001373291016" hidden="0" customWidth="1"/>
    <x:col min="15" max="15" width="53.560001373291016" hidden="0" customWidth="1"/>
    <x:col min="16" max="16" width="53.560001373291016" hidden="0" customWidth="1"/>
    <x:col min="17" max="17" width="53.560001373291016" hidden="0" customWidth="1"/>
    <x:col min="18" max="18" width="22" hidden="0" customWidth="1"/>
    <x:col min="19" max="19" width="22" hidden="0" customWidth="1"/>
    <x:col min="20" max="20" width="53.560001373291016" hidden="0" customWidth="1"/>
    <x:col min="21" max="21" width="53.560001373291016" hidden="0" customWidth="1"/>
  </x:cols>
  <x:sheetData>
    <x:row r="1" ht="34" customHeight="1">
      <x:c r="A1" s="3" t="str">
        <x:v>CLEANED SALES DATA</x:v>
      </x:c>
      <x:c r="B1" s="3" t="str">
        <x:v>CLEANED SALES DATA</x:v>
      </x:c>
      <x:c r="C1" s="3" t="str">
        <x:v>CLEANED SALES DATA</x:v>
      </x:c>
      <x:c r="D1" s="3" t="str">
        <x:v>CLEANED SALES DATA</x:v>
      </x:c>
      <x:c r="E1" s="3" t="str">
        <x:v>CLEANED SALES DATA</x:v>
      </x:c>
      <x:c r="F1" s="3" t="str">
        <x:v>CLEANED SALES DATA</x:v>
      </x:c>
      <x:c r="G1" s="3" t="str">
        <x:v>CLEANED SALES DATA</x:v>
      </x:c>
      <x:c r="H1" s="3" t="str">
        <x:v>CLEANED SALES DATA</x:v>
      </x:c>
      <x:c r="I1" s="3" t="str">
        <x:v>CLEANED SALES DATA</x:v>
      </x:c>
      <x:c r="J1" s="3" t="str">
        <x:v>CLEANED SALES DATA</x:v>
      </x:c>
      <x:c r="K1" s="3" t="str">
        <x:v>CLEANED SALES DATA</x:v>
      </x:c>
      <x:c r="L1" s="3" t="str">
        <x:v>CLEANED SALES DATA</x:v>
      </x:c>
      <x:c r="M1" s="3" t="str">
        <x:v>CLEANED SALES DATA</x:v>
      </x:c>
      <x:c r="N1" s="3" t="str">
        <x:v>CLEANED SALES DATA</x:v>
      </x:c>
      <x:c r="O1" s="3" t="str">
        <x:v>CLEANED SALES DATA</x:v>
      </x:c>
      <x:c r="P1" s="3" t="str">
        <x:v>CLEANED SALES DATA</x:v>
      </x:c>
      <x:c r="Q1" s="3" t="str">
        <x:v>CLEANED SALES DATA</x:v>
      </x:c>
      <x:c r="R1" s="3" t="str">
        <x:v>CLEANED SALES DATA</x:v>
      </x:c>
      <x:c r="S1" s="3" t="str">
        <x:v>CLEANED SALES DATA</x:v>
      </x:c>
      <x:c r="T1" s="3" t="str">
        <x:v>CLEANED SALES DATA</x:v>
      </x:c>
      <x:c r="U1" s="3" t="str">
        <x:v>CLEANED SALES DATA</x:v>
      </x:c>
    </x:row>
    <x:row r="2" ht="22" customHeight="1">
      <x:c r="A2" s="5" t="str">
        <x:v>Standardised, deduplicated and formula-driven dataset for analysis and reporting</x:v>
      </x:c>
      <x:c r="B2" s="5" t="str">
        <x:v>Standardised, deduplicated and formula-driven dataset for analysis and reporting</x:v>
      </x:c>
      <x:c r="C2" s="5" t="str">
        <x:v>Standardised, deduplicated and formula-driven dataset for analysis and reporting</x:v>
      </x:c>
      <x:c r="D2" s="5" t="str">
        <x:v>Standardised, deduplicated and formula-driven dataset for analysis and reporting</x:v>
      </x:c>
      <x:c r="E2" s="5" t="str">
        <x:v>Standardised, deduplicated and formula-driven dataset for analysis and reporting</x:v>
      </x:c>
      <x:c r="F2" s="5" t="str">
        <x:v>Standardised, deduplicated and formula-driven dataset for analysis and reporting</x:v>
      </x:c>
      <x:c r="G2" s="5" t="str">
        <x:v>Standardised, deduplicated and formula-driven dataset for analysis and reporting</x:v>
      </x:c>
      <x:c r="H2" s="5" t="str">
        <x:v>Standardised, deduplicated and formula-driven dataset for analysis and reporting</x:v>
      </x:c>
      <x:c r="I2" s="5" t="str">
        <x:v>Standardised, deduplicated and formula-driven dataset for analysis and reporting</x:v>
      </x:c>
      <x:c r="J2" s="5" t="str">
        <x:v>Standardised, deduplicated and formula-driven dataset for analysis and reporting</x:v>
      </x:c>
      <x:c r="K2" s="5" t="str">
        <x:v>Standardised, deduplicated and formula-driven dataset for analysis and reporting</x:v>
      </x:c>
      <x:c r="L2" s="5" t="str">
        <x:v>Standardised, deduplicated and formula-driven dataset for analysis and reporting</x:v>
      </x:c>
      <x:c r="M2" s="5" t="str">
        <x:v>Standardised, deduplicated and formula-driven dataset for analysis and reporting</x:v>
      </x:c>
      <x:c r="N2" s="5" t="str">
        <x:v>Standardised, deduplicated and formula-driven dataset for analysis and reporting</x:v>
      </x:c>
      <x:c r="O2" s="5" t="str">
        <x:v>Standardised, deduplicated and formula-driven dataset for analysis and reporting</x:v>
      </x:c>
      <x:c r="P2" s="5" t="str">
        <x:v>Standardised, deduplicated and formula-driven dataset for analysis and reporting</x:v>
      </x:c>
      <x:c r="Q2" s="5" t="str">
        <x:v>Standardised, deduplicated and formula-driven dataset for analysis and reporting</x:v>
      </x:c>
      <x:c r="R2" s="5" t="str">
        <x:v>Standardised, deduplicated and formula-driven dataset for analysis and reporting</x:v>
      </x:c>
      <x:c r="S2" s="5" t="str">
        <x:v>Standardised, deduplicated and formula-driven dataset for analysis and reporting</x:v>
      </x:c>
      <x:c r="T2" s="5" t="str">
        <x:v>Standardised, deduplicated and formula-driven dataset for analysis and reporting</x:v>
      </x:c>
      <x:c r="U2" s="5" t="str">
        <x:v>Standardised, deduplicated and formula-driven dataset for analysis and reporting</x:v>
      </x:c>
    </x:row>
    <x:row r="4" ht="26" customHeight="1">
      <x:c r="A4" s="26" t="str">
        <x:v>Order ID</x:v>
      </x:c>
      <x:c r="B4" s="26" t="str">
        <x:v>Order Date</x:v>
      </x:c>
      <x:c r="C4" s="26" t="str">
        <x:v>Customer ID</x:v>
      </x:c>
      <x:c r="D4" s="26" t="str">
        <x:v>Customer Name</x:v>
      </x:c>
      <x:c r="E4" s="26" t="str">
        <x:v>Segment</x:v>
      </x:c>
      <x:c r="F4" s="26" t="str">
        <x:v>City</x:v>
      </x:c>
      <x:c r="G4" s="26" t="str">
        <x:v>Region</x:v>
      </x:c>
      <x:c r="H4" s="26" t="str">
        <x:v>Product ID</x:v>
      </x:c>
      <x:c r="I4" s="26" t="str">
        <x:v>Product Name</x:v>
      </x:c>
      <x:c r="J4" s="26" t="str">
        <x:v>Category</x:v>
      </x:c>
      <x:c r="K4" s="26" t="str">
        <x:v>Quantity</x:v>
      </x:c>
      <x:c r="L4" s="26" t="str">
        <x:v>Unit Price</x:v>
      </x:c>
      <x:c r="M4" s="26" t="str">
        <x:v>Discount</x:v>
      </x:c>
      <x:c r="N4" s="26" t="str">
        <x:v>Revenue</x:v>
      </x:c>
      <x:c r="O4" s="26" t="str">
        <x:v>Unit Cost</x:v>
      </x:c>
      <x:c r="P4" s="26" t="str">
        <x:v>Total Cost</x:v>
      </x:c>
      <x:c r="Q4" s="26" t="str">
        <x:v>Profit</x:v>
      </x:c>
      <x:c r="R4" s="26" t="str">
        <x:v>Payment Method</x:v>
      </x:c>
      <x:c r="S4" s="26" t="str">
        <x:v>Order Status</x:v>
      </x:c>
      <x:c r="T4" s="26" t="str">
        <x:v>Month</x:v>
      </x:c>
      <x:c r="U4" s="26" t="str">
        <x:v>Year</x:v>
      </x:c>
    </x:row>
    <x:row r="5">
      <x:c r="A5" s="8" t="str">
        <x:v>ORD-0001</x:v>
      </x:c>
      <x:c r="B5" s="22" t="n">
        <x:v>45944.87918481482</x:v>
      </x:c>
      <x:c r="C5" s="8" t="str">
        <x:v>CUS-027</x:v>
      </x:c>
      <x:c r="D5" s="8" t="str">
        <x:f>IFERROR(INDEX('Lookup Tables'!$B$5:$B$84,MATCH(C5,'Lookup Tables'!$A$5:$A$84,0)),"Unknown Customer")</x:f>
        <x:v>Kabir Khan 2</x:v>
      </x:c>
      <x:c r="E5" s="8" t="str">
        <x:f>IFERROR(INDEX('Lookup Tables'!$C$5:$C$84,MATCH(C5,'Lookup Tables'!$A$5:$A$84,0)),"Unknown")</x:f>
        <x:v>Small Business</x:v>
      </x:c>
      <x:c r="F5" s="8" t="str">
        <x:v>Mumbai</x:v>
      </x:c>
      <x:c r="G5" s="8" t="str">
        <x:f>IFERROR(INDEX('Lookup Tables'!$N$5:$N$14,MATCH(F5,'Lookup Tables'!$M$5:$M$14,0)),"Unknown")</x:f>
        <x:v>West</x:v>
      </x:c>
      <x:c r="H5" s="8" t="str">
        <x:v>PRD-003</x:v>
      </x:c>
      <x:c r="I5" s="8" t="str">
        <x:f>IFERROR(INDEX('Lookup Tables'!$G$5:$G$16,MATCH(H5,'Lookup Tables'!$F$5:$F$16,0)),"Unknown Product")</x:f>
        <x:v>USB-C Hub</x:v>
      </x:c>
      <x:c r="J5" s="8" t="str">
        <x:f>IFERROR(INDEX('Lookup Tables'!$H$5:$H$16,MATCH(H5,'Lookup Tables'!$F$5:$F$16,0)),"Unknown")</x:f>
        <x:v>Electronics</x:v>
      </x:c>
      <x:c r="K5" s="8" t="n">
        <x:v>1</x:v>
      </x:c>
      <x:c r="L5" s="9" t="n">
        <x:f>IFERROR(INDEX('Lookup Tables'!$I$5:$I$16,MATCH(H5,'Lookup Tables'!$F$5:$F$16,0)),0)</x:f>
        <x:v>1899</x:v>
      </x:c>
      <x:c r="M5" s="23" t="n">
        <x:f>IF('Raw Data'!M5="",0,'Raw Data'!M5)</x:f>
        <x:v>0.05</x:v>
      </x:c>
      <x:c r="N5" s="9" t="n">
        <x:f>IF(S5="Completed",K5*L5*(1-M5),0)</x:f>
        <x:v>1804.05</x:v>
      </x:c>
      <x:c r="O5" s="9" t="n">
        <x:f>IFERROR(INDEX('Lookup Tables'!$J$5:$J$16,MATCH(H5,'Lookup Tables'!$F$5:$F$16,0)),0)</x:f>
        <x:v>1180</x:v>
      </x:c>
      <x:c r="P5" s="9" t="n">
        <x:f>IF(S5="Completed",K5*O5,0)</x:f>
        <x:v>1180</x:v>
      </x:c>
      <x:c r="Q5" s="9" t="n">
        <x:f>N5-P5</x:f>
        <x:v>624.05</x:v>
      </x:c>
      <x:c r="R5" s="8" t="str">
        <x:f>IF(LOWER('Raw Data'!N5)="upi","UPI",'Raw Data'!N5)</x:f>
        <x:v>Net Banking</x:v>
      </x:c>
      <x:c r="S5" s="8" t="str">
        <x:v>Completed</x:v>
      </x:c>
      <x:c r="T5" s="8" t="str">
        <x:f>TEXT(B5,"mmm yyyy")</x:f>
        <x:v>Oct 2025</x:v>
      </x:c>
      <x:c r="U5" s="8" t="n">
        <x:f>YEAR(B5)</x:f>
        <x:v>2025</x:v>
      </x:c>
    </x:row>
    <x:row r="6">
      <x:c r="A6" s="8" t="str">
        <x:v>ORD-0002</x:v>
      </x:c>
      <x:c r="B6" s="22" t="n">
        <x:v>45903.671819421295</x:v>
      </x:c>
      <x:c r="C6" s="8" t="str">
        <x:v>CUS-026</x:v>
      </x:c>
      <x:c r="D6" s="8" t="str">
        <x:f>IFERROR(INDEX('Lookup Tables'!$B$5:$B$84,MATCH(C6,'Lookup Tables'!$A$5:$A$84,0)),"Unknown Customer")</x:f>
        <x:v>Isha Mehta 2</x:v>
      </x:c>
      <x:c r="E6" s="8" t="str">
        <x:f>IFERROR(INDEX('Lookup Tables'!$C$5:$C$84,MATCH(C6,'Lookup Tables'!$A$5:$A$84,0)),"Unknown")</x:f>
        <x:v>Corporate</x:v>
      </x:c>
      <x:c r="F6" s="8" t="str">
        <x:v>Jaipur</x:v>
      </x:c>
      <x:c r="G6" s="8" t="str">
        <x:f>IFERROR(INDEX('Lookup Tables'!$N$5:$N$14,MATCH(F6,'Lookup Tables'!$M$5:$M$14,0)),"Unknown")</x:f>
        <x:v>North</x:v>
      </x:c>
      <x:c r="H6" s="8" t="str">
        <x:v>PRD-008</x:v>
      </x:c>
      <x:c r="I6" s="8" t="str">
        <x:f>IFERROR(INDEX('Lookup Tables'!$G$5:$G$16,MATCH(H6,'Lookup Tables'!$F$5:$F$16,0)),"Unknown Product")</x:f>
        <x:v>Storage Container Set</x:v>
      </x:c>
      <x:c r="J6" s="8" t="str">
        <x:f>IFERROR(INDEX('Lookup Tables'!$H$5:$H$16,MATCH(H6,'Lookup Tables'!$F$5:$F$16,0)),"Unknown")</x:f>
        <x:v>Home &amp; Kitchen</x:v>
      </x:c>
      <x:c r="K6" s="8" t="n">
        <x:v>1</x:v>
      </x:c>
      <x:c r="L6" s="9" t="n">
        <x:f>IFERROR(INDEX('Lookup Tables'!$I$5:$I$16,MATCH(H6,'Lookup Tables'!$F$5:$F$16,0)),0)</x:f>
        <x:v>999</x:v>
      </x:c>
      <x:c r="M6" s="23" t="n">
        <x:f>IF('Raw Data'!M6="",0,'Raw Data'!M6)</x:f>
        <x:v>0</x:v>
      </x:c>
      <x:c r="N6" s="9" t="n">
        <x:f>IF(S6="Completed",K6*L6*(1-M6),0)</x:f>
        <x:v>0</x:v>
      </x:c>
      <x:c r="O6" s="9" t="n">
        <x:f>IFERROR(INDEX('Lookup Tables'!$J$5:$J$16,MATCH(H6,'Lookup Tables'!$F$5:$F$16,0)),0)</x:f>
        <x:v>580</x:v>
      </x:c>
      <x:c r="P6" s="9" t="n">
        <x:f>IF(S6="Completed",K6*O6,0)</x:f>
        <x:v>0</x:v>
      </x:c>
      <x:c r="Q6" s="9" t="n">
        <x:f>N6-P6</x:f>
        <x:v>0</x:v>
      </x:c>
      <x:c r="R6" s="8" t="str">
        <x:f>IF(LOWER('Raw Data'!N6)="upi","UPI",'Raw Data'!N6)</x:f>
        <x:v>Credit Card</x:v>
      </x:c>
      <x:c r="S6" s="8" t="str">
        <x:v>Returned</x:v>
      </x:c>
      <x:c r="T6" s="8" t="str">
        <x:f>TEXT(B6,"mmm yyyy")</x:f>
        <x:v>Sep 2025</x:v>
      </x:c>
      <x:c r="U6" s="8" t="n">
        <x:f>YEAR(B6)</x:f>
        <x:v>2025</x:v>
      </x:c>
    </x:row>
    <x:row r="7">
      <x:c r="A7" s="8" t="str">
        <x:v>ORD-0003</x:v>
      </x:c>
      <x:c r="B7" s="22" t="n">
        <x:v>45751.392413842594</x:v>
      </x:c>
      <x:c r="C7" s="8" t="str">
        <x:v>CUS-079</x:v>
      </x:c>
      <x:c r="D7" s="8" t="str">
        <x:f>IFERROR(INDEX('Lookup Tables'!$B$5:$B$84,MATCH(C7,'Lookup Tables'!$A$5:$A$84,0)),"Unknown Customer")</x:f>
        <x:v>Siddharth Jain 4</x:v>
      </x:c>
      <x:c r="E7" s="8" t="str">
        <x:f>IFERROR(INDEX('Lookup Tables'!$C$5:$C$84,MATCH(C7,'Lookup Tables'!$A$5:$A$84,0)),"Unknown")</x:f>
        <x:v>Consumer</x:v>
      </x:c>
      <x:c r="F7" s="8" t="str">
        <x:v>Kolkata</x:v>
      </x:c>
      <x:c r="G7" s="8" t="str">
        <x:f>IFERROR(INDEX('Lookup Tables'!$N$5:$N$14,MATCH(F7,'Lookup Tables'!$M$5:$M$14,0)),"Unknown")</x:f>
        <x:v>East</x:v>
      </x:c>
      <x:c r="H7" s="8" t="str">
        <x:v>PRD-004</x:v>
      </x:c>
      <x:c r="I7" s="8" t="str">
        <x:f>IFERROR(INDEX('Lookup Tables'!$G$5:$G$16,MATCH(H7,'Lookup Tables'!$F$5:$F$16,0)),"Unknown Product")</x:f>
        <x:v>Laptop Stand</x:v>
      </x:c>
      <x:c r="J7" s="8" t="str">
        <x:f>IFERROR(INDEX('Lookup Tables'!$H$5:$H$16,MATCH(H7,'Lookup Tables'!$F$5:$F$16,0)),"Unknown")</x:f>
        <x:v>Office Supplies</x:v>
      </x:c>
      <x:c r="K7" s="8" t="n">
        <x:v>5</x:v>
      </x:c>
      <x:c r="L7" s="9" t="n">
        <x:f>IFERROR(INDEX('Lookup Tables'!$I$5:$I$16,MATCH(H7,'Lookup Tables'!$F$5:$F$16,0)),0)</x:f>
        <x:v>1299</x:v>
      </x:c>
      <x:c r="M7" s="23" t="n">
        <x:f>IF('Raw Data'!M7="",0,'Raw Data'!M7)</x:f>
        <x:v>0.2</x:v>
      </x:c>
      <x:c r="N7" s="9" t="n">
        <x:f>IF(S7="Completed",K7*L7*(1-M7),0)</x:f>
        <x:v>5196</x:v>
      </x:c>
      <x:c r="O7" s="9" t="n">
        <x:f>IFERROR(INDEX('Lookup Tables'!$J$5:$J$16,MATCH(H7,'Lookup Tables'!$F$5:$F$16,0)),0)</x:f>
        <x:v>760</x:v>
      </x:c>
      <x:c r="P7" s="9" t="n">
        <x:f>IF(S7="Completed",K7*O7,0)</x:f>
        <x:v>3800</x:v>
      </x:c>
      <x:c r="Q7" s="9" t="n">
        <x:f>N7-P7</x:f>
        <x:v>1396</x:v>
      </x:c>
      <x:c r="R7" s="8" t="str">
        <x:f>IF(LOWER('Raw Data'!N7)="upi","UPI",'Raw Data'!N7)</x:f>
        <x:v>UPI</x:v>
      </x:c>
      <x:c r="S7" s="8" t="str">
        <x:v>Completed</x:v>
      </x:c>
      <x:c r="T7" s="8" t="str">
        <x:f>TEXT(B7,"mmm yyyy")</x:f>
        <x:v>Apr 2025</x:v>
      </x:c>
      <x:c r="U7" s="8" t="n">
        <x:f>YEAR(B7)</x:f>
        <x:v>2025</x:v>
      </x:c>
    </x:row>
    <x:row r="8">
      <x:c r="A8" s="8" t="str">
        <x:v>ORD-0004</x:v>
      </x:c>
      <x:c r="B8" s="22" t="n">
        <x:v>45659.40601803241</x:v>
      </x:c>
      <x:c r="C8" s="8" t="str">
        <x:v>CUS-041</x:v>
      </x:c>
      <x:c r="D8" s="8" t="str">
        <x:f>IFERROR(INDEX('Lookup Tables'!$B$5:$B$84,MATCH(C8,'Lookup Tables'!$A$5:$A$84,0)),"Unknown Customer")</x:f>
        <x:v>Aarav Sharma 3</x:v>
      </x:c>
      <x:c r="E8" s="8" t="str">
        <x:f>IFERROR(INDEX('Lookup Tables'!$C$5:$C$84,MATCH(C8,'Lookup Tables'!$A$5:$A$84,0)),"Unknown")</x:f>
        <x:v>Corporate</x:v>
      </x:c>
      <x:c r="F8" s="8" t="str">
        <x:v>Pune</x:v>
      </x:c>
      <x:c r="G8" s="8" t="str">
        <x:f>IFERROR(INDEX('Lookup Tables'!$N$5:$N$14,MATCH(F8,'Lookup Tables'!$M$5:$M$14,0)),"Unknown")</x:f>
        <x:v>West</x:v>
      </x:c>
      <x:c r="H8" s="8" t="str">
        <x:v>PRD-011</x:v>
      </x:c>
      <x:c r="I8" s="8" t="str">
        <x:f>IFERROR(INDEX('Lookup Tables'!$G$5:$G$16,MATCH(H8,'Lookup Tables'!$F$5:$F$16,0)),"Unknown Product")</x:f>
        <x:v>Classic Wallet</x:v>
      </x:c>
      <x:c r="J8" s="8" t="str">
        <x:f>IFERROR(INDEX('Lookup Tables'!$H$5:$H$16,MATCH(H8,'Lookup Tables'!$F$5:$F$16,0)),"Unknown")</x:f>
        <x:v>Fashion</x:v>
      </x:c>
      <x:c r="K8" s="8" t="n">
        <x:v>1</x:v>
      </x:c>
      <x:c r="L8" s="9" t="n">
        <x:f>IFERROR(INDEX('Lookup Tables'!$I$5:$I$16,MATCH(H8,'Lookup Tables'!$F$5:$F$16,0)),0)</x:f>
        <x:v>1199</x:v>
      </x:c>
      <x:c r="M8" s="23" t="n">
        <x:f>IF('Raw Data'!M8="",0,'Raw Data'!M8)</x:f>
        <x:v>0.05</x:v>
      </x:c>
      <x:c r="N8" s="9" t="n">
        <x:f>IF(S8="Completed",K8*L8*(1-M8),0)</x:f>
        <x:v>1139.05</x:v>
      </x:c>
      <x:c r="O8" s="9" t="n">
        <x:f>IFERROR(INDEX('Lookup Tables'!$J$5:$J$16,MATCH(H8,'Lookup Tables'!$F$5:$F$16,0)),0)</x:f>
        <x:v>690</x:v>
      </x:c>
      <x:c r="P8" s="9" t="n">
        <x:f>IF(S8="Completed",K8*O8,0)</x:f>
        <x:v>690</x:v>
      </x:c>
      <x:c r="Q8" s="9" t="n">
        <x:f>N8-P8</x:f>
        <x:v>449.04999999999995</x:v>
      </x:c>
      <x:c r="R8" s="8" t="str">
        <x:f>IF(LOWER('Raw Data'!N8)="upi","UPI",'Raw Data'!N8)</x:f>
        <x:v>Debit Card</x:v>
      </x:c>
      <x:c r="S8" s="8" t="str">
        <x:v>Completed</x:v>
      </x:c>
      <x:c r="T8" s="8" t="str">
        <x:f>TEXT(B8,"mmm yyyy")</x:f>
        <x:v>Jan 2025</x:v>
      </x:c>
      <x:c r="U8" s="8" t="n">
        <x:f>YEAR(B8)</x:f>
        <x:v>2025</x:v>
      </x:c>
    </x:row>
    <x:row r="9">
      <x:c r="A9" s="8" t="str">
        <x:v>ORD-0005</x:v>
      </x:c>
      <x:c r="B9" s="22" t="n">
        <x:v>45713.21400211805</x:v>
      </x:c>
      <x:c r="C9" s="8" t="str">
        <x:v>CUS-078</x:v>
      </x:c>
      <x:c r="D9" s="8" t="str">
        <x:f>IFERROR(INDEX('Lookup Tables'!$B$5:$B$84,MATCH(C9,'Lookup Tables'!$A$5:$A$84,0)),"Unknown Customer")</x:f>
        <x:v>Nisha Bansal 4</x:v>
      </x:c>
      <x:c r="E9" s="8" t="str">
        <x:f>IFERROR(INDEX('Lookup Tables'!$C$5:$C$84,MATCH(C9,'Lookup Tables'!$A$5:$A$84,0)),"Unknown")</x:f>
        <x:v>Small Business</x:v>
      </x:c>
      <x:c r="F9" s="8" t="str">
        <x:v>Jaipur</x:v>
      </x:c>
      <x:c r="G9" s="8" t="str">
        <x:f>IFERROR(INDEX('Lookup Tables'!$N$5:$N$14,MATCH(F9,'Lookup Tables'!$M$5:$M$14,0)),"Unknown")</x:f>
        <x:v>North</x:v>
      </x:c>
      <x:c r="H9" s="8" t="str">
        <x:v>PRD-007</x:v>
      </x:c>
      <x:c r="I9" s="8" t="str">
        <x:f>IFERROR(INDEX('Lookup Tables'!$G$5:$G$16,MATCH(H9,'Lookup Tables'!$F$5:$F$16,0)),"Unknown Product")</x:f>
        <x:v>Electric Kettle</x:v>
      </x:c>
      <x:c r="J9" s="8" t="str">
        <x:f>IFERROR(INDEX('Lookup Tables'!$H$5:$H$16,MATCH(H9,'Lookup Tables'!$F$5:$F$16,0)),"Unknown")</x:f>
        <x:v>Home &amp; Kitchen</x:v>
      </x:c>
      <x:c r="K9" s="8" t="n">
        <x:v>4</x:v>
      </x:c>
      <x:c r="L9" s="9" t="n">
        <x:f>IFERROR(INDEX('Lookup Tables'!$I$5:$I$16,MATCH(H9,'Lookup Tables'!$F$5:$F$16,0)),0)</x:f>
        <x:v>1699</x:v>
      </x:c>
      <x:c r="M9" s="23" t="n">
        <x:f>IF('Raw Data'!M9="",0,'Raw Data'!M9)</x:f>
        <x:v>0</x:v>
      </x:c>
      <x:c r="N9" s="9" t="n">
        <x:f>IF(S9="Completed",K9*L9*(1-M9),0)</x:f>
        <x:v>0</x:v>
      </x:c>
      <x:c r="O9" s="9" t="n">
        <x:f>IFERROR(INDEX('Lookup Tables'!$J$5:$J$16,MATCH(H9,'Lookup Tables'!$F$5:$F$16,0)),0)</x:f>
        <x:v>1040</x:v>
      </x:c>
      <x:c r="P9" s="9" t="n">
        <x:f>IF(S9="Completed",K9*O9,0)</x:f>
        <x:v>0</x:v>
      </x:c>
      <x:c r="Q9" s="9" t="n">
        <x:f>N9-P9</x:f>
        <x:v>0</x:v>
      </x:c>
      <x:c r="R9" s="8" t="str">
        <x:f>IF(LOWER('Raw Data'!N9)="upi","UPI",'Raw Data'!N9)</x:f>
        <x:v>Credit Card</x:v>
      </x:c>
      <x:c r="S9" s="8" t="str">
        <x:v>Cancelled</x:v>
      </x:c>
      <x:c r="T9" s="8" t="str">
        <x:f>TEXT(B9,"mmm yyyy")</x:f>
        <x:v>Feb 2025</x:v>
      </x:c>
      <x:c r="U9" s="8" t="n">
        <x:f>YEAR(B9)</x:f>
        <x:v>2025</x:v>
      </x:c>
    </x:row>
    <x:row r="10">
      <x:c r="A10" s="8" t="str">
        <x:v>ORD-0006</x:v>
      </x:c>
      <x:c r="B10" s="22" t="n">
        <x:v>45790.34649454861</x:v>
      </x:c>
      <x:c r="C10" s="8" t="str">
        <x:v>CUS-044</x:v>
      </x:c>
      <x:c r="D10" s="8" t="str">
        <x:f>IFERROR(INDEX('Lookup Tables'!$B$5:$B$84,MATCH(C10,'Lookup Tables'!$A$5:$A$84,0)),"Unknown Customer")</x:f>
        <x:v>Ananya Gupta 3</x:v>
      </x:c>
      <x:c r="E10" s="8" t="str">
        <x:f>IFERROR(INDEX('Lookup Tables'!$C$5:$C$84,MATCH(C10,'Lookup Tables'!$A$5:$A$84,0)),"Unknown")</x:f>
        <x:v>Corporate</x:v>
      </x:c>
      <x:c r="F10" s="8" t="str">
        <x:v>Jaipur</x:v>
      </x:c>
      <x:c r="G10" s="8" t="str">
        <x:f>IFERROR(INDEX('Lookup Tables'!$N$5:$N$14,MATCH(F10,'Lookup Tables'!$M$5:$M$14,0)),"Unknown")</x:f>
        <x:v>North</x:v>
      </x:c>
      <x:c r="H10" s="8" t="str">
        <x:v>PRD-012</x:v>
      </x:c>
      <x:c r="I10" s="8" t="str">
        <x:f>IFERROR(INDEX('Lookup Tables'!$G$5:$G$16,MATCH(H10,'Lookup Tables'!$F$5:$F$16,0)),"Unknown Product")</x:f>
        <x:v>Stainless Water Bottle</x:v>
      </x:c>
      <x:c r="J10" s="8" t="str">
        <x:f>IFERROR(INDEX('Lookup Tables'!$H$5:$H$16,MATCH(H10,'Lookup Tables'!$F$5:$F$16,0)),"Unknown")</x:f>
        <x:v>Lifestyle</x:v>
      </x:c>
      <x:c r="K10" s="8" t="n">
        <x:v>4</x:v>
      </x:c>
      <x:c r="L10" s="9" t="n">
        <x:f>IFERROR(INDEX('Lookup Tables'!$I$5:$I$16,MATCH(H10,'Lookup Tables'!$F$5:$F$16,0)),0)</x:f>
        <x:v>799</x:v>
      </x:c>
      <x:c r="M10" s="23" t="n">
        <x:f>IF('Raw Data'!M10="",0,'Raw Data'!M10)</x:f>
        <x:v>0.1</x:v>
      </x:c>
      <x:c r="N10" s="9" t="n">
        <x:f>IF(S10="Completed",K10*L10*(1-M10),0)</x:f>
        <x:v>2876.4</x:v>
      </x:c>
      <x:c r="O10" s="9" t="n">
        <x:f>IFERROR(INDEX('Lookup Tables'!$J$5:$J$16,MATCH(H10,'Lookup Tables'!$F$5:$F$16,0)),0)</x:f>
        <x:v>410</x:v>
      </x:c>
      <x:c r="P10" s="9" t="n">
        <x:f>IF(S10="Completed",K10*O10,0)</x:f>
        <x:v>1640</x:v>
      </x:c>
      <x:c r="Q10" s="9" t="n">
        <x:f>N10-P10</x:f>
        <x:v>1236.4</x:v>
      </x:c>
      <x:c r="R10" s="8" t="str">
        <x:f>IF(LOWER('Raw Data'!N10)="upi","UPI",'Raw Data'!N10)</x:f>
        <x:v>Net Banking</x:v>
      </x:c>
      <x:c r="S10" s="8" t="str">
        <x:v>Completed</x:v>
      </x:c>
      <x:c r="T10" s="8" t="str">
        <x:f>TEXT(B10,"mmm yyyy")</x:f>
        <x:v>May 2025</x:v>
      </x:c>
      <x:c r="U10" s="8" t="n">
        <x:f>YEAR(B10)</x:f>
        <x:v>2025</x:v>
      </x:c>
    </x:row>
    <x:row r="11">
      <x:c r="A11" s="8" t="str">
        <x:v>ORD-0007</x:v>
      </x:c>
      <x:c r="B11" s="22" t="n">
        <x:v>45867.76678416667</x:v>
      </x:c>
      <x:c r="C11" s="8" t="str">
        <x:v>CUS-015</x:v>
      </x:c>
      <x:c r="D11" s="8" t="str">
        <x:f>IFERROR(INDEX('Lookup Tables'!$B$5:$B$84,MATCH(C11,'Lookup Tables'!$A$5:$A$84,0)),"Unknown Customer")</x:f>
        <x:v>Karan Malhotra</x:v>
      </x:c>
      <x:c r="E11" s="8" t="str">
        <x:f>IFERROR(INDEX('Lookup Tables'!$C$5:$C$84,MATCH(C11,'Lookup Tables'!$A$5:$A$84,0)),"Unknown")</x:f>
        <x:v>Small Business</x:v>
      </x:c>
      <x:c r="F11" s="8" t="str">
        <x:v>Chennai</x:v>
      </x:c>
      <x:c r="G11" s="8" t="str">
        <x:f>IFERROR(INDEX('Lookup Tables'!$N$5:$N$14,MATCH(F11,'Lookup Tables'!$M$5:$M$14,0)),"Unknown")</x:f>
        <x:v>South</x:v>
      </x:c>
      <x:c r="H11" s="8" t="str">
        <x:v>PRD-006</x:v>
      </x:c>
      <x:c r="I11" s="8" t="str">
        <x:f>IFERROR(INDEX('Lookup Tables'!$G$5:$G$16,MATCH(H11,'Lookup Tables'!$F$5:$F$16,0)),"Unknown Product")</x:f>
        <x:v>Desk Organiser</x:v>
      </x:c>
      <x:c r="J11" s="8" t="str">
        <x:f>IFERROR(INDEX('Lookup Tables'!$H$5:$H$16,MATCH(H11,'Lookup Tables'!$F$5:$F$16,0)),"Unknown")</x:f>
        <x:v>Office Supplies</x:v>
      </x:c>
      <x:c r="K11" s="8" t="n">
        <x:v>1</x:v>
      </x:c>
      <x:c r="L11" s="9" t="n">
        <x:f>IFERROR(INDEX('Lookup Tables'!$I$5:$I$16,MATCH(H11,'Lookup Tables'!$F$5:$F$16,0)),0)</x:f>
        <x:v>699</x:v>
      </x:c>
      <x:c r="M11" s="23" t="n">
        <x:f>IF('Raw Data'!M11="",0,'Raw Data'!M11)</x:f>
        <x:v>0.15</x:v>
      </x:c>
      <x:c r="N11" s="9" t="n">
        <x:f>IF(S11="Completed",K11*L11*(1-M11),0)</x:f>
        <x:v>0</x:v>
      </x:c>
      <x:c r="O11" s="9" t="n">
        <x:f>IFERROR(INDEX('Lookup Tables'!$J$5:$J$16,MATCH(H11,'Lookup Tables'!$F$5:$F$16,0)),0)</x:f>
        <x:v>390</x:v>
      </x:c>
      <x:c r="P11" s="9" t="n">
        <x:f>IF(S11="Completed",K11*O11,0)</x:f>
        <x:v>0</x:v>
      </x:c>
      <x:c r="Q11" s="9" t="n">
        <x:f>N11-P11</x:f>
        <x:v>0</x:v>
      </x:c>
      <x:c r="R11" s="8" t="str">
        <x:f>IF(LOWER('Raw Data'!N11)="upi","UPI",'Raw Data'!N11)</x:f>
        <x:v>Net Banking</x:v>
      </x:c>
      <x:c r="S11" s="8" t="str">
        <x:v>Cancelled</x:v>
      </x:c>
      <x:c r="T11" s="8" t="str">
        <x:f>TEXT(B11,"mmm yyyy")</x:f>
        <x:v>Jul 2025</x:v>
      </x:c>
      <x:c r="U11" s="8" t="n">
        <x:f>YEAR(B11)</x:f>
        <x:v>2025</x:v>
      </x:c>
    </x:row>
    <x:row r="12">
      <x:c r="A12" s="8" t="str">
        <x:v>ORD-0008</x:v>
      </x:c>
      <x:c r="B12" s="22" t="n">
        <x:v>45756.59752423611</x:v>
      </x:c>
      <x:c r="C12" s="8" t="str">
        <x:v>CUS-039</x:v>
      </x:c>
      <x:c r="D12" s="8" t="str">
        <x:f>IFERROR(INDEX('Lookup Tables'!$B$5:$B$84,MATCH(C12,'Lookup Tables'!$A$5:$A$84,0)),"Unknown Customer")</x:f>
        <x:v>Siddharth Jain 2</x:v>
      </x:c>
      <x:c r="E12" s="8" t="str">
        <x:f>IFERROR(INDEX('Lookup Tables'!$C$5:$C$84,MATCH(C12,'Lookup Tables'!$A$5:$A$84,0)),"Unknown")</x:f>
        <x:v>Small Business</x:v>
      </x:c>
      <x:c r="F12" s="8" t="str">
        <x:v>Kolkata</x:v>
      </x:c>
      <x:c r="G12" s="8" t="str">
        <x:f>IFERROR(INDEX('Lookup Tables'!$N$5:$N$14,MATCH(F12,'Lookup Tables'!$M$5:$M$14,0)),"Unknown")</x:f>
        <x:v>East</x:v>
      </x:c>
      <x:c r="H12" s="8" t="str">
        <x:v>PRD-003</x:v>
      </x:c>
      <x:c r="I12" s="8" t="str">
        <x:f>IFERROR(INDEX('Lookup Tables'!$G$5:$G$16,MATCH(H12,'Lookup Tables'!$F$5:$F$16,0)),"Unknown Product")</x:f>
        <x:v>USB-C Hub</x:v>
      </x:c>
      <x:c r="J12" s="8" t="str">
        <x:f>IFERROR(INDEX('Lookup Tables'!$H$5:$H$16,MATCH(H12,'Lookup Tables'!$F$5:$F$16,0)),"Unknown")</x:f>
        <x:v>Electronics</x:v>
      </x:c>
      <x:c r="K12" s="8" t="n">
        <x:v>1</x:v>
      </x:c>
      <x:c r="L12" s="9" t="n">
        <x:f>IFERROR(INDEX('Lookup Tables'!$I$5:$I$16,MATCH(H12,'Lookup Tables'!$F$5:$F$16,0)),0)</x:f>
        <x:v>1899</x:v>
      </x:c>
      <x:c r="M12" s="23" t="n">
        <x:f>IF('Raw Data'!M12="",0,'Raw Data'!M12)</x:f>
        <x:v>0.15</x:v>
      </x:c>
      <x:c r="N12" s="9" t="n">
        <x:f>IF(S12="Completed",K12*L12*(1-M12),0)</x:f>
        <x:v>1614.1499999999999</x:v>
      </x:c>
      <x:c r="O12" s="9" t="n">
        <x:f>IFERROR(INDEX('Lookup Tables'!$J$5:$J$16,MATCH(H12,'Lookup Tables'!$F$5:$F$16,0)),0)</x:f>
        <x:v>1180</x:v>
      </x:c>
      <x:c r="P12" s="9" t="n">
        <x:f>IF(S12="Completed",K12*O12,0)</x:f>
        <x:v>1180</x:v>
      </x:c>
      <x:c r="Q12" s="9" t="n">
        <x:f>N12-P12</x:f>
        <x:v>434.14999999999986</x:v>
      </x:c>
      <x:c r="R12" s="8" t="str">
        <x:f>IF(LOWER('Raw Data'!N12)="upi","UPI",'Raw Data'!N12)</x:f>
        <x:v>UPI</x:v>
      </x:c>
      <x:c r="S12" s="8" t="str">
        <x:v>Completed</x:v>
      </x:c>
      <x:c r="T12" s="8" t="str">
        <x:f>TEXT(B12,"mmm yyyy")</x:f>
        <x:v>Apr 2025</x:v>
      </x:c>
      <x:c r="U12" s="8" t="n">
        <x:f>YEAR(B12)</x:f>
        <x:v>2025</x:v>
      </x:c>
    </x:row>
    <x:row r="13">
      <x:c r="A13" s="8" t="str">
        <x:v>ORD-0009</x:v>
      </x:c>
      <x:c r="B13" s="22" t="n">
        <x:v>45836.40855778935</x:v>
      </x:c>
      <x:c r="C13" s="8" t="str">
        <x:v>CUS-019</x:v>
      </x:c>
      <x:c r="D13" s="8" t="str">
        <x:f>IFERROR(INDEX('Lookup Tables'!$B$5:$B$84,MATCH(C13,'Lookup Tables'!$A$5:$A$84,0)),"Unknown Customer")</x:f>
        <x:v>Siddharth Jain</x:v>
      </x:c>
      <x:c r="E13" s="8" t="str">
        <x:f>IFERROR(INDEX('Lookup Tables'!$C$5:$C$84,MATCH(C13,'Lookup Tables'!$A$5:$A$84,0)),"Unknown")</x:f>
        <x:v>Consumer</x:v>
      </x:c>
      <x:c r="F13" s="8" t="str">
        <x:v>Hyderabad</x:v>
      </x:c>
      <x:c r="G13" s="8" t="str">
        <x:f>IFERROR(INDEX('Lookup Tables'!$N$5:$N$14,MATCH(F13,'Lookup Tables'!$M$5:$M$14,0)),"Unknown")</x:f>
        <x:v>South</x:v>
      </x:c>
      <x:c r="H13" s="8" t="str">
        <x:v>PRD-009</x:v>
      </x:c>
      <x:c r="I13" s="8" t="str">
        <x:f>IFERROR(INDEX('Lookup Tables'!$G$5:$G$16,MATCH(H13,'Lookup Tables'!$F$5:$F$16,0)),"Unknown Product")</x:f>
        <x:v>Table Lamp</x:v>
      </x:c>
      <x:c r="J13" s="8" t="str">
        <x:f>IFERROR(INDEX('Lookup Tables'!$H$5:$H$16,MATCH(H13,'Lookup Tables'!$F$5:$F$16,0)),"Unknown")</x:f>
        <x:v>Home &amp; Kitchen</x:v>
      </x:c>
      <x:c r="K13" s="8" t="n">
        <x:v>4</x:v>
      </x:c>
      <x:c r="L13" s="9" t="n">
        <x:f>IFERROR(INDEX('Lookup Tables'!$I$5:$I$16,MATCH(H13,'Lookup Tables'!$F$5:$F$16,0)),0)</x:f>
        <x:v>1499</x:v>
      </x:c>
      <x:c r="M13" s="23" t="n">
        <x:f>IF('Raw Data'!M13="",0,'Raw Data'!M13)</x:f>
        <x:v>0.2</x:v>
      </x:c>
      <x:c r="N13" s="9" t="n">
        <x:f>IF(S13="Completed",K13*L13*(1-M13),0)</x:f>
        <x:v>4796.8</x:v>
      </x:c>
      <x:c r="O13" s="9" t="n">
        <x:f>IFERROR(INDEX('Lookup Tables'!$J$5:$J$16,MATCH(H13,'Lookup Tables'!$F$5:$F$16,0)),0)</x:f>
        <x:v>920</x:v>
      </x:c>
      <x:c r="P13" s="9" t="n">
        <x:f>IF(S13="Completed",K13*O13,0)</x:f>
        <x:v>3680</x:v>
      </x:c>
      <x:c r="Q13" s="9" t="n">
        <x:f>N13-P13</x:f>
        <x:v>1116.8000000000002</x:v>
      </x:c>
      <x:c r="R13" s="8" t="str">
        <x:f>IF(LOWER('Raw Data'!N13)="upi","UPI",'Raw Data'!N13)</x:f>
        <x:v>Cash on Delivery</x:v>
      </x:c>
      <x:c r="S13" s="8" t="str">
        <x:v>Completed</x:v>
      </x:c>
      <x:c r="T13" s="8" t="str">
        <x:f>TEXT(B13,"mmm yyyy")</x:f>
        <x:v>Jun 2025</x:v>
      </x:c>
      <x:c r="U13" s="8" t="n">
        <x:f>YEAR(B13)</x:f>
        <x:v>2025</x:v>
      </x:c>
    </x:row>
    <x:row r="14">
      <x:c r="A14" s="8" t="str">
        <x:v>ORD-0010</x:v>
      </x:c>
      <x:c r="B14" s="22" t="n">
        <x:v>45974.95322789352</x:v>
      </x:c>
      <x:c r="C14" s="8" t="str">
        <x:v>CUS-005</x:v>
      </x:c>
      <x:c r="D14" s="8" t="str">
        <x:f>IFERROR(INDEX('Lookup Tables'!$B$5:$B$84,MATCH(C14,'Lookup Tables'!$A$5:$A$84,0)),"Unknown Customer")</x:f>
        <x:v>Arjun Verma</x:v>
      </x:c>
      <x:c r="E14" s="8" t="str">
        <x:f>IFERROR(INDEX('Lookup Tables'!$C$5:$C$84,MATCH(C14,'Lookup Tables'!$A$5:$A$84,0)),"Unknown")</x:f>
        <x:v>Corporate</x:v>
      </x:c>
      <x:c r="F14" s="8" t="str">
        <x:v>Pune</x:v>
      </x:c>
      <x:c r="G14" s="8" t="str">
        <x:f>IFERROR(INDEX('Lookup Tables'!$N$5:$N$14,MATCH(F14,'Lookup Tables'!$M$5:$M$14,0)),"Unknown")</x:f>
        <x:v>West</x:v>
      </x:c>
      <x:c r="H14" s="8" t="str">
        <x:v>PRD-008</x:v>
      </x:c>
      <x:c r="I14" s="8" t="str">
        <x:f>IFERROR(INDEX('Lookup Tables'!$G$5:$G$16,MATCH(H14,'Lookup Tables'!$F$5:$F$16,0)),"Unknown Product")</x:f>
        <x:v>Storage Container Set</x:v>
      </x:c>
      <x:c r="J14" s="8" t="str">
        <x:f>IFERROR(INDEX('Lookup Tables'!$H$5:$H$16,MATCH(H14,'Lookup Tables'!$F$5:$F$16,0)),"Unknown")</x:f>
        <x:v>Home &amp; Kitchen</x:v>
      </x:c>
      <x:c r="K14" s="8" t="n">
        <x:v>2</x:v>
      </x:c>
      <x:c r="L14" s="9" t="n">
        <x:f>IFERROR(INDEX('Lookup Tables'!$I$5:$I$16,MATCH(H14,'Lookup Tables'!$F$5:$F$16,0)),0)</x:f>
        <x:v>999</x:v>
      </x:c>
      <x:c r="M14" s="23" t="n">
        <x:f>IF('Raw Data'!M14="",0,'Raw Data'!M14)</x:f>
        <x:v>0</x:v>
      </x:c>
      <x:c r="N14" s="9" t="n">
        <x:f>IF(S14="Completed",K14*L14*(1-M14),0)</x:f>
        <x:v>1998</x:v>
      </x:c>
      <x:c r="O14" s="9" t="n">
        <x:f>IFERROR(INDEX('Lookup Tables'!$J$5:$J$16,MATCH(H14,'Lookup Tables'!$F$5:$F$16,0)),0)</x:f>
        <x:v>580</x:v>
      </x:c>
      <x:c r="P14" s="9" t="n">
        <x:f>IF(S14="Completed",K14*O14,0)</x:f>
        <x:v>1160</x:v>
      </x:c>
      <x:c r="Q14" s="9" t="n">
        <x:f>N14-P14</x:f>
        <x:v>838</x:v>
      </x:c>
      <x:c r="R14" s="8" t="str">
        <x:f>IF(LOWER('Raw Data'!N14)="upi","UPI",'Raw Data'!N14)</x:f>
        <x:v>Credit Card</x:v>
      </x:c>
      <x:c r="S14" s="8" t="str">
        <x:v>Completed</x:v>
      </x:c>
      <x:c r="T14" s="8" t="str">
        <x:f>TEXT(B14,"mmm yyyy")</x:f>
        <x:v>Nov 2025</x:v>
      </x:c>
      <x:c r="U14" s="8" t="n">
        <x:f>YEAR(B14)</x:f>
        <x:v>2025</x:v>
      </x:c>
    </x:row>
    <x:row r="15">
      <x:c r="A15" s="8" t="str">
        <x:v>ORD-0011</x:v>
      </x:c>
      <x:c r="B15" s="22" t="n">
        <x:v>45795.18357059028</x:v>
      </x:c>
      <x:c r="C15" s="8" t="str">
        <x:v>CUS-003</x:v>
      </x:c>
      <x:c r="D15" s="8" t="str">
        <x:f>IFERROR(INDEX('Lookup Tables'!$B$5:$B$84,MATCH(C15,'Lookup Tables'!$A$5:$A$84,0)),"Unknown Customer")</x:f>
        <x:v>Vihaan Singh</x:v>
      </x:c>
      <x:c r="E15" s="8" t="str">
        <x:f>IFERROR(INDEX('Lookup Tables'!$C$5:$C$84,MATCH(C15,'Lookup Tables'!$A$5:$A$84,0)),"Unknown")</x:f>
        <x:v>Small Business</x:v>
      </x:c>
      <x:c r="F15" s="8" t="str">
        <x:v>Lucknow</x:v>
      </x:c>
      <x:c r="G15" s="8" t="str">
        <x:f>IFERROR(INDEX('Lookup Tables'!$N$5:$N$14,MATCH(F15,'Lookup Tables'!$M$5:$M$14,0)),"Unknown")</x:f>
        <x:v>North</x:v>
      </x:c>
      <x:c r="H15" s="8" t="str">
        <x:v>PRD-008</x:v>
      </x:c>
      <x:c r="I15" s="8" t="str">
        <x:f>IFERROR(INDEX('Lookup Tables'!$G$5:$G$16,MATCH(H15,'Lookup Tables'!$F$5:$F$16,0)),"Unknown Product")</x:f>
        <x:v>Storage Container Set</x:v>
      </x:c>
      <x:c r="J15" s="8" t="str">
        <x:f>IFERROR(INDEX('Lookup Tables'!$H$5:$H$16,MATCH(H15,'Lookup Tables'!$F$5:$F$16,0)),"Unknown")</x:f>
        <x:v>Home &amp; Kitchen</x:v>
      </x:c>
      <x:c r="K15" s="8" t="n">
        <x:v>3</x:v>
      </x:c>
      <x:c r="L15" s="9" t="n">
        <x:f>IFERROR(INDEX('Lookup Tables'!$I$5:$I$16,MATCH(H15,'Lookup Tables'!$F$5:$F$16,0)),0)</x:f>
        <x:v>999</x:v>
      </x:c>
      <x:c r="M15" s="23" t="n">
        <x:f>IF('Raw Data'!M15="",0,'Raw Data'!M15)</x:f>
        <x:v>0.15</x:v>
      </x:c>
      <x:c r="N15" s="9" t="n">
        <x:f>IF(S15="Completed",K15*L15*(1-M15),0)</x:f>
        <x:v>0</x:v>
      </x:c>
      <x:c r="O15" s="9" t="n">
        <x:f>IFERROR(INDEX('Lookup Tables'!$J$5:$J$16,MATCH(H15,'Lookup Tables'!$F$5:$F$16,0)),0)</x:f>
        <x:v>580</x:v>
      </x:c>
      <x:c r="P15" s="9" t="n">
        <x:f>IF(S15="Completed",K15*O15,0)</x:f>
        <x:v>0</x:v>
      </x:c>
      <x:c r="Q15" s="9" t="n">
        <x:f>N15-P15</x:f>
        <x:v>0</x:v>
      </x:c>
      <x:c r="R15" s="8" t="str">
        <x:f>IF(LOWER('Raw Data'!N15)="upi","UPI",'Raw Data'!N15)</x:f>
        <x:v>Net Banking</x:v>
      </x:c>
      <x:c r="S15" s="8" t="str">
        <x:v>Returned</x:v>
      </x:c>
      <x:c r="T15" s="8" t="str">
        <x:f>TEXT(B15,"mmm yyyy")</x:f>
        <x:v>May 2025</x:v>
      </x:c>
      <x:c r="U15" s="8" t="n">
        <x:f>YEAR(B15)</x:f>
        <x:v>2025</x:v>
      </x:c>
    </x:row>
    <x:row r="16">
      <x:c r="A16" s="8" t="str">
        <x:v>ORD-0012</x:v>
      </x:c>
      <x:c r="B16" s="22" t="n">
        <x:v>45675.483249398145</x:v>
      </x:c>
      <x:c r="C16" s="8" t="str">
        <x:v>CUS-076</x:v>
      </x:c>
      <x:c r="D16" s="8" t="str">
        <x:f>IFERROR(INDEX('Lookup Tables'!$B$5:$B$84,MATCH(C16,'Lookup Tables'!$A$5:$A$84,0)),"Unknown Customer")</x:f>
        <x:v>Pooja Saxena 4</x:v>
      </x:c>
      <x:c r="E16" s="8" t="str">
        <x:f>IFERROR(INDEX('Lookup Tables'!$C$5:$C$84,MATCH(C16,'Lookup Tables'!$A$5:$A$84,0)),"Unknown")</x:f>
        <x:v>Consumer</x:v>
      </x:c>
      <x:c r="F16" s="8" t="str">
        <x:v>Ahmedabad</x:v>
      </x:c>
      <x:c r="G16" s="8" t="str">
        <x:f>IFERROR(INDEX('Lookup Tables'!$N$5:$N$14,MATCH(F16,'Lookup Tables'!$M$5:$M$14,0)),"Unknown")</x:f>
        <x:v>West</x:v>
      </x:c>
      <x:c r="H16" s="8" t="str">
        <x:v>PRD-003</x:v>
      </x:c>
      <x:c r="I16" s="8" t="str">
        <x:f>IFERROR(INDEX('Lookup Tables'!$G$5:$G$16,MATCH(H16,'Lookup Tables'!$F$5:$F$16,0)),"Unknown Product")</x:f>
        <x:v>USB-C Hub</x:v>
      </x:c>
      <x:c r="J16" s="8" t="str">
        <x:f>IFERROR(INDEX('Lookup Tables'!$H$5:$H$16,MATCH(H16,'Lookup Tables'!$F$5:$F$16,0)),"Unknown")</x:f>
        <x:v>Electronics</x:v>
      </x:c>
      <x:c r="K16" s="8" t="n">
        <x:v>2</x:v>
      </x:c>
      <x:c r="L16" s="9" t="n">
        <x:f>IFERROR(INDEX('Lookup Tables'!$I$5:$I$16,MATCH(H16,'Lookup Tables'!$F$5:$F$16,0)),0)</x:f>
        <x:v>1899</x:v>
      </x:c>
      <x:c r="M16" s="23" t="n">
        <x:f>IF('Raw Data'!M16="",0,'Raw Data'!M16)</x:f>
        <x:v>0</x:v>
      </x:c>
      <x:c r="N16" s="9" t="n">
        <x:f>IF(S16="Completed",K16*L16*(1-M16),0)</x:f>
        <x:v>3798</x:v>
      </x:c>
      <x:c r="O16" s="9" t="n">
        <x:f>IFERROR(INDEX('Lookup Tables'!$J$5:$J$16,MATCH(H16,'Lookup Tables'!$F$5:$F$16,0)),0)</x:f>
        <x:v>1180</x:v>
      </x:c>
      <x:c r="P16" s="9" t="n">
        <x:f>IF(S16="Completed",K16*O16,0)</x:f>
        <x:v>2360</x:v>
      </x:c>
      <x:c r="Q16" s="9" t="n">
        <x:f>N16-P16</x:f>
        <x:v>1438</x:v>
      </x:c>
      <x:c r="R16" s="8" t="str">
        <x:f>IF(LOWER('Raw Data'!N16)="upi","UPI",'Raw Data'!N16)</x:f>
        <x:v>UPI</x:v>
      </x:c>
      <x:c r="S16" s="8" t="str">
        <x:v>Completed</x:v>
      </x:c>
      <x:c r="T16" s="8" t="str">
        <x:f>TEXT(B16,"mmm yyyy")</x:f>
        <x:v>Jan 2025</x:v>
      </x:c>
      <x:c r="U16" s="8" t="n">
        <x:f>YEAR(B16)</x:f>
        <x:v>2025</x:v>
      </x:c>
    </x:row>
    <x:row r="17">
      <x:c r="A17" s="8" t="str">
        <x:v>ORD-0013</x:v>
      </x:c>
      <x:c r="B17" s="22" t="n">
        <x:v>45939.76650087963</x:v>
      </x:c>
      <x:c r="C17" s="8" t="str">
        <x:v>CUS-038</x:v>
      </x:c>
      <x:c r="D17" s="8" t="str">
        <x:f>IFERROR(INDEX('Lookup Tables'!$B$5:$B$84,MATCH(C17,'Lookup Tables'!$A$5:$A$84,0)),"Unknown Customer")</x:f>
        <x:v>Nisha Bansal 2</x:v>
      </x:c>
      <x:c r="E17" s="8" t="str">
        <x:f>IFERROR(INDEX('Lookup Tables'!$C$5:$C$84,MATCH(C17,'Lookup Tables'!$A$5:$A$84,0)),"Unknown")</x:f>
        <x:v>Corporate</x:v>
      </x:c>
      <x:c r="F17" s="8" t="str">
        <x:v>Ahmedabad</x:v>
      </x:c>
      <x:c r="G17" s="8" t="str">
        <x:f>IFERROR(INDEX('Lookup Tables'!$N$5:$N$14,MATCH(F17,'Lookup Tables'!$M$5:$M$14,0)),"Unknown")</x:f>
        <x:v>West</x:v>
      </x:c>
      <x:c r="H17" s="8" t="str">
        <x:v>PRD-007</x:v>
      </x:c>
      <x:c r="I17" s="8" t="str">
        <x:f>IFERROR(INDEX('Lookup Tables'!$G$5:$G$16,MATCH(H17,'Lookup Tables'!$F$5:$F$16,0)),"Unknown Product")</x:f>
        <x:v>Electric Kettle</x:v>
      </x:c>
      <x:c r="J17" s="8" t="str">
        <x:f>IFERROR(INDEX('Lookup Tables'!$H$5:$H$16,MATCH(H17,'Lookup Tables'!$F$5:$F$16,0)),"Unknown")</x:f>
        <x:v>Home &amp; Kitchen</x:v>
      </x:c>
      <x:c r="K17" s="8" t="n">
        <x:v>5</x:v>
      </x:c>
      <x:c r="L17" s="9" t="n">
        <x:f>IFERROR(INDEX('Lookup Tables'!$I$5:$I$16,MATCH(H17,'Lookup Tables'!$F$5:$F$16,0)),0)</x:f>
        <x:v>1699</x:v>
      </x:c>
      <x:c r="M17" s="23" t="n">
        <x:f>IF('Raw Data'!M17="",0,'Raw Data'!M17)</x:f>
        <x:v>0.05</x:v>
      </x:c>
      <x:c r="N17" s="9" t="n">
        <x:f>IF(S17="Completed",K17*L17*(1-M17),0)</x:f>
        <x:v>8070.25</x:v>
      </x:c>
      <x:c r="O17" s="9" t="n">
        <x:f>IFERROR(INDEX('Lookup Tables'!$J$5:$J$16,MATCH(H17,'Lookup Tables'!$F$5:$F$16,0)),0)</x:f>
        <x:v>1040</x:v>
      </x:c>
      <x:c r="P17" s="9" t="n">
        <x:f>IF(S17="Completed",K17*O17,0)</x:f>
        <x:v>5200</x:v>
      </x:c>
      <x:c r="Q17" s="9" t="n">
        <x:f>N17-P17</x:f>
        <x:v>2870.25</x:v>
      </x:c>
      <x:c r="R17" s="8" t="str">
        <x:f>IF(LOWER('Raw Data'!N17)="upi","UPI",'Raw Data'!N17)</x:f>
        <x:v>Cash on Delivery</x:v>
      </x:c>
      <x:c r="S17" s="8" t="str">
        <x:v>Completed</x:v>
      </x:c>
      <x:c r="T17" s="8" t="str">
        <x:f>TEXT(B17,"mmm yyyy")</x:f>
        <x:v>Oct 2025</x:v>
      </x:c>
      <x:c r="U17" s="8" t="n">
        <x:f>YEAR(B17)</x:f>
        <x:v>2025</x:v>
      </x:c>
    </x:row>
    <x:row r="18">
      <x:c r="A18" s="8" t="str">
        <x:v>ORD-0014</x:v>
      </x:c>
      <x:c r="B18" s="22" t="n">
        <x:v>45662.14963193287</x:v>
      </x:c>
      <x:c r="C18" s="8" t="str">
        <x:v>CUS-064</x:v>
      </x:c>
      <x:c r="D18" s="8" t="str">
        <x:f>IFERROR(INDEX('Lookup Tables'!$B$5:$B$84,MATCH(C18,'Lookup Tables'!$A$5:$A$84,0)),"Unknown Customer")</x:f>
        <x:v>Ananya Gupta 4</x:v>
      </x:c>
      <x:c r="E18" s="8" t="str">
        <x:f>IFERROR(INDEX('Lookup Tables'!$C$5:$C$84,MATCH(C18,'Lookup Tables'!$A$5:$A$84,0)),"Unknown")</x:f>
        <x:v>Consumer</x:v>
      </x:c>
      <x:c r="F18" s="8" t="str">
        <x:v>Delhi</x:v>
      </x:c>
      <x:c r="G18" s="8" t="str">
        <x:f>IFERROR(INDEX('Lookup Tables'!$N$5:$N$14,MATCH(F18,'Lookup Tables'!$M$5:$M$14,0)),"Unknown")</x:f>
        <x:v>North</x:v>
      </x:c>
      <x:c r="H18" s="8" t="str">
        <x:v>PRD-009</x:v>
      </x:c>
      <x:c r="I18" s="8" t="str">
        <x:f>IFERROR(INDEX('Lookup Tables'!$G$5:$G$16,MATCH(H18,'Lookup Tables'!$F$5:$F$16,0)),"Unknown Product")</x:f>
        <x:v>Table Lamp</x:v>
      </x:c>
      <x:c r="J18" s="8" t="str">
        <x:f>IFERROR(INDEX('Lookup Tables'!$H$5:$H$16,MATCH(H18,'Lookup Tables'!$F$5:$F$16,0)),"Unknown")</x:f>
        <x:v>Home &amp; Kitchen</x:v>
      </x:c>
      <x:c r="K18" s="8" t="n">
        <x:v>5</x:v>
      </x:c>
      <x:c r="L18" s="9" t="n">
        <x:f>IFERROR(INDEX('Lookup Tables'!$I$5:$I$16,MATCH(H18,'Lookup Tables'!$F$5:$F$16,0)),0)</x:f>
        <x:v>1499</x:v>
      </x:c>
      <x:c r="M18" s="23" t="n">
        <x:f>IF('Raw Data'!M18="",0,'Raw Data'!M18)</x:f>
        <x:v>0.1</x:v>
      </x:c>
      <x:c r="N18" s="9" t="n">
        <x:f>IF(S18="Completed",K18*L18*(1-M18),0)</x:f>
        <x:v>6745.5</x:v>
      </x:c>
      <x:c r="O18" s="9" t="n">
        <x:f>IFERROR(INDEX('Lookup Tables'!$J$5:$J$16,MATCH(H18,'Lookup Tables'!$F$5:$F$16,0)),0)</x:f>
        <x:v>920</x:v>
      </x:c>
      <x:c r="P18" s="9" t="n">
        <x:f>IF(S18="Completed",K18*O18,0)</x:f>
        <x:v>4600</x:v>
      </x:c>
      <x:c r="Q18" s="9" t="n">
        <x:f>N18-P18</x:f>
        <x:v>2145.5</x:v>
      </x:c>
      <x:c r="R18" s="8" t="str">
        <x:f>IF(LOWER('Raw Data'!N18)="upi","UPI",'Raw Data'!N18)</x:f>
        <x:v>Cash on Delivery</x:v>
      </x:c>
      <x:c r="S18" s="8" t="str">
        <x:v>Completed</x:v>
      </x:c>
      <x:c r="T18" s="8" t="str">
        <x:f>TEXT(B18,"mmm yyyy")</x:f>
        <x:v>Jan 2025</x:v>
      </x:c>
      <x:c r="U18" s="8" t="n">
        <x:f>YEAR(B18)</x:f>
        <x:v>2025</x:v>
      </x:c>
    </x:row>
    <x:row r="19">
      <x:c r="A19" s="8" t="str">
        <x:v>ORD-0015</x:v>
      </x:c>
      <x:c r="B19" s="22" t="n">
        <x:v>45921.873251377314</x:v>
      </x:c>
      <x:c r="C19" s="8" t="str">
        <x:v>CUS-078</x:v>
      </x:c>
      <x:c r="D19" s="8" t="str">
        <x:f>IFERROR(INDEX('Lookup Tables'!$B$5:$B$84,MATCH(C19,'Lookup Tables'!$A$5:$A$84,0)),"Unknown Customer")</x:f>
        <x:v>Nisha Bansal 4</x:v>
      </x:c>
      <x:c r="E19" s="8" t="str">
        <x:f>IFERROR(INDEX('Lookup Tables'!$C$5:$C$84,MATCH(C19,'Lookup Tables'!$A$5:$A$84,0)),"Unknown")</x:f>
        <x:v>Small Business</x:v>
      </x:c>
      <x:c r="F19" s="8" t="str">
        <x:v>Chennai</x:v>
      </x:c>
      <x:c r="G19" s="8" t="str">
        <x:f>IFERROR(INDEX('Lookup Tables'!$N$5:$N$14,MATCH(F19,'Lookup Tables'!$M$5:$M$14,0)),"Unknown")</x:f>
        <x:v>South</x:v>
      </x:c>
      <x:c r="H19" s="8" t="str">
        <x:v>PRD-002</x:v>
      </x:c>
      <x:c r="I19" s="8" t="str">
        <x:f>IFERROR(INDEX('Lookup Tables'!$G$5:$G$16,MATCH(H19,'Lookup Tables'!$F$5:$F$16,0)),"Unknown Product")</x:f>
        <x:v>Bluetooth Headphones</x:v>
      </x:c>
      <x:c r="J19" s="8" t="str">
        <x:f>IFERROR(INDEX('Lookup Tables'!$H$5:$H$16,MATCH(H19,'Lookup Tables'!$F$5:$F$16,0)),"Unknown")</x:f>
        <x:v>Electronics</x:v>
      </x:c>
      <x:c r="K19" s="8" t="n">
        <x:v>1</x:v>
      </x:c>
      <x:c r="L19" s="9" t="n">
        <x:f>IFERROR(INDEX('Lookup Tables'!$I$5:$I$16,MATCH(H19,'Lookup Tables'!$F$5:$F$16,0)),0)</x:f>
        <x:v>2499</x:v>
      </x:c>
      <x:c r="M19" s="23" t="n">
        <x:f>IF('Raw Data'!M19="",0,'Raw Data'!M19)</x:f>
        <x:v>0.1</x:v>
      </x:c>
      <x:c r="N19" s="9" t="n">
        <x:f>IF(S19="Completed",K19*L19*(1-M19),0)</x:f>
        <x:v>2249.1</x:v>
      </x:c>
      <x:c r="O19" s="9" t="n">
        <x:f>IFERROR(INDEX('Lookup Tables'!$J$5:$J$16,MATCH(H19,'Lookup Tables'!$F$5:$F$16,0)),0)</x:f>
        <x:v>1620</x:v>
      </x:c>
      <x:c r="P19" s="9" t="n">
        <x:f>IF(S19="Completed",K19*O19,0)</x:f>
        <x:v>1620</x:v>
      </x:c>
      <x:c r="Q19" s="9" t="n">
        <x:f>N19-P19</x:f>
        <x:v>629.0999999999999</x:v>
      </x:c>
      <x:c r="R19" s="8" t="str">
        <x:f>IF(LOWER('Raw Data'!N19)="upi","UPI",'Raw Data'!N19)</x:f>
        <x:v>Cash on Delivery</x:v>
      </x:c>
      <x:c r="S19" s="8" t="str">
        <x:v>Completed</x:v>
      </x:c>
      <x:c r="T19" s="8" t="str">
        <x:f>TEXT(B19,"mmm yyyy")</x:f>
        <x:v>Sep 2025</x:v>
      </x:c>
      <x:c r="U19" s="8" t="n">
        <x:f>YEAR(B19)</x:f>
        <x:v>2025</x:v>
      </x:c>
    </x:row>
    <x:row r="20">
      <x:c r="A20" s="8" t="str">
        <x:v>ORD-0016</x:v>
      </x:c>
      <x:c r="B20" s="22" t="n">
        <x:v>45745.742958449075</x:v>
      </x:c>
      <x:c r="C20" s="8" t="str">
        <x:v>CUS-019</x:v>
      </x:c>
      <x:c r="D20" s="8" t="str">
        <x:f>IFERROR(INDEX('Lookup Tables'!$B$5:$B$84,MATCH(C20,'Lookup Tables'!$A$5:$A$84,0)),"Unknown Customer")</x:f>
        <x:v>Siddharth Jain</x:v>
      </x:c>
      <x:c r="E20" s="8" t="str">
        <x:f>IFERROR(INDEX('Lookup Tables'!$C$5:$C$84,MATCH(C20,'Lookup Tables'!$A$5:$A$84,0)),"Unknown")</x:f>
        <x:v>Consumer</x:v>
      </x:c>
      <x:c r="F20" s="8" t="str">
        <x:v>Kolkata</x:v>
      </x:c>
      <x:c r="G20" s="8" t="str">
        <x:f>IFERROR(INDEX('Lookup Tables'!$N$5:$N$14,MATCH(F20,'Lookup Tables'!$M$5:$M$14,0)),"Unknown")</x:f>
        <x:v>East</x:v>
      </x:c>
      <x:c r="H20" s="8" t="str">
        <x:v>PRD-010</x:v>
      </x:c>
      <x:c r="I20" s="8" t="str">
        <x:f>IFERROR(INDEX('Lookup Tables'!$G$5:$G$16,MATCH(H20,'Lookup Tables'!$F$5:$F$16,0)),"Unknown Product")</x:f>
        <x:v>Travel Backpack</x:v>
      </x:c>
      <x:c r="J20" s="8" t="str">
        <x:f>IFERROR(INDEX('Lookup Tables'!$H$5:$H$16,MATCH(H20,'Lookup Tables'!$F$5:$F$16,0)),"Unknown")</x:f>
        <x:v>Fashion</x:v>
      </x:c>
      <x:c r="K20" s="8" t="n">
        <x:v>1</x:v>
      </x:c>
      <x:c r="L20" s="9" t="n">
        <x:f>IFERROR(INDEX('Lookup Tables'!$I$5:$I$16,MATCH(H20,'Lookup Tables'!$F$5:$F$16,0)),0)</x:f>
        <x:v>2199</x:v>
      </x:c>
      <x:c r="M20" s="23" t="n">
        <x:f>IF('Raw Data'!M20="",0,'Raw Data'!M20)</x:f>
        <x:v>0.15</x:v>
      </x:c>
      <x:c r="N20" s="9" t="n">
        <x:f>IF(S20="Completed",K20*L20*(1-M20),0)</x:f>
        <x:v>1869.1499999999999</x:v>
      </x:c>
      <x:c r="O20" s="9" t="n">
        <x:f>IFERROR(INDEX('Lookup Tables'!$J$5:$J$16,MATCH(H20,'Lookup Tables'!$F$5:$F$16,0)),0)</x:f>
        <x:v>1380</x:v>
      </x:c>
      <x:c r="P20" s="9" t="n">
        <x:f>IF(S20="Completed",K20*O20,0)</x:f>
        <x:v>1380</x:v>
      </x:c>
      <x:c r="Q20" s="9" t="n">
        <x:f>N20-P20</x:f>
        <x:v>489.14999999999986</x:v>
      </x:c>
      <x:c r="R20" s="8" t="str">
        <x:f>IF(LOWER('Raw Data'!N20)="upi","UPI",'Raw Data'!N20)</x:f>
        <x:v>Debit Card</x:v>
      </x:c>
      <x:c r="S20" s="8" t="str">
        <x:v>Completed</x:v>
      </x:c>
      <x:c r="T20" s="8" t="str">
        <x:f>TEXT(B20,"mmm yyyy")</x:f>
        <x:v>Mar 2025</x:v>
      </x:c>
      <x:c r="U20" s="8" t="n">
        <x:f>YEAR(B20)</x:f>
        <x:v>2025</x:v>
      </x:c>
    </x:row>
    <x:row r="21">
      <x:c r="A21" s="8" t="str">
        <x:v>ORD-0017</x:v>
      </x:c>
      <x:c r="B21" s="22" t="n">
        <x:v>45936.36814413194</x:v>
      </x:c>
      <x:c r="C21" s="8" t="str">
        <x:v>CUS-079</x:v>
      </x:c>
      <x:c r="D21" s="8" t="str">
        <x:f>IFERROR(INDEX('Lookup Tables'!$B$5:$B$84,MATCH(C21,'Lookup Tables'!$A$5:$A$84,0)),"Unknown Customer")</x:f>
        <x:v>Siddharth Jain 4</x:v>
      </x:c>
      <x:c r="E21" s="8" t="str">
        <x:f>IFERROR(INDEX('Lookup Tables'!$C$5:$C$84,MATCH(C21,'Lookup Tables'!$A$5:$A$84,0)),"Unknown")</x:f>
        <x:v>Consumer</x:v>
      </x:c>
      <x:c r="F21" s="8" t="str">
        <x:v>Pune</x:v>
      </x:c>
      <x:c r="G21" s="8" t="str">
        <x:f>IFERROR(INDEX('Lookup Tables'!$N$5:$N$14,MATCH(F21,'Lookup Tables'!$M$5:$M$14,0)),"Unknown")</x:f>
        <x:v>West</x:v>
      </x:c>
      <x:c r="H21" s="8" t="str">
        <x:v>PRD-007</x:v>
      </x:c>
      <x:c r="I21" s="8" t="str">
        <x:f>IFERROR(INDEX('Lookup Tables'!$G$5:$G$16,MATCH(H21,'Lookup Tables'!$F$5:$F$16,0)),"Unknown Product")</x:f>
        <x:v>Electric Kettle</x:v>
      </x:c>
      <x:c r="J21" s="8" t="str">
        <x:f>IFERROR(INDEX('Lookup Tables'!$H$5:$H$16,MATCH(H21,'Lookup Tables'!$F$5:$F$16,0)),"Unknown")</x:f>
        <x:v>Home &amp; Kitchen</x:v>
      </x:c>
      <x:c r="K21" s="8" t="n">
        <x:v>5</x:v>
      </x:c>
      <x:c r="L21" s="9" t="n">
        <x:f>IFERROR(INDEX('Lookup Tables'!$I$5:$I$16,MATCH(H21,'Lookup Tables'!$F$5:$F$16,0)),0)</x:f>
        <x:v>1699</x:v>
      </x:c>
      <x:c r="M21" s="23" t="n">
        <x:f>IF('Raw Data'!M21="",0,'Raw Data'!M21)</x:f>
        <x:v>0.05</x:v>
      </x:c>
      <x:c r="N21" s="9" t="n">
        <x:f>IF(S21="Completed",K21*L21*(1-M21),0)</x:f>
        <x:v>8070.25</x:v>
      </x:c>
      <x:c r="O21" s="9" t="n">
        <x:f>IFERROR(INDEX('Lookup Tables'!$J$5:$J$16,MATCH(H21,'Lookup Tables'!$F$5:$F$16,0)),0)</x:f>
        <x:v>1040</x:v>
      </x:c>
      <x:c r="P21" s="9" t="n">
        <x:f>IF(S21="Completed",K21*O21,0)</x:f>
        <x:v>5200</x:v>
      </x:c>
      <x:c r="Q21" s="9" t="n">
        <x:f>N21-P21</x:f>
        <x:v>2870.25</x:v>
      </x:c>
      <x:c r="R21" s="8" t="str">
        <x:f>IF(LOWER('Raw Data'!N21)="upi","UPI",'Raw Data'!N21)</x:f>
        <x:v>Net Banking</x:v>
      </x:c>
      <x:c r="S21" s="8" t="str">
        <x:v>Completed</x:v>
      </x:c>
      <x:c r="T21" s="8" t="str">
        <x:f>TEXT(B21,"mmm yyyy")</x:f>
        <x:v>Oct 2025</x:v>
      </x:c>
      <x:c r="U21" s="8" t="n">
        <x:f>YEAR(B21)</x:f>
        <x:v>2025</x:v>
      </x:c>
    </x:row>
    <x:row r="22">
      <x:c r="A22" s="8" t="str">
        <x:v>ORD-0018</x:v>
      </x:c>
      <x:c r="B22" s="22" t="n">
        <x:v>45810.90985082176</x:v>
      </x:c>
      <x:c r="C22" s="8" t="str">
        <x:v>CUS-002</x:v>
      </x:c>
      <x:c r="D22" s="8" t="str">
        <x:f>IFERROR(INDEX('Lookup Tables'!$B$5:$B$84,MATCH(C22,'Lookup Tables'!$A$5:$A$84,0)),"Unknown Customer")</x:f>
        <x:v>Diya Patel</x:v>
      </x:c>
      <x:c r="E22" s="8" t="str">
        <x:f>IFERROR(INDEX('Lookup Tables'!$C$5:$C$84,MATCH(C22,'Lookup Tables'!$A$5:$A$84,0)),"Unknown")</x:f>
        <x:v>Corporate</x:v>
      </x:c>
      <x:c r="F22" s="8" t="str">
        <x:v>Hyderabad</x:v>
      </x:c>
      <x:c r="G22" s="8" t="str">
        <x:f>IFERROR(INDEX('Lookup Tables'!$N$5:$N$14,MATCH(F22,'Lookup Tables'!$M$5:$M$14,0)),"Unknown")</x:f>
        <x:v>South</x:v>
      </x:c>
      <x:c r="H22" s="8" t="str">
        <x:v>PRD-001</x:v>
      </x:c>
      <x:c r="I22" s="8" t="str">
        <x:f>IFERROR(INDEX('Lookup Tables'!$G$5:$G$16,MATCH(H22,'Lookup Tables'!$F$5:$F$16,0)),"Unknown Product")</x:f>
        <x:v>Wireless Mouse</x:v>
      </x:c>
      <x:c r="J22" s="8" t="str">
        <x:f>IFERROR(INDEX('Lookup Tables'!$H$5:$H$16,MATCH(H22,'Lookup Tables'!$F$5:$F$16,0)),"Unknown")</x:f>
        <x:v>Electronics</x:v>
      </x:c>
      <x:c r="K22" s="8" t="n">
        <x:v>4</x:v>
      </x:c>
      <x:c r="L22" s="9" t="n">
        <x:f>IFERROR(INDEX('Lookup Tables'!$I$5:$I$16,MATCH(H22,'Lookup Tables'!$F$5:$F$16,0)),0)</x:f>
        <x:v>899</x:v>
      </x:c>
      <x:c r="M22" s="23" t="n">
        <x:f>IF('Raw Data'!M22="",0,'Raw Data'!M22)</x:f>
        <x:v>0</x:v>
      </x:c>
      <x:c r="N22" s="9" t="n">
        <x:f>IF(S22="Completed",K22*L22*(1-M22),0)</x:f>
        <x:v>0</x:v>
      </x:c>
      <x:c r="O22" s="9" t="n">
        <x:f>IFERROR(INDEX('Lookup Tables'!$J$5:$J$16,MATCH(H22,'Lookup Tables'!$F$5:$F$16,0)),0)</x:f>
        <x:v>540</x:v>
      </x:c>
      <x:c r="P22" s="9" t="n">
        <x:f>IF(S22="Completed",K22*O22,0)</x:f>
        <x:v>0</x:v>
      </x:c>
      <x:c r="Q22" s="9" t="n">
        <x:f>N22-P22</x:f>
        <x:v>0</x:v>
      </x:c>
      <x:c r="R22" s="8" t="str">
        <x:f>IF(LOWER('Raw Data'!N22)="upi","UPI",'Raw Data'!N22)</x:f>
        <x:v>Net Banking</x:v>
      </x:c>
      <x:c r="S22" s="8" t="str">
        <x:v>Returned</x:v>
      </x:c>
      <x:c r="T22" s="8" t="str">
        <x:f>TEXT(B22,"mmm yyyy")</x:f>
        <x:v>Jun 2025</x:v>
      </x:c>
      <x:c r="U22" s="8" t="n">
        <x:f>YEAR(B22)</x:f>
        <x:v>2025</x:v>
      </x:c>
    </x:row>
    <x:row r="23">
      <x:c r="A23" s="8" t="str">
        <x:v>ORD-0019</x:v>
      </x:c>
      <x:c r="B23" s="22" t="n">
        <x:v>45957.947532488426</x:v>
      </x:c>
      <x:c r="C23" s="8" t="str">
        <x:v>CUS-062</x:v>
      </x:c>
      <x:c r="D23" s="8" t="str">
        <x:f>IFERROR(INDEX('Lookup Tables'!$B$5:$B$84,MATCH(C23,'Lookup Tables'!$A$5:$A$84,0)),"Unknown Customer")</x:f>
        <x:v>Diya Patel 4</x:v>
      </x:c>
      <x:c r="E23" s="8" t="str">
        <x:f>IFERROR(INDEX('Lookup Tables'!$C$5:$C$84,MATCH(C23,'Lookup Tables'!$A$5:$A$84,0)),"Unknown")</x:f>
        <x:v>Corporate</x:v>
      </x:c>
      <x:c r="F23" s="8" t="str">
        <x:v>Lucknow</x:v>
      </x:c>
      <x:c r="G23" s="8" t="str">
        <x:f>IFERROR(INDEX('Lookup Tables'!$N$5:$N$14,MATCH(F23,'Lookup Tables'!$M$5:$M$14,0)),"Unknown")</x:f>
        <x:v>North</x:v>
      </x:c>
      <x:c r="H23" s="8" t="str">
        <x:v>PRD-005</x:v>
      </x:c>
      <x:c r="I23" s="8" t="str">
        <x:f>IFERROR(INDEX('Lookup Tables'!$G$5:$G$16,MATCH(H23,'Lookup Tables'!$F$5:$F$16,0)),"Unknown Product")</x:f>
        <x:v>Executive Notebook</x:v>
      </x:c>
      <x:c r="J23" s="8" t="str">
        <x:f>IFERROR(INDEX('Lookup Tables'!$H$5:$H$16,MATCH(H23,'Lookup Tables'!$F$5:$F$16,0)),"Unknown")</x:f>
        <x:v>Office Supplies</x:v>
      </x:c>
      <x:c r="K23" s="8" t="n">
        <x:v>5</x:v>
      </x:c>
      <x:c r="L23" s="9" t="n">
        <x:f>IFERROR(INDEX('Lookup Tables'!$I$5:$I$16,MATCH(H23,'Lookup Tables'!$F$5:$F$16,0)),0)</x:f>
        <x:v>349</x:v>
      </x:c>
      <x:c r="M23" s="23" t="n">
        <x:f>IF('Raw Data'!M23="",0,'Raw Data'!M23)</x:f>
        <x:v>0</x:v>
      </x:c>
      <x:c r="N23" s="9" t="n">
        <x:f>IF(S23="Completed",K23*L23*(1-M23),0)</x:f>
        <x:v>1745</x:v>
      </x:c>
      <x:c r="O23" s="9" t="n">
        <x:f>IFERROR(INDEX('Lookup Tables'!$J$5:$J$16,MATCH(H23,'Lookup Tables'!$F$5:$F$16,0)),0)</x:f>
        <x:v>170</x:v>
      </x:c>
      <x:c r="P23" s="9" t="n">
        <x:f>IF(S23="Completed",K23*O23,0)</x:f>
        <x:v>850</x:v>
      </x:c>
      <x:c r="Q23" s="9" t="n">
        <x:f>N23-P23</x:f>
        <x:v>895</x:v>
      </x:c>
      <x:c r="R23" s="8" t="str">
        <x:f>IF(LOWER('Raw Data'!N23)="upi","UPI",'Raw Data'!N23)</x:f>
        <x:v>Cash on Delivery</x:v>
      </x:c>
      <x:c r="S23" s="8" t="str">
        <x:v>Completed</x:v>
      </x:c>
      <x:c r="T23" s="8" t="str">
        <x:f>TEXT(B23,"mmm yyyy")</x:f>
        <x:v>Oct 2025</x:v>
      </x:c>
      <x:c r="U23" s="8" t="n">
        <x:f>YEAR(B23)</x:f>
        <x:v>2025</x:v>
      </x:c>
    </x:row>
    <x:row r="24">
      <x:c r="A24" s="8" t="str">
        <x:v>ORD-0020</x:v>
      </x:c>
      <x:c r="B24" s="22" t="n">
        <x:v>46015.94844467592</x:v>
      </x:c>
      <x:c r="C24" s="8" t="str">
        <x:v>CUS-006</x:v>
      </x:c>
      <x:c r="D24" s="8" t="str">
        <x:f>IFERROR(INDEX('Lookup Tables'!$B$5:$B$84,MATCH(C24,'Lookup Tables'!$A$5:$A$84,0)),"Unknown Customer")</x:f>
        <x:v>Isha Mehta</x:v>
      </x:c>
      <x:c r="E24" s="8" t="str">
        <x:f>IFERROR(INDEX('Lookup Tables'!$C$5:$C$84,MATCH(C24,'Lookup Tables'!$A$5:$A$84,0)),"Unknown")</x:f>
        <x:v>Small Business</x:v>
      </x:c>
      <x:c r="F24" s="8" t="str">
        <x:v>Pune</x:v>
      </x:c>
      <x:c r="G24" s="8" t="str">
        <x:f>IFERROR(INDEX('Lookup Tables'!$N$5:$N$14,MATCH(F24,'Lookup Tables'!$M$5:$M$14,0)),"Unknown")</x:f>
        <x:v>West</x:v>
      </x:c>
      <x:c r="H24" s="8" t="str">
        <x:v>PRD-002</x:v>
      </x:c>
      <x:c r="I24" s="8" t="str">
        <x:f>IFERROR(INDEX('Lookup Tables'!$G$5:$G$16,MATCH(H24,'Lookup Tables'!$F$5:$F$16,0)),"Unknown Product")</x:f>
        <x:v>Bluetooth Headphones</x:v>
      </x:c>
      <x:c r="J24" s="8" t="str">
        <x:f>IFERROR(INDEX('Lookup Tables'!$H$5:$H$16,MATCH(H24,'Lookup Tables'!$F$5:$F$16,0)),"Unknown")</x:f>
        <x:v>Electronics</x:v>
      </x:c>
      <x:c r="K24" s="8" t="n">
        <x:v>5</x:v>
      </x:c>
      <x:c r="L24" s="9" t="n">
        <x:f>IFERROR(INDEX('Lookup Tables'!$I$5:$I$16,MATCH(H24,'Lookup Tables'!$F$5:$F$16,0)),0)</x:f>
        <x:v>2499</x:v>
      </x:c>
      <x:c r="M24" s="23" t="n">
        <x:f>IF('Raw Data'!M24="",0,'Raw Data'!M24)</x:f>
        <x:v>0.15</x:v>
      </x:c>
      <x:c r="N24" s="9" t="n">
        <x:f>IF(S24="Completed",K24*L24*(1-M24),0)</x:f>
        <x:v>10620.75</x:v>
      </x:c>
      <x:c r="O24" s="9" t="n">
        <x:f>IFERROR(INDEX('Lookup Tables'!$J$5:$J$16,MATCH(H24,'Lookup Tables'!$F$5:$F$16,0)),0)</x:f>
        <x:v>1620</x:v>
      </x:c>
      <x:c r="P24" s="9" t="n">
        <x:f>IF(S24="Completed",K24*O24,0)</x:f>
        <x:v>8100</x:v>
      </x:c>
      <x:c r="Q24" s="9" t="n">
        <x:f>N24-P24</x:f>
        <x:v>2520.75</x:v>
      </x:c>
      <x:c r="R24" s="8" t="str">
        <x:f>IF(LOWER('Raw Data'!N24)="upi","UPI",'Raw Data'!N24)</x:f>
        <x:v>Credit Card</x:v>
      </x:c>
      <x:c r="S24" s="8" t="str">
        <x:v>Completed</x:v>
      </x:c>
      <x:c r="T24" s="8" t="str">
        <x:f>TEXT(B24,"mmm yyyy")</x:f>
        <x:v>Dec 2025</x:v>
      </x:c>
      <x:c r="U24" s="8" t="n">
        <x:f>YEAR(B24)</x:f>
        <x:v>2025</x:v>
      </x:c>
    </x:row>
    <x:row r="25">
      <x:c r="A25" s="8" t="str">
        <x:v>ORD-0021</x:v>
      </x:c>
      <x:c r="B25" s="22" t="n">
        <x:v>45681.981474594904</x:v>
      </x:c>
      <x:c r="C25" s="8" t="str">
        <x:v>CUS-010</x:v>
      </x:c>
      <x:c r="D25" s="8" t="str">
        <x:f>IFERROR(INDEX('Lookup Tables'!$B$5:$B$84,MATCH(C25,'Lookup Tables'!$A$5:$A$84,0)),"Unknown Customer")</x:f>
        <x:v>Saanvi Iyer</x:v>
      </x:c>
      <x:c r="E25" s="8" t="str">
        <x:f>IFERROR(INDEX('Lookup Tables'!$C$5:$C$84,MATCH(C25,'Lookup Tables'!$A$5:$A$84,0)),"Unknown")</x:f>
        <x:v>Consumer</x:v>
      </x:c>
      <x:c r="F25" s="8" t="str">
        <x:v>Kolkata</x:v>
      </x:c>
      <x:c r="G25" s="8" t="str">
        <x:f>IFERROR(INDEX('Lookup Tables'!$N$5:$N$14,MATCH(F25,'Lookup Tables'!$M$5:$M$14,0)),"Unknown")</x:f>
        <x:v>East</x:v>
      </x:c>
      <x:c r="H25" s="8" t="str">
        <x:v>PRD-008</x:v>
      </x:c>
      <x:c r="I25" s="8" t="str">
        <x:f>IFERROR(INDEX('Lookup Tables'!$G$5:$G$16,MATCH(H25,'Lookup Tables'!$F$5:$F$16,0)),"Unknown Product")</x:f>
        <x:v>Storage Container Set</x:v>
      </x:c>
      <x:c r="J25" s="8" t="str">
        <x:f>IFERROR(INDEX('Lookup Tables'!$H$5:$H$16,MATCH(H25,'Lookup Tables'!$F$5:$F$16,0)),"Unknown")</x:f>
        <x:v>Home &amp; Kitchen</x:v>
      </x:c>
      <x:c r="K25" s="8" t="n">
        <x:v>1</x:v>
      </x:c>
      <x:c r="L25" s="9" t="n">
        <x:f>IFERROR(INDEX('Lookup Tables'!$I$5:$I$16,MATCH(H25,'Lookup Tables'!$F$5:$F$16,0)),0)</x:f>
        <x:v>999</x:v>
      </x:c>
      <x:c r="M25" s="23" t="n">
        <x:f>IF('Raw Data'!M25="",0,'Raw Data'!M25)</x:f>
        <x:v>0.15</x:v>
      </x:c>
      <x:c r="N25" s="9" t="n">
        <x:f>IF(S25="Completed",K25*L25*(1-M25),0)</x:f>
        <x:v>849.15</x:v>
      </x:c>
      <x:c r="O25" s="9" t="n">
        <x:f>IFERROR(INDEX('Lookup Tables'!$J$5:$J$16,MATCH(H25,'Lookup Tables'!$F$5:$F$16,0)),0)</x:f>
        <x:v>580</x:v>
      </x:c>
      <x:c r="P25" s="9" t="n">
        <x:f>IF(S25="Completed",K25*O25,0)</x:f>
        <x:v>580</x:v>
      </x:c>
      <x:c r="Q25" s="9" t="n">
        <x:f>N25-P25</x:f>
        <x:v>269.15</x:v>
      </x:c>
      <x:c r="R25" s="8" t="str">
        <x:f>IF(LOWER('Raw Data'!N25)="upi","UPI",'Raw Data'!N25)</x:f>
        <x:v>Credit Card</x:v>
      </x:c>
      <x:c r="S25" s="8" t="str">
        <x:v>Completed</x:v>
      </x:c>
      <x:c r="T25" s="8" t="str">
        <x:f>TEXT(B25,"mmm yyyy")</x:f>
        <x:v>Jan 2025</x:v>
      </x:c>
      <x:c r="U25" s="8" t="n">
        <x:f>YEAR(B25)</x:f>
        <x:v>2025</x:v>
      </x:c>
    </x:row>
    <x:row r="26">
      <x:c r="A26" s="8" t="str">
        <x:v>ORD-0022</x:v>
      </x:c>
      <x:c r="B26" s="22" t="n">
        <x:v>45995.75736212963</x:v>
      </x:c>
      <x:c r="C26" s="8" t="str">
        <x:v>CUS-022</x:v>
      </x:c>
      <x:c r="D26" s="8" t="str">
        <x:f>IFERROR(INDEX('Lookup Tables'!$B$5:$B$84,MATCH(C26,'Lookup Tables'!$A$5:$A$84,0)),"Unknown Customer")</x:f>
        <x:v>Diya Patel 2</x:v>
      </x:c>
      <x:c r="E26" s="8" t="str">
        <x:f>IFERROR(INDEX('Lookup Tables'!$C$5:$C$84,MATCH(C26,'Lookup Tables'!$A$5:$A$84,0)),"Unknown")</x:f>
        <x:v>Consumer</x:v>
      </x:c>
      <x:c r="F26" s="8" t="str">
        <x:v>Lucknow</x:v>
      </x:c>
      <x:c r="G26" s="8" t="str">
        <x:f>IFERROR(INDEX('Lookup Tables'!$N$5:$N$14,MATCH(F26,'Lookup Tables'!$M$5:$M$14,0)),"Unknown")</x:f>
        <x:v>North</x:v>
      </x:c>
      <x:c r="H26" s="8" t="str">
        <x:v>PRD-006</x:v>
      </x:c>
      <x:c r="I26" s="8" t="str">
        <x:f>IFERROR(INDEX('Lookup Tables'!$G$5:$G$16,MATCH(H26,'Lookup Tables'!$F$5:$F$16,0)),"Unknown Product")</x:f>
        <x:v>Desk Organiser</x:v>
      </x:c>
      <x:c r="J26" s="8" t="str">
        <x:f>IFERROR(INDEX('Lookup Tables'!$H$5:$H$16,MATCH(H26,'Lookup Tables'!$F$5:$F$16,0)),"Unknown")</x:f>
        <x:v>Office Supplies</x:v>
      </x:c>
      <x:c r="K26" s="8" t="n">
        <x:v>5</x:v>
      </x:c>
      <x:c r="L26" s="9" t="n">
        <x:f>IFERROR(INDEX('Lookup Tables'!$I$5:$I$16,MATCH(H26,'Lookup Tables'!$F$5:$F$16,0)),0)</x:f>
        <x:v>699</x:v>
      </x:c>
      <x:c r="M26" s="23" t="n">
        <x:f>IF('Raw Data'!M26="",0,'Raw Data'!M26)</x:f>
        <x:v>0</x:v>
      </x:c>
      <x:c r="N26" s="9" t="n">
        <x:f>IF(S26="Completed",K26*L26*(1-M26),0)</x:f>
        <x:v>3495</x:v>
      </x:c>
      <x:c r="O26" s="9" t="n">
        <x:f>IFERROR(INDEX('Lookup Tables'!$J$5:$J$16,MATCH(H26,'Lookup Tables'!$F$5:$F$16,0)),0)</x:f>
        <x:v>390</x:v>
      </x:c>
      <x:c r="P26" s="9" t="n">
        <x:f>IF(S26="Completed",K26*O26,0)</x:f>
        <x:v>1950</x:v>
      </x:c>
      <x:c r="Q26" s="9" t="n">
        <x:f>N26-P26</x:f>
        <x:v>1545</x:v>
      </x:c>
      <x:c r="R26" s="8" t="str">
        <x:f>IF(LOWER('Raw Data'!N26)="upi","UPI",'Raw Data'!N26)</x:f>
        <x:v>UPI</x:v>
      </x:c>
      <x:c r="S26" s="8" t="str">
        <x:v>Completed</x:v>
      </x:c>
      <x:c r="T26" s="8" t="str">
        <x:f>TEXT(B26,"mmm yyyy")</x:f>
        <x:v>Dec 2025</x:v>
      </x:c>
      <x:c r="U26" s="8" t="n">
        <x:f>YEAR(B26)</x:f>
        <x:v>2025</x:v>
      </x:c>
    </x:row>
    <x:row r="27">
      <x:c r="A27" s="8" t="str">
        <x:v>ORD-0023</x:v>
      </x:c>
      <x:c r="B27" s="22" t="n">
        <x:v>45853.115744814815</x:v>
      </x:c>
      <x:c r="C27" s="8" t="str">
        <x:v>CUS-014</x:v>
      </x:c>
      <x:c r="D27" s="8" t="str">
        <x:f>IFERROR(INDEX('Lookup Tables'!$B$5:$B$84,MATCH(C27,'Lookup Tables'!$A$5:$A$84,0)),"Unknown Customer")</x:f>
        <x:v>Neha Rao</x:v>
      </x:c>
      <x:c r="E27" s="8" t="str">
        <x:f>IFERROR(INDEX('Lookup Tables'!$C$5:$C$84,MATCH(C27,'Lookup Tables'!$A$5:$A$84,0)),"Unknown")</x:f>
        <x:v>Corporate</x:v>
      </x:c>
      <x:c r="F27" s="8" t="str">
        <x:v>Lucknow</x:v>
      </x:c>
      <x:c r="G27" s="8" t="str">
        <x:f>IFERROR(INDEX('Lookup Tables'!$N$5:$N$14,MATCH(F27,'Lookup Tables'!$M$5:$M$14,0)),"Unknown")</x:f>
        <x:v>North</x:v>
      </x:c>
      <x:c r="H27" s="8" t="str">
        <x:v>PRD-002</x:v>
      </x:c>
      <x:c r="I27" s="8" t="str">
        <x:f>IFERROR(INDEX('Lookup Tables'!$G$5:$G$16,MATCH(H27,'Lookup Tables'!$F$5:$F$16,0)),"Unknown Product")</x:f>
        <x:v>Bluetooth Headphones</x:v>
      </x:c>
      <x:c r="J27" s="8" t="str">
        <x:f>IFERROR(INDEX('Lookup Tables'!$H$5:$H$16,MATCH(H27,'Lookup Tables'!$F$5:$F$16,0)),"Unknown")</x:f>
        <x:v>Electronics</x:v>
      </x:c>
      <x:c r="K27" s="8" t="n">
        <x:v>1</x:v>
      </x:c>
      <x:c r="L27" s="9" t="n">
        <x:f>IFERROR(INDEX('Lookup Tables'!$I$5:$I$16,MATCH(H27,'Lookup Tables'!$F$5:$F$16,0)),0)</x:f>
        <x:v>2499</x:v>
      </x:c>
      <x:c r="M27" s="23" t="n">
        <x:f>IF('Raw Data'!M27="",0,'Raw Data'!M27)</x:f>
        <x:v>0.1</x:v>
      </x:c>
      <x:c r="N27" s="9" t="n">
        <x:f>IF(S27="Completed",K27*L27*(1-M27),0)</x:f>
        <x:v>2249.1</x:v>
      </x:c>
      <x:c r="O27" s="9" t="n">
        <x:f>IFERROR(INDEX('Lookup Tables'!$J$5:$J$16,MATCH(H27,'Lookup Tables'!$F$5:$F$16,0)),0)</x:f>
        <x:v>1620</x:v>
      </x:c>
      <x:c r="P27" s="9" t="n">
        <x:f>IF(S27="Completed",K27*O27,0)</x:f>
        <x:v>1620</x:v>
      </x:c>
      <x:c r="Q27" s="9" t="n">
        <x:f>N27-P27</x:f>
        <x:v>629.0999999999999</x:v>
      </x:c>
      <x:c r="R27" s="8" t="str">
        <x:f>IF(LOWER('Raw Data'!N27)="upi","UPI",'Raw Data'!N27)</x:f>
        <x:v>Credit Card</x:v>
      </x:c>
      <x:c r="S27" s="8" t="str">
        <x:v>Completed</x:v>
      </x:c>
      <x:c r="T27" s="8" t="str">
        <x:f>TEXT(B27,"mmm yyyy")</x:f>
        <x:v>Jul 2025</x:v>
      </x:c>
      <x:c r="U27" s="8" t="n">
        <x:f>YEAR(B27)</x:f>
        <x:v>2025</x:v>
      </x:c>
    </x:row>
    <x:row r="28">
      <x:c r="A28" s="8" t="str">
        <x:v>ORD-0024</x:v>
      </x:c>
      <x:c r="B28" s="22" t="n">
        <x:v>45788.19102564815</x:v>
      </x:c>
      <x:c r="C28" s="8" t="str">
        <x:v>CUS-036</x:v>
      </x:c>
      <x:c r="D28" s="8" t="str">
        <x:f>IFERROR(INDEX('Lookup Tables'!$B$5:$B$84,MATCH(C28,'Lookup Tables'!$A$5:$A$84,0)),"Unknown Customer")</x:f>
        <x:v>Pooja Saxena 2</x:v>
      </x:c>
      <x:c r="E28" s="8" t="str">
        <x:f>IFERROR(INDEX('Lookup Tables'!$C$5:$C$84,MATCH(C28,'Lookup Tables'!$A$5:$A$84,0)),"Unknown")</x:f>
        <x:v>Small Business</x:v>
      </x:c>
      <x:c r="F28" s="8" t="str">
        <x:v>Delhi</x:v>
      </x:c>
      <x:c r="G28" s="8" t="str">
        <x:f>IFERROR(INDEX('Lookup Tables'!$N$5:$N$14,MATCH(F28,'Lookup Tables'!$M$5:$M$14,0)),"Unknown")</x:f>
        <x:v>North</x:v>
      </x:c>
      <x:c r="H28" s="8" t="str">
        <x:v>PRD-003</x:v>
      </x:c>
      <x:c r="I28" s="8" t="str">
        <x:f>IFERROR(INDEX('Lookup Tables'!$G$5:$G$16,MATCH(H28,'Lookup Tables'!$F$5:$F$16,0)),"Unknown Product")</x:f>
        <x:v>USB-C Hub</x:v>
      </x:c>
      <x:c r="J28" s="8" t="str">
        <x:f>IFERROR(INDEX('Lookup Tables'!$H$5:$H$16,MATCH(H28,'Lookup Tables'!$F$5:$F$16,0)),"Unknown")</x:f>
        <x:v>Electronics</x:v>
      </x:c>
      <x:c r="K28" s="8" t="n">
        <x:v>4</x:v>
      </x:c>
      <x:c r="L28" s="9" t="n">
        <x:f>IFERROR(INDEX('Lookup Tables'!$I$5:$I$16,MATCH(H28,'Lookup Tables'!$F$5:$F$16,0)),0)</x:f>
        <x:v>1899</x:v>
      </x:c>
      <x:c r="M28" s="23" t="n">
        <x:f>IF('Raw Data'!M28="",0,'Raw Data'!M28)</x:f>
        <x:v>0.2</x:v>
      </x:c>
      <x:c r="N28" s="9" t="n">
        <x:f>IF(S28="Completed",K28*L28*(1-M28),0)</x:f>
        <x:v>0</x:v>
      </x:c>
      <x:c r="O28" s="9" t="n">
        <x:f>IFERROR(INDEX('Lookup Tables'!$J$5:$J$16,MATCH(H28,'Lookup Tables'!$F$5:$F$16,0)),0)</x:f>
        <x:v>1180</x:v>
      </x:c>
      <x:c r="P28" s="9" t="n">
        <x:f>IF(S28="Completed",K28*O28,0)</x:f>
        <x:v>0</x:v>
      </x:c>
      <x:c r="Q28" s="9" t="n">
        <x:f>N28-P28</x:f>
        <x:v>0</x:v>
      </x:c>
      <x:c r="R28" s="8" t="str">
        <x:f>IF(LOWER('Raw Data'!N28)="upi","UPI",'Raw Data'!N28)</x:f>
        <x:v>Net Banking</x:v>
      </x:c>
      <x:c r="S28" s="8" t="str">
        <x:v>Returned</x:v>
      </x:c>
      <x:c r="T28" s="8" t="str">
        <x:f>TEXT(B28,"mmm yyyy")</x:f>
        <x:v>May 2025</x:v>
      </x:c>
      <x:c r="U28" s="8" t="n">
        <x:f>YEAR(B28)</x:f>
        <x:v>2025</x:v>
      </x:c>
    </x:row>
    <x:row r="29">
      <x:c r="A29" s="8" t="str">
        <x:v>ORD-0025</x:v>
      </x:c>
      <x:c r="B29" s="22" t="n">
        <x:v>45677.507204814814</x:v>
      </x:c>
      <x:c r="C29" s="8" t="str">
        <x:v>CUS-043</x:v>
      </x:c>
      <x:c r="D29" s="8" t="str">
        <x:f>IFERROR(INDEX('Lookup Tables'!$B$5:$B$84,MATCH(C29,'Lookup Tables'!$A$5:$A$84,0)),"Unknown Customer")</x:f>
        <x:v>Vihaan Singh 3</x:v>
      </x:c>
      <x:c r="E29" s="8" t="str">
        <x:f>IFERROR(INDEX('Lookup Tables'!$C$5:$C$84,MATCH(C29,'Lookup Tables'!$A$5:$A$84,0)),"Unknown")</x:f>
        <x:v>Consumer</x:v>
      </x:c>
      <x:c r="F29" s="8" t="str">
        <x:v>Chennai</x:v>
      </x:c>
      <x:c r="G29" s="8" t="str">
        <x:f>IFERROR(INDEX('Lookup Tables'!$N$5:$N$14,MATCH(F29,'Lookup Tables'!$M$5:$M$14,0)),"Unknown")</x:f>
        <x:v>South</x:v>
      </x:c>
      <x:c r="H29" s="8" t="str">
        <x:v>PRD-011</x:v>
      </x:c>
      <x:c r="I29" s="8" t="str">
        <x:f>IFERROR(INDEX('Lookup Tables'!$G$5:$G$16,MATCH(H29,'Lookup Tables'!$F$5:$F$16,0)),"Unknown Product")</x:f>
        <x:v>Classic Wallet</x:v>
      </x:c>
      <x:c r="J29" s="8" t="str">
        <x:f>IFERROR(INDEX('Lookup Tables'!$H$5:$H$16,MATCH(H29,'Lookup Tables'!$F$5:$F$16,0)),"Unknown")</x:f>
        <x:v>Fashion</x:v>
      </x:c>
      <x:c r="K29" s="8" t="n">
        <x:v>3</x:v>
      </x:c>
      <x:c r="L29" s="9" t="n">
        <x:f>IFERROR(INDEX('Lookup Tables'!$I$5:$I$16,MATCH(H29,'Lookup Tables'!$F$5:$F$16,0)),0)</x:f>
        <x:v>1199</x:v>
      </x:c>
      <x:c r="M29" s="23" t="n">
        <x:f>IF('Raw Data'!M29="",0,'Raw Data'!M29)</x:f>
        <x:v>0.15</x:v>
      </x:c>
      <x:c r="N29" s="9" t="n">
        <x:f>IF(S29="Completed",K29*L29*(1-M29),0)</x:f>
        <x:v>3057.45</x:v>
      </x:c>
      <x:c r="O29" s="9" t="n">
        <x:f>IFERROR(INDEX('Lookup Tables'!$J$5:$J$16,MATCH(H29,'Lookup Tables'!$F$5:$F$16,0)),0)</x:f>
        <x:v>690</x:v>
      </x:c>
      <x:c r="P29" s="9" t="n">
        <x:f>IF(S29="Completed",K29*O29,0)</x:f>
        <x:v>2070</x:v>
      </x:c>
      <x:c r="Q29" s="9" t="n">
        <x:f>N29-P29</x:f>
        <x:v>987.4499999999998</x:v>
      </x:c>
      <x:c r="R29" s="8" t="str">
        <x:f>IF(LOWER('Raw Data'!N29)="upi","UPI",'Raw Data'!N29)</x:f>
        <x:v>Debit Card</x:v>
      </x:c>
      <x:c r="S29" s="8" t="str">
        <x:v>Completed</x:v>
      </x:c>
      <x:c r="T29" s="8" t="str">
        <x:f>TEXT(B29,"mmm yyyy")</x:f>
        <x:v>Jan 2025</x:v>
      </x:c>
      <x:c r="U29" s="8" t="n">
        <x:f>YEAR(B29)</x:f>
        <x:v>2025</x:v>
      </x:c>
    </x:row>
    <x:row r="30">
      <x:c r="A30" s="8" t="str">
        <x:v>ORD-0026</x:v>
      </x:c>
      <x:c r="B30" s="22" t="n">
        <x:v>45759.24936841435</x:v>
      </x:c>
      <x:c r="C30" s="8" t="str">
        <x:v>CUS-003</x:v>
      </x:c>
      <x:c r="D30" s="8" t="str">
        <x:f>IFERROR(INDEX('Lookup Tables'!$B$5:$B$84,MATCH(C30,'Lookup Tables'!$A$5:$A$84,0)),"Unknown Customer")</x:f>
        <x:v>Vihaan Singh</x:v>
      </x:c>
      <x:c r="E30" s="8" t="str">
        <x:f>IFERROR(INDEX('Lookup Tables'!$C$5:$C$84,MATCH(C30,'Lookup Tables'!$A$5:$A$84,0)),"Unknown")</x:f>
        <x:v>Small Business</x:v>
      </x:c>
      <x:c r="F30" s="8" t="str">
        <x:v>Lucknow</x:v>
      </x:c>
      <x:c r="G30" s="8" t="str">
        <x:f>IFERROR(INDEX('Lookup Tables'!$N$5:$N$14,MATCH(F30,'Lookup Tables'!$M$5:$M$14,0)),"Unknown")</x:f>
        <x:v>North</x:v>
      </x:c>
      <x:c r="H30" s="8" t="str">
        <x:v>PRD-003</x:v>
      </x:c>
      <x:c r="I30" s="8" t="str">
        <x:f>IFERROR(INDEX('Lookup Tables'!$G$5:$G$16,MATCH(H30,'Lookup Tables'!$F$5:$F$16,0)),"Unknown Product")</x:f>
        <x:v>USB-C Hub</x:v>
      </x:c>
      <x:c r="J30" s="8" t="str">
        <x:f>IFERROR(INDEX('Lookup Tables'!$H$5:$H$16,MATCH(H30,'Lookup Tables'!$F$5:$F$16,0)),"Unknown")</x:f>
        <x:v>Electronics</x:v>
      </x:c>
      <x:c r="K30" s="8" t="n">
        <x:v>5</x:v>
      </x:c>
      <x:c r="L30" s="9" t="n">
        <x:f>IFERROR(INDEX('Lookup Tables'!$I$5:$I$16,MATCH(H30,'Lookup Tables'!$F$5:$F$16,0)),0)</x:f>
        <x:v>1899</x:v>
      </x:c>
      <x:c r="M30" s="23" t="n">
        <x:f>IF('Raw Data'!M30="",0,'Raw Data'!M30)</x:f>
        <x:v>0.1</x:v>
      </x:c>
      <x:c r="N30" s="9" t="n">
        <x:f>IF(S30="Completed",K30*L30*(1-M30),0)</x:f>
        <x:v>0</x:v>
      </x:c>
      <x:c r="O30" s="9" t="n">
        <x:f>IFERROR(INDEX('Lookup Tables'!$J$5:$J$16,MATCH(H30,'Lookup Tables'!$F$5:$F$16,0)),0)</x:f>
        <x:v>1180</x:v>
      </x:c>
      <x:c r="P30" s="9" t="n">
        <x:f>IF(S30="Completed",K30*O30,0)</x:f>
        <x:v>0</x:v>
      </x:c>
      <x:c r="Q30" s="9" t="n">
        <x:f>N30-P30</x:f>
        <x:v>0</x:v>
      </x:c>
      <x:c r="R30" s="8" t="str">
        <x:f>IF(LOWER('Raw Data'!N30)="upi","UPI",'Raw Data'!N30)</x:f>
        <x:v>Credit Card</x:v>
      </x:c>
      <x:c r="S30" s="8" t="str">
        <x:v>Cancelled</x:v>
      </x:c>
      <x:c r="T30" s="8" t="str">
        <x:f>TEXT(B30,"mmm yyyy")</x:f>
        <x:v>Apr 2025</x:v>
      </x:c>
      <x:c r="U30" s="8" t="n">
        <x:f>YEAR(B30)</x:f>
        <x:v>2025</x:v>
      </x:c>
    </x:row>
    <x:row r="31">
      <x:c r="A31" s="8" t="str">
        <x:v>ORD-0027</x:v>
      </x:c>
      <x:c r="B31" s="22" t="n">
        <x:v>45743.420419988426</x:v>
      </x:c>
      <x:c r="C31" s="8" t="str">
        <x:v>CUS-062</x:v>
      </x:c>
      <x:c r="D31" s="8" t="str">
        <x:f>IFERROR(INDEX('Lookup Tables'!$B$5:$B$84,MATCH(C31,'Lookup Tables'!$A$5:$A$84,0)),"Unknown Customer")</x:f>
        <x:v>Diya Patel 4</x:v>
      </x:c>
      <x:c r="E31" s="8" t="str">
        <x:f>IFERROR(INDEX('Lookup Tables'!$C$5:$C$84,MATCH(C31,'Lookup Tables'!$A$5:$A$84,0)),"Unknown")</x:f>
        <x:v>Corporate</x:v>
      </x:c>
      <x:c r="F31" s="8" t="str">
        <x:v>Bengaluru</x:v>
      </x:c>
      <x:c r="G31" s="8" t="str">
        <x:f>IFERROR(INDEX('Lookup Tables'!$N$5:$N$14,MATCH(F31,'Lookup Tables'!$M$5:$M$14,0)),"Unknown")</x:f>
        <x:v>South</x:v>
      </x:c>
      <x:c r="H31" s="8" t="str">
        <x:v>PRD-012</x:v>
      </x:c>
      <x:c r="I31" s="8" t="str">
        <x:f>IFERROR(INDEX('Lookup Tables'!$G$5:$G$16,MATCH(H31,'Lookup Tables'!$F$5:$F$16,0)),"Unknown Product")</x:f>
        <x:v>Stainless Water Bottle</x:v>
      </x:c>
      <x:c r="J31" s="8" t="str">
        <x:f>IFERROR(INDEX('Lookup Tables'!$H$5:$H$16,MATCH(H31,'Lookup Tables'!$F$5:$F$16,0)),"Unknown")</x:f>
        <x:v>Lifestyle</x:v>
      </x:c>
      <x:c r="K31" s="8" t="n">
        <x:v>1</x:v>
      </x:c>
      <x:c r="L31" s="9" t="n">
        <x:f>IFERROR(INDEX('Lookup Tables'!$I$5:$I$16,MATCH(H31,'Lookup Tables'!$F$5:$F$16,0)),0)</x:f>
        <x:v>799</x:v>
      </x:c>
      <x:c r="M31" s="23" t="n">
        <x:f>IF('Raw Data'!M31="",0,'Raw Data'!M31)</x:f>
        <x:v>0</x:v>
      </x:c>
      <x:c r="N31" s="9" t="n">
        <x:f>IF(S31="Completed",K31*L31*(1-M31),0)</x:f>
        <x:v>799</x:v>
      </x:c>
      <x:c r="O31" s="9" t="n">
        <x:f>IFERROR(INDEX('Lookup Tables'!$J$5:$J$16,MATCH(H31,'Lookup Tables'!$F$5:$F$16,0)),0)</x:f>
        <x:v>410</x:v>
      </x:c>
      <x:c r="P31" s="9" t="n">
        <x:f>IF(S31="Completed",K31*O31,0)</x:f>
        <x:v>410</x:v>
      </x:c>
      <x:c r="Q31" s="9" t="n">
        <x:f>N31-P31</x:f>
        <x:v>389</x:v>
      </x:c>
      <x:c r="R31" s="8" t="str">
        <x:f>IF(LOWER('Raw Data'!N31)="upi","UPI",'Raw Data'!N31)</x:f>
        <x:v>Cash on Delivery</x:v>
      </x:c>
      <x:c r="S31" s="8" t="str">
        <x:v>Completed</x:v>
      </x:c>
      <x:c r="T31" s="8" t="str">
        <x:f>TEXT(B31,"mmm yyyy")</x:f>
        <x:v>Mar 2025</x:v>
      </x:c>
      <x:c r="U31" s="8" t="n">
        <x:f>YEAR(B31)</x:f>
        <x:v>2025</x:v>
      </x:c>
    </x:row>
    <x:row r="32">
      <x:c r="A32" s="8" t="str">
        <x:v>ORD-0028</x:v>
      </x:c>
      <x:c r="B32" s="22" t="n">
        <x:v>45754.99307722222</x:v>
      </x:c>
      <x:c r="C32" s="8" t="str">
        <x:v>CUS-029</x:v>
      </x:c>
      <x:c r="D32" s="8" t="str">
        <x:f>IFERROR(INDEX('Lookup Tables'!$B$5:$B$84,MATCH(C32,'Lookup Tables'!$A$5:$A$84,0)),"Unknown Customer")</x:f>
        <x:v>Rohan Das 2</x:v>
      </x:c>
      <x:c r="E32" s="8" t="str">
        <x:f>IFERROR(INDEX('Lookup Tables'!$C$5:$C$84,MATCH(C32,'Lookup Tables'!$A$5:$A$84,0)),"Unknown")</x:f>
        <x:v>Corporate</x:v>
      </x:c>
      <x:c r="F32" s="8" t="str">
        <x:v>Jaipur</x:v>
      </x:c>
      <x:c r="G32" s="8" t="str">
        <x:f>IFERROR(INDEX('Lookup Tables'!$N$5:$N$14,MATCH(F32,'Lookup Tables'!$M$5:$M$14,0)),"Unknown")</x:f>
        <x:v>North</x:v>
      </x:c>
      <x:c r="H32" s="8" t="str">
        <x:v>PRD-012</x:v>
      </x:c>
      <x:c r="I32" s="8" t="str">
        <x:f>IFERROR(INDEX('Lookup Tables'!$G$5:$G$16,MATCH(H32,'Lookup Tables'!$F$5:$F$16,0)),"Unknown Product")</x:f>
        <x:v>Stainless Water Bottle</x:v>
      </x:c>
      <x:c r="J32" s="8" t="str">
        <x:f>IFERROR(INDEX('Lookup Tables'!$H$5:$H$16,MATCH(H32,'Lookup Tables'!$F$5:$F$16,0)),"Unknown")</x:f>
        <x:v>Lifestyle</x:v>
      </x:c>
      <x:c r="K32" s="8" t="n">
        <x:v>1</x:v>
      </x:c>
      <x:c r="L32" s="9" t="n">
        <x:f>IFERROR(INDEX('Lookup Tables'!$I$5:$I$16,MATCH(H32,'Lookup Tables'!$F$5:$F$16,0)),0)</x:f>
        <x:v>799</x:v>
      </x:c>
      <x:c r="M32" s="23" t="n">
        <x:f>IF('Raw Data'!M32="",0,'Raw Data'!M32)</x:f>
        <x:v>0.15</x:v>
      </x:c>
      <x:c r="N32" s="9" t="n">
        <x:f>IF(S32="Completed",K32*L32*(1-M32),0)</x:f>
        <x:v>0</x:v>
      </x:c>
      <x:c r="O32" s="9" t="n">
        <x:f>IFERROR(INDEX('Lookup Tables'!$J$5:$J$16,MATCH(H32,'Lookup Tables'!$F$5:$F$16,0)),0)</x:f>
        <x:v>410</x:v>
      </x:c>
      <x:c r="P32" s="9" t="n">
        <x:f>IF(S32="Completed",K32*O32,0)</x:f>
        <x:v>0</x:v>
      </x:c>
      <x:c r="Q32" s="9" t="n">
        <x:f>N32-P32</x:f>
        <x:v>0</x:v>
      </x:c>
      <x:c r="R32" s="8" t="str">
        <x:f>IF(LOWER('Raw Data'!N32)="upi","UPI",'Raw Data'!N32)</x:f>
        <x:v>Cash on Delivery</x:v>
      </x:c>
      <x:c r="S32" s="8" t="str">
        <x:v>Cancelled</x:v>
      </x:c>
      <x:c r="T32" s="8" t="str">
        <x:f>TEXT(B32,"mmm yyyy")</x:f>
        <x:v>Apr 2025</x:v>
      </x:c>
      <x:c r="U32" s="8" t="n">
        <x:f>YEAR(B32)</x:f>
        <x:v>2025</x:v>
      </x:c>
    </x:row>
    <x:row r="33">
      <x:c r="A33" s="8" t="str">
        <x:v>ORD-0029</x:v>
      </x:c>
      <x:c r="B33" s="22" t="n">
        <x:v>45687.22421855324</x:v>
      </x:c>
      <x:c r="C33" s="8" t="str">
        <x:v>CUS-074</x:v>
      </x:c>
      <x:c r="D33" s="8" t="str">
        <x:f>IFERROR(INDEX('Lookup Tables'!$B$5:$B$84,MATCH(C33,'Lookup Tables'!$A$5:$A$84,0)),"Unknown Customer")</x:f>
        <x:v>Neha Rao 4</x:v>
      </x:c>
      <x:c r="E33" s="8" t="str">
        <x:f>IFERROR(INDEX('Lookup Tables'!$C$5:$C$84,MATCH(C33,'Lookup Tables'!$A$5:$A$84,0)),"Unknown")</x:f>
        <x:v>Corporate</x:v>
      </x:c>
      <x:c r="F33" s="8" t="str">
        <x:v>Bengaluru</x:v>
      </x:c>
      <x:c r="G33" s="8" t="str">
        <x:f>IFERROR(INDEX('Lookup Tables'!$N$5:$N$14,MATCH(F33,'Lookup Tables'!$M$5:$M$14,0)),"Unknown")</x:f>
        <x:v>South</x:v>
      </x:c>
      <x:c r="H33" s="8" t="str">
        <x:v>PRD-010</x:v>
      </x:c>
      <x:c r="I33" s="8" t="str">
        <x:f>IFERROR(INDEX('Lookup Tables'!$G$5:$G$16,MATCH(H33,'Lookup Tables'!$F$5:$F$16,0)),"Unknown Product")</x:f>
        <x:v>Travel Backpack</x:v>
      </x:c>
      <x:c r="J33" s="8" t="str">
        <x:f>IFERROR(INDEX('Lookup Tables'!$H$5:$H$16,MATCH(H33,'Lookup Tables'!$F$5:$F$16,0)),"Unknown")</x:f>
        <x:v>Fashion</x:v>
      </x:c>
      <x:c r="K33" s="8" t="n">
        <x:v>4</x:v>
      </x:c>
      <x:c r="L33" s="9" t="n">
        <x:f>IFERROR(INDEX('Lookup Tables'!$I$5:$I$16,MATCH(H33,'Lookup Tables'!$F$5:$F$16,0)),0)</x:f>
        <x:v>2199</x:v>
      </x:c>
      <x:c r="M33" s="23" t="n">
        <x:f>IF('Raw Data'!M33="",0,'Raw Data'!M33)</x:f>
        <x:v>0</x:v>
      </x:c>
      <x:c r="N33" s="9" t="n">
        <x:f>IF(S33="Completed",K33*L33*(1-M33),0)</x:f>
        <x:v>0</x:v>
      </x:c>
      <x:c r="O33" s="9" t="n">
        <x:f>IFERROR(INDEX('Lookup Tables'!$J$5:$J$16,MATCH(H33,'Lookup Tables'!$F$5:$F$16,0)),0)</x:f>
        <x:v>1380</x:v>
      </x:c>
      <x:c r="P33" s="9" t="n">
        <x:f>IF(S33="Completed",K33*O33,0)</x:f>
        <x:v>0</x:v>
      </x:c>
      <x:c r="Q33" s="9" t="n">
        <x:f>N33-P33</x:f>
        <x:v>0</x:v>
      </x:c>
      <x:c r="R33" s="8" t="str">
        <x:f>IF(LOWER('Raw Data'!N33)="upi","UPI",'Raw Data'!N33)</x:f>
        <x:v>Net Banking</x:v>
      </x:c>
      <x:c r="S33" s="8" t="str">
        <x:v>Returned</x:v>
      </x:c>
      <x:c r="T33" s="8" t="str">
        <x:f>TEXT(B33,"mmm yyyy")</x:f>
        <x:v>Jan 2025</x:v>
      </x:c>
      <x:c r="U33" s="8" t="n">
        <x:f>YEAR(B33)</x:f>
        <x:v>2025</x:v>
      </x:c>
    </x:row>
    <x:row r="34">
      <x:c r="A34" s="8" t="str">
        <x:v>ORD-0030</x:v>
      </x:c>
      <x:c r="B34" s="22" t="n">
        <x:v>45820.44687539352</x:v>
      </x:c>
      <x:c r="C34" s="8" t="str">
        <x:v>CUS-058</x:v>
      </x:c>
      <x:c r="D34" s="8" t="str">
        <x:f>IFERROR(INDEX('Lookup Tables'!$B$5:$B$84,MATCH(C34,'Lookup Tables'!$A$5:$A$84,0)),"Unknown Customer")</x:f>
        <x:v>Nisha Bansal 3</x:v>
      </x:c>
      <x:c r="E34" s="8" t="str">
        <x:f>IFERROR(INDEX('Lookup Tables'!$C$5:$C$84,MATCH(C34,'Lookup Tables'!$A$5:$A$84,0)),"Unknown")</x:f>
        <x:v>Consumer</x:v>
      </x:c>
      <x:c r="F34" s="8" t="str">
        <x:v>Delhi</x:v>
      </x:c>
      <x:c r="G34" s="8" t="str">
        <x:f>IFERROR(INDEX('Lookup Tables'!$N$5:$N$14,MATCH(F34,'Lookup Tables'!$M$5:$M$14,0)),"Unknown")</x:f>
        <x:v>North</x:v>
      </x:c>
      <x:c r="H34" s="8" t="str">
        <x:v>PRD-001</x:v>
      </x:c>
      <x:c r="I34" s="8" t="str">
        <x:f>IFERROR(INDEX('Lookup Tables'!$G$5:$G$16,MATCH(H34,'Lookup Tables'!$F$5:$F$16,0)),"Unknown Product")</x:f>
        <x:v>Wireless Mouse</x:v>
      </x:c>
      <x:c r="J34" s="8" t="str">
        <x:f>IFERROR(INDEX('Lookup Tables'!$H$5:$H$16,MATCH(H34,'Lookup Tables'!$F$5:$F$16,0)),"Unknown")</x:f>
        <x:v>Electronics</x:v>
      </x:c>
      <x:c r="K34" s="8" t="n">
        <x:v>5</x:v>
      </x:c>
      <x:c r="L34" s="9" t="n">
        <x:f>IFERROR(INDEX('Lookup Tables'!$I$5:$I$16,MATCH(H34,'Lookup Tables'!$F$5:$F$16,0)),0)</x:f>
        <x:v>899</x:v>
      </x:c>
      <x:c r="M34" s="23" t="n">
        <x:f>IF('Raw Data'!M34="",0,'Raw Data'!M34)</x:f>
        <x:v>0</x:v>
      </x:c>
      <x:c r="N34" s="9" t="n">
        <x:f>IF(S34="Completed",K34*L34*(1-M34),0)</x:f>
        <x:v>4495</x:v>
      </x:c>
      <x:c r="O34" s="9" t="n">
        <x:f>IFERROR(INDEX('Lookup Tables'!$J$5:$J$16,MATCH(H34,'Lookup Tables'!$F$5:$F$16,0)),0)</x:f>
        <x:v>540</x:v>
      </x:c>
      <x:c r="P34" s="9" t="n">
        <x:f>IF(S34="Completed",K34*O34,0)</x:f>
        <x:v>2700</x:v>
      </x:c>
      <x:c r="Q34" s="9" t="n">
        <x:f>N34-P34</x:f>
        <x:v>1795</x:v>
      </x:c>
      <x:c r="R34" s="8" t="str">
        <x:f>IF(LOWER('Raw Data'!N34)="upi","UPI",'Raw Data'!N34)</x:f>
        <x:v>Debit Card</x:v>
      </x:c>
      <x:c r="S34" s="8" t="str">
        <x:v>Completed</x:v>
      </x:c>
      <x:c r="T34" s="8" t="str">
        <x:f>TEXT(B34,"mmm yyyy")</x:f>
        <x:v>Jun 2025</x:v>
      </x:c>
      <x:c r="U34" s="8" t="n">
        <x:f>YEAR(B34)</x:f>
        <x:v>2025</x:v>
      </x:c>
    </x:row>
    <x:row r="35">
      <x:c r="A35" s="8" t="str">
        <x:v>ORD-0031</x:v>
      </x:c>
      <x:c r="B35" s="22" t="n">
        <x:v>45708.93039275463</x:v>
      </x:c>
      <x:c r="C35" s="8" t="str">
        <x:v>CUS-021</x:v>
      </x:c>
      <x:c r="D35" s="8" t="str">
        <x:f>IFERROR(INDEX('Lookup Tables'!$B$5:$B$84,MATCH(C35,'Lookup Tables'!$A$5:$A$84,0)),"Unknown Customer")</x:f>
        <x:v>Aarav Sharma 2</x:v>
      </x:c>
      <x:c r="E35" s="8" t="str">
        <x:f>IFERROR(INDEX('Lookup Tables'!$C$5:$C$84,MATCH(C35,'Lookup Tables'!$A$5:$A$84,0)),"Unknown")</x:f>
        <x:v>Small Business</x:v>
      </x:c>
      <x:c r="F35" s="8" t="str">
        <x:v>Hyderabad</x:v>
      </x:c>
      <x:c r="G35" s="8" t="str">
        <x:f>IFERROR(INDEX('Lookup Tables'!$N$5:$N$14,MATCH(F35,'Lookup Tables'!$M$5:$M$14,0)),"Unknown")</x:f>
        <x:v>South</x:v>
      </x:c>
      <x:c r="H35" s="8" t="str">
        <x:v>PRD-007</x:v>
      </x:c>
      <x:c r="I35" s="8" t="str">
        <x:f>IFERROR(INDEX('Lookup Tables'!$G$5:$G$16,MATCH(H35,'Lookup Tables'!$F$5:$F$16,0)),"Unknown Product")</x:f>
        <x:v>Electric Kettle</x:v>
      </x:c>
      <x:c r="J35" s="8" t="str">
        <x:f>IFERROR(INDEX('Lookup Tables'!$H$5:$H$16,MATCH(H35,'Lookup Tables'!$F$5:$F$16,0)),"Unknown")</x:f>
        <x:v>Home &amp; Kitchen</x:v>
      </x:c>
      <x:c r="K35" s="8" t="n">
        <x:v>1</x:v>
      </x:c>
      <x:c r="L35" s="9" t="n">
        <x:f>IFERROR(INDEX('Lookup Tables'!$I$5:$I$16,MATCH(H35,'Lookup Tables'!$F$5:$F$16,0)),0)</x:f>
        <x:v>1699</x:v>
      </x:c>
      <x:c r="M35" s="23" t="n">
        <x:f>IF('Raw Data'!M35="",0,'Raw Data'!M35)</x:f>
        <x:v>0.05</x:v>
      </x:c>
      <x:c r="N35" s="9" t="n">
        <x:f>IF(S35="Completed",K35*L35*(1-M35),0)</x:f>
        <x:v>0</x:v>
      </x:c>
      <x:c r="O35" s="9" t="n">
        <x:f>IFERROR(INDEX('Lookup Tables'!$J$5:$J$16,MATCH(H35,'Lookup Tables'!$F$5:$F$16,0)),0)</x:f>
        <x:v>1040</x:v>
      </x:c>
      <x:c r="P35" s="9" t="n">
        <x:f>IF(S35="Completed",K35*O35,0)</x:f>
        <x:v>0</x:v>
      </x:c>
      <x:c r="Q35" s="9" t="n">
        <x:f>N35-P35</x:f>
        <x:v>0</x:v>
      </x:c>
      <x:c r="R35" s="8" t="str">
        <x:f>IF(LOWER('Raw Data'!N35)="upi","UPI",'Raw Data'!N35)</x:f>
        <x:v>Cash on Delivery</x:v>
      </x:c>
      <x:c r="S35" s="8" t="str">
        <x:v>Cancelled</x:v>
      </x:c>
      <x:c r="T35" s="8" t="str">
        <x:f>TEXT(B35,"mmm yyyy")</x:f>
        <x:v>Feb 2025</x:v>
      </x:c>
      <x:c r="U35" s="8" t="n">
        <x:f>YEAR(B35)</x:f>
        <x:v>2025</x:v>
      </x:c>
    </x:row>
    <x:row r="36">
      <x:c r="A36" s="8" t="str">
        <x:v>ORD-0032</x:v>
      </x:c>
      <x:c r="B36" s="22" t="n">
        <x:v>45752.716181585645</x:v>
      </x:c>
      <x:c r="C36" s="8" t="str">
        <x:v>CUS-017</x:v>
      </x:c>
      <x:c r="D36" s="8" t="str">
        <x:f>IFERROR(INDEX('Lookup Tables'!$B$5:$B$84,MATCH(C36,'Lookup Tables'!$A$5:$A$84,0)),"Unknown Customer")</x:f>
        <x:v>Vikram Yadav</x:v>
      </x:c>
      <x:c r="E36" s="8" t="str">
        <x:f>IFERROR(INDEX('Lookup Tables'!$C$5:$C$84,MATCH(C36,'Lookup Tables'!$A$5:$A$84,0)),"Unknown")</x:f>
        <x:v>Corporate</x:v>
      </x:c>
      <x:c r="F36" s="8" t="str">
        <x:v>Ahmedabad</x:v>
      </x:c>
      <x:c r="G36" s="8" t="str">
        <x:f>IFERROR(INDEX('Lookup Tables'!$N$5:$N$14,MATCH(F36,'Lookup Tables'!$M$5:$M$14,0)),"Unknown")</x:f>
        <x:v>West</x:v>
      </x:c>
      <x:c r="H36" s="8" t="str">
        <x:v>PRD-005</x:v>
      </x:c>
      <x:c r="I36" s="8" t="str">
        <x:f>IFERROR(INDEX('Lookup Tables'!$G$5:$G$16,MATCH(H36,'Lookup Tables'!$F$5:$F$16,0)),"Unknown Product")</x:f>
        <x:v>Executive Notebook</x:v>
      </x:c>
      <x:c r="J36" s="8" t="str">
        <x:f>IFERROR(INDEX('Lookup Tables'!$H$5:$H$16,MATCH(H36,'Lookup Tables'!$F$5:$F$16,0)),"Unknown")</x:f>
        <x:v>Office Supplies</x:v>
      </x:c>
      <x:c r="K36" s="8" t="n">
        <x:v>5</x:v>
      </x:c>
      <x:c r="L36" s="9" t="n">
        <x:f>IFERROR(INDEX('Lookup Tables'!$I$5:$I$16,MATCH(H36,'Lookup Tables'!$F$5:$F$16,0)),0)</x:f>
        <x:v>349</x:v>
      </x:c>
      <x:c r="M36" s="23" t="n">
        <x:f>IF('Raw Data'!M36="",0,'Raw Data'!M36)</x:f>
        <x:v>0.15</x:v>
      </x:c>
      <x:c r="N36" s="9" t="n">
        <x:f>IF(S36="Completed",K36*L36*(1-M36),0)</x:f>
        <x:v>0</x:v>
      </x:c>
      <x:c r="O36" s="9" t="n">
        <x:f>IFERROR(INDEX('Lookup Tables'!$J$5:$J$16,MATCH(H36,'Lookup Tables'!$F$5:$F$16,0)),0)</x:f>
        <x:v>170</x:v>
      </x:c>
      <x:c r="P36" s="9" t="n">
        <x:f>IF(S36="Completed",K36*O36,0)</x:f>
        <x:v>0</x:v>
      </x:c>
      <x:c r="Q36" s="9" t="n">
        <x:f>N36-P36</x:f>
        <x:v>0</x:v>
      </x:c>
      <x:c r="R36" s="8" t="str">
        <x:f>IF(LOWER('Raw Data'!N36)="upi","UPI",'Raw Data'!N36)</x:f>
        <x:v>Debit Card</x:v>
      </x:c>
      <x:c r="S36" s="8" t="str">
        <x:v>Returned</x:v>
      </x:c>
      <x:c r="T36" s="8" t="str">
        <x:f>TEXT(B36,"mmm yyyy")</x:f>
        <x:v>Apr 2025</x:v>
      </x:c>
      <x:c r="U36" s="8" t="n">
        <x:f>YEAR(B36)</x:f>
        <x:v>2025</x:v>
      </x:c>
    </x:row>
    <x:row r="37">
      <x:c r="A37" s="8" t="str">
        <x:v>ORD-0033</x:v>
      </x:c>
      <x:c r="B37" s="22" t="n">
        <x:v>45838.85074653935</x:v>
      </x:c>
      <x:c r="C37" s="8" t="str">
        <x:v>CUS-049</x:v>
      </x:c>
      <x:c r="D37" s="8" t="str">
        <x:f>IFERROR(INDEX('Lookup Tables'!$B$5:$B$84,MATCH(C37,'Lookup Tables'!$A$5:$A$84,0)),"Unknown Customer")</x:f>
        <x:v>Rohan Das 3</x:v>
      </x:c>
      <x:c r="E37" s="8" t="str">
        <x:f>IFERROR(INDEX('Lookup Tables'!$C$5:$C$84,MATCH(C37,'Lookup Tables'!$A$5:$A$84,0)),"Unknown")</x:f>
        <x:v>Consumer</x:v>
      </x:c>
      <x:c r="F37" s="8" t="str">
        <x:v>Jaipur</x:v>
      </x:c>
      <x:c r="G37" s="8" t="str">
        <x:f>IFERROR(INDEX('Lookup Tables'!$N$5:$N$14,MATCH(F37,'Lookup Tables'!$M$5:$M$14,0)),"Unknown")</x:f>
        <x:v>North</x:v>
      </x:c>
      <x:c r="H37" s="8" t="str">
        <x:v>PRD-005</x:v>
      </x:c>
      <x:c r="I37" s="8" t="str">
        <x:f>IFERROR(INDEX('Lookup Tables'!$G$5:$G$16,MATCH(H37,'Lookup Tables'!$F$5:$F$16,0)),"Unknown Product")</x:f>
        <x:v>Executive Notebook</x:v>
      </x:c>
      <x:c r="J37" s="8" t="str">
        <x:f>IFERROR(INDEX('Lookup Tables'!$H$5:$H$16,MATCH(H37,'Lookup Tables'!$F$5:$F$16,0)),"Unknown")</x:f>
        <x:v>Office Supplies</x:v>
      </x:c>
      <x:c r="K37" s="8" t="n">
        <x:v>1</x:v>
      </x:c>
      <x:c r="L37" s="9" t="n">
        <x:f>IFERROR(INDEX('Lookup Tables'!$I$5:$I$16,MATCH(H37,'Lookup Tables'!$F$5:$F$16,0)),0)</x:f>
        <x:v>349</x:v>
      </x:c>
      <x:c r="M37" s="23" t="n">
        <x:f>IF('Raw Data'!M37="",0,'Raw Data'!M37)</x:f>
        <x:v>0.05</x:v>
      </x:c>
      <x:c r="N37" s="9" t="n">
        <x:f>IF(S37="Completed",K37*L37*(1-M37),0)</x:f>
        <x:v>331.55</x:v>
      </x:c>
      <x:c r="O37" s="9" t="n">
        <x:f>IFERROR(INDEX('Lookup Tables'!$J$5:$J$16,MATCH(H37,'Lookup Tables'!$F$5:$F$16,0)),0)</x:f>
        <x:v>170</x:v>
      </x:c>
      <x:c r="P37" s="9" t="n">
        <x:f>IF(S37="Completed",K37*O37,0)</x:f>
        <x:v>170</x:v>
      </x:c>
      <x:c r="Q37" s="9" t="n">
        <x:f>N37-P37</x:f>
        <x:v>161.55</x:v>
      </x:c>
      <x:c r="R37" s="8" t="str">
        <x:f>IF(LOWER('Raw Data'!N37)="upi","UPI",'Raw Data'!N37)</x:f>
        <x:v>Cash on Delivery</x:v>
      </x:c>
      <x:c r="S37" s="8" t="str">
        <x:v>Completed</x:v>
      </x:c>
      <x:c r="T37" s="8" t="str">
        <x:f>TEXT(B37,"mmm yyyy")</x:f>
        <x:v>Jun 2025</x:v>
      </x:c>
      <x:c r="U37" s="8" t="n">
        <x:f>YEAR(B37)</x:f>
        <x:v>2025</x:v>
      </x:c>
    </x:row>
    <x:row r="38">
      <x:c r="A38" s="8" t="str">
        <x:v>ORD-0034</x:v>
      </x:c>
      <x:c r="B38" s="22" t="n">
        <x:v>45964.694593113425</x:v>
      </x:c>
      <x:c r="C38" s="8" t="str">
        <x:v>CUS-031</x:v>
      </x:c>
      <x:c r="D38" s="8" t="str">
        <x:f>IFERROR(INDEX('Lookup Tables'!$B$5:$B$84,MATCH(C38,'Lookup Tables'!$A$5:$A$84,0)),"Unknown Customer")</x:f>
        <x:v>Aditya Joshi 2</x:v>
      </x:c>
      <x:c r="E38" s="8" t="str">
        <x:f>IFERROR(INDEX('Lookup Tables'!$C$5:$C$84,MATCH(C38,'Lookup Tables'!$A$5:$A$84,0)),"Unknown")</x:f>
        <x:v>Consumer</x:v>
      </x:c>
      <x:c r="F38" s="8" t="str">
        <x:v>Jaipur</x:v>
      </x:c>
      <x:c r="G38" s="8" t="str">
        <x:f>IFERROR(INDEX('Lookup Tables'!$N$5:$N$14,MATCH(F38,'Lookup Tables'!$M$5:$M$14,0)),"Unknown")</x:f>
        <x:v>North</x:v>
      </x:c>
      <x:c r="H38" s="8" t="str">
        <x:v>PRD-006</x:v>
      </x:c>
      <x:c r="I38" s="8" t="str">
        <x:f>IFERROR(INDEX('Lookup Tables'!$G$5:$G$16,MATCH(H38,'Lookup Tables'!$F$5:$F$16,0)),"Unknown Product")</x:f>
        <x:v>Desk Organiser</x:v>
      </x:c>
      <x:c r="J38" s="8" t="str">
        <x:f>IFERROR(INDEX('Lookup Tables'!$H$5:$H$16,MATCH(H38,'Lookup Tables'!$F$5:$F$16,0)),"Unknown")</x:f>
        <x:v>Office Supplies</x:v>
      </x:c>
      <x:c r="K38" s="8" t="n">
        <x:v>5</x:v>
      </x:c>
      <x:c r="L38" s="9" t="n">
        <x:f>IFERROR(INDEX('Lookup Tables'!$I$5:$I$16,MATCH(H38,'Lookup Tables'!$F$5:$F$16,0)),0)</x:f>
        <x:v>699</x:v>
      </x:c>
      <x:c r="M38" s="23" t="n">
        <x:f>IF('Raw Data'!M38="",0,'Raw Data'!M38)</x:f>
        <x:v>0</x:v>
      </x:c>
      <x:c r="N38" s="9" t="n">
        <x:f>IF(S38="Completed",K38*L38*(1-M38),0)</x:f>
        <x:v>3495</x:v>
      </x:c>
      <x:c r="O38" s="9" t="n">
        <x:f>IFERROR(INDEX('Lookup Tables'!$J$5:$J$16,MATCH(H38,'Lookup Tables'!$F$5:$F$16,0)),0)</x:f>
        <x:v>390</x:v>
      </x:c>
      <x:c r="P38" s="9" t="n">
        <x:f>IF(S38="Completed",K38*O38,0)</x:f>
        <x:v>1950</x:v>
      </x:c>
      <x:c r="Q38" s="9" t="n">
        <x:f>N38-P38</x:f>
        <x:v>1545</x:v>
      </x:c>
      <x:c r="R38" s="8" t="str">
        <x:f>IF(LOWER('Raw Data'!N38)="upi","UPI",'Raw Data'!N38)</x:f>
        <x:v>Net Banking</x:v>
      </x:c>
      <x:c r="S38" s="8" t="str">
        <x:v>Completed</x:v>
      </x:c>
      <x:c r="T38" s="8" t="str">
        <x:f>TEXT(B38,"mmm yyyy")</x:f>
        <x:v>Nov 2025</x:v>
      </x:c>
      <x:c r="U38" s="8" t="n">
        <x:f>YEAR(B38)</x:f>
        <x:v>2025</x:v>
      </x:c>
    </x:row>
    <x:row r="39">
      <x:c r="A39" s="8" t="str">
        <x:v>ORD-0035</x:v>
      </x:c>
      <x:c r="B39" s="22" t="n">
        <x:v>45859.7328552662</x:v>
      </x:c>
      <x:c r="C39" s="8" t="str">
        <x:v>CUS-062</x:v>
      </x:c>
      <x:c r="D39" s="8" t="str">
        <x:f>IFERROR(INDEX('Lookup Tables'!$B$5:$B$84,MATCH(C39,'Lookup Tables'!$A$5:$A$84,0)),"Unknown Customer")</x:f>
        <x:v>Diya Patel 4</x:v>
      </x:c>
      <x:c r="E39" s="8" t="str">
        <x:f>IFERROR(INDEX('Lookup Tables'!$C$5:$C$84,MATCH(C39,'Lookup Tables'!$A$5:$A$84,0)),"Unknown")</x:f>
        <x:v>Corporate</x:v>
      </x:c>
      <x:c r="F39" s="8" t="str">
        <x:v>Pune</x:v>
      </x:c>
      <x:c r="G39" s="8" t="str">
        <x:f>IFERROR(INDEX('Lookup Tables'!$N$5:$N$14,MATCH(F39,'Lookup Tables'!$M$5:$M$14,0)),"Unknown")</x:f>
        <x:v>West</x:v>
      </x:c>
      <x:c r="H39" s="8" t="str">
        <x:v>PRD-001</x:v>
      </x:c>
      <x:c r="I39" s="8" t="str">
        <x:f>IFERROR(INDEX('Lookup Tables'!$G$5:$G$16,MATCH(H39,'Lookup Tables'!$F$5:$F$16,0)),"Unknown Product")</x:f>
        <x:v>Wireless Mouse</x:v>
      </x:c>
      <x:c r="J39" s="8" t="str">
        <x:f>IFERROR(INDEX('Lookup Tables'!$H$5:$H$16,MATCH(H39,'Lookup Tables'!$F$5:$F$16,0)),"Unknown")</x:f>
        <x:v>Electronics</x:v>
      </x:c>
      <x:c r="K39" s="8" t="n">
        <x:v>1</x:v>
      </x:c>
      <x:c r="L39" s="9" t="n">
        <x:f>IFERROR(INDEX('Lookup Tables'!$I$5:$I$16,MATCH(H39,'Lookup Tables'!$F$5:$F$16,0)),0)</x:f>
        <x:v>899</x:v>
      </x:c>
      <x:c r="M39" s="23" t="n">
        <x:f>IF('Raw Data'!M39="",0,'Raw Data'!M39)</x:f>
        <x:v>0.1</x:v>
      </x:c>
      <x:c r="N39" s="9" t="n">
        <x:f>IF(S39="Completed",K39*L39*(1-M39),0)</x:f>
        <x:v>809.1</x:v>
      </x:c>
      <x:c r="O39" s="9" t="n">
        <x:f>IFERROR(INDEX('Lookup Tables'!$J$5:$J$16,MATCH(H39,'Lookup Tables'!$F$5:$F$16,0)),0)</x:f>
        <x:v>540</x:v>
      </x:c>
      <x:c r="P39" s="9" t="n">
        <x:f>IF(S39="Completed",K39*O39,0)</x:f>
        <x:v>540</x:v>
      </x:c>
      <x:c r="Q39" s="9" t="n">
        <x:f>N39-P39</x:f>
        <x:v>269.1</x:v>
      </x:c>
      <x:c r="R39" s="8" t="str">
        <x:f>IF(LOWER('Raw Data'!N39)="upi","UPI",'Raw Data'!N39)</x:f>
        <x:v>Cash on Delivery</x:v>
      </x:c>
      <x:c r="S39" s="8" t="str">
        <x:v>Completed</x:v>
      </x:c>
      <x:c r="T39" s="8" t="str">
        <x:f>TEXT(B39,"mmm yyyy")</x:f>
        <x:v>Jul 2025</x:v>
      </x:c>
      <x:c r="U39" s="8" t="n">
        <x:f>YEAR(B39)</x:f>
        <x:v>2025</x:v>
      </x:c>
    </x:row>
    <x:row r="40">
      <x:c r="A40" s="8" t="str">
        <x:v>ORD-0036</x:v>
      </x:c>
      <x:c r="B40" s="22" t="n">
        <x:v>45983.68862615741</x:v>
      </x:c>
      <x:c r="C40" s="8" t="str">
        <x:v>CUS-002</x:v>
      </x:c>
      <x:c r="D40" s="8" t="str">
        <x:f>IFERROR(INDEX('Lookup Tables'!$B$5:$B$84,MATCH(C40,'Lookup Tables'!$A$5:$A$84,0)),"Unknown Customer")</x:f>
        <x:v>Diya Patel</x:v>
      </x:c>
      <x:c r="E40" s="8" t="str">
        <x:f>IFERROR(INDEX('Lookup Tables'!$C$5:$C$84,MATCH(C40,'Lookup Tables'!$A$5:$A$84,0)),"Unknown")</x:f>
        <x:v>Corporate</x:v>
      </x:c>
      <x:c r="F40" s="8" t="str">
        <x:v>Delhi</x:v>
      </x:c>
      <x:c r="G40" s="8" t="str">
        <x:f>IFERROR(INDEX('Lookup Tables'!$N$5:$N$14,MATCH(F40,'Lookup Tables'!$M$5:$M$14,0)),"Unknown")</x:f>
        <x:v>North</x:v>
      </x:c>
      <x:c r="H40" s="8" t="str">
        <x:v>PRD-012</x:v>
      </x:c>
      <x:c r="I40" s="8" t="str">
        <x:f>IFERROR(INDEX('Lookup Tables'!$G$5:$G$16,MATCH(H40,'Lookup Tables'!$F$5:$F$16,0)),"Unknown Product")</x:f>
        <x:v>Stainless Water Bottle</x:v>
      </x:c>
      <x:c r="J40" s="8" t="str">
        <x:f>IFERROR(INDEX('Lookup Tables'!$H$5:$H$16,MATCH(H40,'Lookup Tables'!$F$5:$F$16,0)),"Unknown")</x:f>
        <x:v>Lifestyle</x:v>
      </x:c>
      <x:c r="K40" s="8" t="n">
        <x:v>1</x:v>
      </x:c>
      <x:c r="L40" s="9" t="n">
        <x:f>IFERROR(INDEX('Lookup Tables'!$I$5:$I$16,MATCH(H40,'Lookup Tables'!$F$5:$F$16,0)),0)</x:f>
        <x:v>799</x:v>
      </x:c>
      <x:c r="M40" s="23" t="n">
        <x:f>IF('Raw Data'!M40="",0,'Raw Data'!M40)</x:f>
        <x:v>0</x:v>
      </x:c>
      <x:c r="N40" s="9" t="n">
        <x:f>IF(S40="Completed",K40*L40*(1-M40),0)</x:f>
        <x:v>0</x:v>
      </x:c>
      <x:c r="O40" s="9" t="n">
        <x:f>IFERROR(INDEX('Lookup Tables'!$J$5:$J$16,MATCH(H40,'Lookup Tables'!$F$5:$F$16,0)),0)</x:f>
        <x:v>410</x:v>
      </x:c>
      <x:c r="P40" s="9" t="n">
        <x:f>IF(S40="Completed",K40*O40,0)</x:f>
        <x:v>0</x:v>
      </x:c>
      <x:c r="Q40" s="9" t="n">
        <x:f>N40-P40</x:f>
        <x:v>0</x:v>
      </x:c>
      <x:c r="R40" s="8" t="str">
        <x:f>IF(LOWER('Raw Data'!N40)="upi","UPI",'Raw Data'!N40)</x:f>
        <x:v>UPI</x:v>
      </x:c>
      <x:c r="S40" s="8" t="str">
        <x:v>Cancelled</x:v>
      </x:c>
      <x:c r="T40" s="8" t="str">
        <x:f>TEXT(B40,"mmm yyyy")</x:f>
        <x:v>Nov 2025</x:v>
      </x:c>
      <x:c r="U40" s="8" t="n">
        <x:f>YEAR(B40)</x:f>
        <x:v>2025</x:v>
      </x:c>
    </x:row>
    <x:row r="41">
      <x:c r="A41" s="8" t="str">
        <x:v>ORD-0037</x:v>
      </x:c>
      <x:c r="B41" s="22" t="n">
        <x:v>45809.64330449074</x:v>
      </x:c>
      <x:c r="C41" s="8" t="str">
        <x:v>CUS-031</x:v>
      </x:c>
      <x:c r="D41" s="8" t="str">
        <x:f>IFERROR(INDEX('Lookup Tables'!$B$5:$B$84,MATCH(C41,'Lookup Tables'!$A$5:$A$84,0)),"Unknown Customer")</x:f>
        <x:v>Aditya Joshi 2</x:v>
      </x:c>
      <x:c r="E41" s="8" t="str">
        <x:f>IFERROR(INDEX('Lookup Tables'!$C$5:$C$84,MATCH(C41,'Lookup Tables'!$A$5:$A$84,0)),"Unknown")</x:f>
        <x:v>Consumer</x:v>
      </x:c>
      <x:c r="F41" s="8" t="str">
        <x:v>Jaipur</x:v>
      </x:c>
      <x:c r="G41" s="8" t="str">
        <x:f>IFERROR(INDEX('Lookup Tables'!$N$5:$N$14,MATCH(F41,'Lookup Tables'!$M$5:$M$14,0)),"Unknown")</x:f>
        <x:v>North</x:v>
      </x:c>
      <x:c r="H41" s="8" t="str">
        <x:v>PRD-003</x:v>
      </x:c>
      <x:c r="I41" s="8" t="str">
        <x:f>IFERROR(INDEX('Lookup Tables'!$G$5:$G$16,MATCH(H41,'Lookup Tables'!$F$5:$F$16,0)),"Unknown Product")</x:f>
        <x:v>USB-C Hub</x:v>
      </x:c>
      <x:c r="J41" s="8" t="str">
        <x:f>IFERROR(INDEX('Lookup Tables'!$H$5:$H$16,MATCH(H41,'Lookup Tables'!$F$5:$F$16,0)),"Unknown")</x:f>
        <x:v>Electronics</x:v>
      </x:c>
      <x:c r="K41" s="8" t="n">
        <x:v>3</x:v>
      </x:c>
      <x:c r="L41" s="9" t="n">
        <x:f>IFERROR(INDEX('Lookup Tables'!$I$5:$I$16,MATCH(H41,'Lookup Tables'!$F$5:$F$16,0)),0)</x:f>
        <x:v>1899</x:v>
      </x:c>
      <x:c r="M41" s="23" t="n">
        <x:f>IF('Raw Data'!M41="",0,'Raw Data'!M41)</x:f>
        <x:v>0.15</x:v>
      </x:c>
      <x:c r="N41" s="9" t="n">
        <x:f>IF(S41="Completed",K41*L41*(1-M41),0)</x:f>
        <x:v>0</x:v>
      </x:c>
      <x:c r="O41" s="9" t="n">
        <x:f>IFERROR(INDEX('Lookup Tables'!$J$5:$J$16,MATCH(H41,'Lookup Tables'!$F$5:$F$16,0)),0)</x:f>
        <x:v>1180</x:v>
      </x:c>
      <x:c r="P41" s="9" t="n">
        <x:f>IF(S41="Completed",K41*O41,0)</x:f>
        <x:v>0</x:v>
      </x:c>
      <x:c r="Q41" s="9" t="n">
        <x:f>N41-P41</x:f>
        <x:v>0</x:v>
      </x:c>
      <x:c r="R41" s="8" t="str">
        <x:f>IF(LOWER('Raw Data'!N41)="upi","UPI",'Raw Data'!N41)</x:f>
        <x:v>Net Banking</x:v>
      </x:c>
      <x:c r="S41" s="8" t="str">
        <x:v>Cancelled</x:v>
      </x:c>
      <x:c r="T41" s="8" t="str">
        <x:f>TEXT(B41,"mmm yyyy")</x:f>
        <x:v>Jun 2025</x:v>
      </x:c>
      <x:c r="U41" s="8" t="n">
        <x:f>YEAR(B41)</x:f>
        <x:v>2025</x:v>
      </x:c>
    </x:row>
    <x:row r="42">
      <x:c r="A42" s="8" t="str">
        <x:v>ORD-0038</x:v>
      </x:c>
      <x:c r="B42" s="22" t="n">
        <x:v>45953.20927832176</x:v>
      </x:c>
      <x:c r="C42" s="8" t="str">
        <x:v>CUS-073</x:v>
      </x:c>
      <x:c r="D42" s="8" t="str">
        <x:f>IFERROR(INDEX('Lookup Tables'!$B$5:$B$84,MATCH(C42,'Lookup Tables'!$A$5:$A$84,0)),"Unknown Customer")</x:f>
        <x:v>Rahul Mishra 4</x:v>
      </x:c>
      <x:c r="E42" s="8" t="str">
        <x:f>IFERROR(INDEX('Lookup Tables'!$C$5:$C$84,MATCH(C42,'Lookup Tables'!$A$5:$A$84,0)),"Unknown")</x:f>
        <x:v>Consumer</x:v>
      </x:c>
      <x:c r="F42" s="8" t="str">
        <x:v>Jaipur</x:v>
      </x:c>
      <x:c r="G42" s="8" t="str">
        <x:f>IFERROR(INDEX('Lookup Tables'!$N$5:$N$14,MATCH(F42,'Lookup Tables'!$M$5:$M$14,0)),"Unknown")</x:f>
        <x:v>North</x:v>
      </x:c>
      <x:c r="H42" s="8" t="str">
        <x:v>PRD-003</x:v>
      </x:c>
      <x:c r="I42" s="8" t="str">
        <x:f>IFERROR(INDEX('Lookup Tables'!$G$5:$G$16,MATCH(H42,'Lookup Tables'!$F$5:$F$16,0)),"Unknown Product")</x:f>
        <x:v>USB-C Hub</x:v>
      </x:c>
      <x:c r="J42" s="8" t="str">
        <x:f>IFERROR(INDEX('Lookup Tables'!$H$5:$H$16,MATCH(H42,'Lookup Tables'!$F$5:$F$16,0)),"Unknown")</x:f>
        <x:v>Electronics</x:v>
      </x:c>
      <x:c r="K42" s="8" t="n">
        <x:v>3</x:v>
      </x:c>
      <x:c r="L42" s="9" t="n">
        <x:f>IFERROR(INDEX('Lookup Tables'!$I$5:$I$16,MATCH(H42,'Lookup Tables'!$F$5:$F$16,0)),0)</x:f>
        <x:v>1899</x:v>
      </x:c>
      <x:c r="M42" s="23" t="n">
        <x:f>IF('Raw Data'!M42="",0,'Raw Data'!M42)</x:f>
        <x:v>0.2</x:v>
      </x:c>
      <x:c r="N42" s="9" t="n">
        <x:f>IF(S42="Completed",K42*L42*(1-M42),0)</x:f>
        <x:v>0</x:v>
      </x:c>
      <x:c r="O42" s="9" t="n">
        <x:f>IFERROR(INDEX('Lookup Tables'!$J$5:$J$16,MATCH(H42,'Lookup Tables'!$F$5:$F$16,0)),0)</x:f>
        <x:v>1180</x:v>
      </x:c>
      <x:c r="P42" s="9" t="n">
        <x:f>IF(S42="Completed",K42*O42,0)</x:f>
        <x:v>0</x:v>
      </x:c>
      <x:c r="Q42" s="9" t="n">
        <x:f>N42-P42</x:f>
        <x:v>0</x:v>
      </x:c>
      <x:c r="R42" s="8" t="str">
        <x:f>IF(LOWER('Raw Data'!N42)="upi","UPI",'Raw Data'!N42)</x:f>
        <x:v>Debit Card</x:v>
      </x:c>
      <x:c r="S42" s="8" t="str">
        <x:v>Returned</x:v>
      </x:c>
      <x:c r="T42" s="8" t="str">
        <x:f>TEXT(B42,"mmm yyyy")</x:f>
        <x:v>Oct 2025</x:v>
      </x:c>
      <x:c r="U42" s="8" t="n">
        <x:f>YEAR(B42)</x:f>
        <x:v>2025</x:v>
      </x:c>
    </x:row>
    <x:row r="43">
      <x:c r="A43" s="8" t="str">
        <x:v>ORD-0039</x:v>
      </x:c>
      <x:c r="B43" s="22" t="n">
        <x:v>45680.207376273145</x:v>
      </x:c>
      <x:c r="C43" s="8" t="str">
        <x:v>CUS-073</x:v>
      </x:c>
      <x:c r="D43" s="8" t="str">
        <x:f>IFERROR(INDEX('Lookup Tables'!$B$5:$B$84,MATCH(C43,'Lookup Tables'!$A$5:$A$84,0)),"Unknown Customer")</x:f>
        <x:v>Rahul Mishra 4</x:v>
      </x:c>
      <x:c r="E43" s="8" t="str">
        <x:f>IFERROR(INDEX('Lookup Tables'!$C$5:$C$84,MATCH(C43,'Lookup Tables'!$A$5:$A$84,0)),"Unknown")</x:f>
        <x:v>Consumer</x:v>
      </x:c>
      <x:c r="F43" s="8" t="str">
        <x:v>Ahmedabad</x:v>
      </x:c>
      <x:c r="G43" s="8" t="str">
        <x:f>IFERROR(INDEX('Lookup Tables'!$N$5:$N$14,MATCH(F43,'Lookup Tables'!$M$5:$M$14,0)),"Unknown")</x:f>
        <x:v>West</x:v>
      </x:c>
      <x:c r="H43" s="8" t="str">
        <x:v>PRD-005</x:v>
      </x:c>
      <x:c r="I43" s="8" t="str">
        <x:f>IFERROR(INDEX('Lookup Tables'!$G$5:$G$16,MATCH(H43,'Lookup Tables'!$F$5:$F$16,0)),"Unknown Product")</x:f>
        <x:v>Executive Notebook</x:v>
      </x:c>
      <x:c r="J43" s="8" t="str">
        <x:f>IFERROR(INDEX('Lookup Tables'!$H$5:$H$16,MATCH(H43,'Lookup Tables'!$F$5:$F$16,0)),"Unknown")</x:f>
        <x:v>Office Supplies</x:v>
      </x:c>
      <x:c r="K43" s="8" t="n">
        <x:v>5</x:v>
      </x:c>
      <x:c r="L43" s="9" t="n">
        <x:f>IFERROR(INDEX('Lookup Tables'!$I$5:$I$16,MATCH(H43,'Lookup Tables'!$F$5:$F$16,0)),0)</x:f>
        <x:v>349</x:v>
      </x:c>
      <x:c r="M43" s="23" t="n">
        <x:f>IF('Raw Data'!M43="",0,'Raw Data'!M43)</x:f>
        <x:v>0.1</x:v>
      </x:c>
      <x:c r="N43" s="9" t="n">
        <x:f>IF(S43="Completed",K43*L43*(1-M43),0)</x:f>
        <x:v>1570.5</x:v>
      </x:c>
      <x:c r="O43" s="9" t="n">
        <x:f>IFERROR(INDEX('Lookup Tables'!$J$5:$J$16,MATCH(H43,'Lookup Tables'!$F$5:$F$16,0)),0)</x:f>
        <x:v>170</x:v>
      </x:c>
      <x:c r="P43" s="9" t="n">
        <x:f>IF(S43="Completed",K43*O43,0)</x:f>
        <x:v>850</x:v>
      </x:c>
      <x:c r="Q43" s="9" t="n">
        <x:f>N43-P43</x:f>
        <x:v>720.5</x:v>
      </x:c>
      <x:c r="R43" s="8" t="str">
        <x:f>IF(LOWER('Raw Data'!N43)="upi","UPI",'Raw Data'!N43)</x:f>
        <x:v>Net Banking</x:v>
      </x:c>
      <x:c r="S43" s="8" t="str">
        <x:v>Completed</x:v>
      </x:c>
      <x:c r="T43" s="8" t="str">
        <x:f>TEXT(B43,"mmm yyyy")</x:f>
        <x:v>Jan 2025</x:v>
      </x:c>
      <x:c r="U43" s="8" t="n">
        <x:f>YEAR(B43)</x:f>
        <x:v>2025</x:v>
      </x:c>
    </x:row>
    <x:row r="44">
      <x:c r="A44" s="8" t="str">
        <x:v>ORD-0040</x:v>
      </x:c>
      <x:c r="B44" s="22" t="n">
        <x:v>45718.03349458333</x:v>
      </x:c>
      <x:c r="C44" s="8" t="str">
        <x:v>CUS-053</x:v>
      </x:c>
      <x:c r="D44" s="8" t="str">
        <x:f>IFERROR(INDEX('Lookup Tables'!$B$5:$B$84,MATCH(C44,'Lookup Tables'!$A$5:$A$84,0)),"Unknown Customer")</x:f>
        <x:v>Rahul Mishra 3</x:v>
      </x:c>
      <x:c r="E44" s="8" t="str">
        <x:f>IFERROR(INDEX('Lookup Tables'!$C$5:$C$84,MATCH(C44,'Lookup Tables'!$A$5:$A$84,0)),"Unknown")</x:f>
        <x:v>Corporate</x:v>
      </x:c>
      <x:c r="F44" s="8" t="str">
        <x:v>Hyderabad</x:v>
      </x:c>
      <x:c r="G44" s="8" t="str">
        <x:f>IFERROR(INDEX('Lookup Tables'!$N$5:$N$14,MATCH(F44,'Lookup Tables'!$M$5:$M$14,0)),"Unknown")</x:f>
        <x:v>South</x:v>
      </x:c>
      <x:c r="H44" s="8" t="str">
        <x:v>PRD-004</x:v>
      </x:c>
      <x:c r="I44" s="8" t="str">
        <x:f>IFERROR(INDEX('Lookup Tables'!$G$5:$G$16,MATCH(H44,'Lookup Tables'!$F$5:$F$16,0)),"Unknown Product")</x:f>
        <x:v>Laptop Stand</x:v>
      </x:c>
      <x:c r="J44" s="8" t="str">
        <x:f>IFERROR(INDEX('Lookup Tables'!$H$5:$H$16,MATCH(H44,'Lookup Tables'!$F$5:$F$16,0)),"Unknown")</x:f>
        <x:v>Office Supplies</x:v>
      </x:c>
      <x:c r="K44" s="8" t="n">
        <x:v>1</x:v>
      </x:c>
      <x:c r="L44" s="9" t="n">
        <x:f>IFERROR(INDEX('Lookup Tables'!$I$5:$I$16,MATCH(H44,'Lookup Tables'!$F$5:$F$16,0)),0)</x:f>
        <x:v>1299</x:v>
      </x:c>
      <x:c r="M44" s="23" t="n">
        <x:f>IF('Raw Data'!M44="",0,'Raw Data'!M44)</x:f>
        <x:v>0</x:v>
      </x:c>
      <x:c r="N44" s="9" t="n">
        <x:f>IF(S44="Completed",K44*L44*(1-M44),0)</x:f>
        <x:v>1299</x:v>
      </x:c>
      <x:c r="O44" s="9" t="n">
        <x:f>IFERROR(INDEX('Lookup Tables'!$J$5:$J$16,MATCH(H44,'Lookup Tables'!$F$5:$F$16,0)),0)</x:f>
        <x:v>760</x:v>
      </x:c>
      <x:c r="P44" s="9" t="n">
        <x:f>IF(S44="Completed",K44*O44,0)</x:f>
        <x:v>760</x:v>
      </x:c>
      <x:c r="Q44" s="9" t="n">
        <x:f>N44-P44</x:f>
        <x:v>539</x:v>
      </x:c>
      <x:c r="R44" s="8" t="str">
        <x:f>IF(LOWER('Raw Data'!N44)="upi","UPI",'Raw Data'!N44)</x:f>
        <x:v>Net Banking</x:v>
      </x:c>
      <x:c r="S44" s="8" t="str">
        <x:v>Completed</x:v>
      </x:c>
      <x:c r="T44" s="8" t="str">
        <x:f>TEXT(B44,"mmm yyyy")</x:f>
        <x:v>Mar 2025</x:v>
      </x:c>
      <x:c r="U44" s="8" t="n">
        <x:f>YEAR(B44)</x:f>
        <x:v>2025</x:v>
      </x:c>
    </x:row>
    <x:row r="45">
      <x:c r="A45" s="8" t="str">
        <x:v>ORD-0041</x:v>
      </x:c>
      <x:c r="B45" s="22" t="n">
        <x:v>46019.10391232639</x:v>
      </x:c>
      <x:c r="C45" s="8" t="str">
        <x:v>CUS-019</x:v>
      </x:c>
      <x:c r="D45" s="8" t="str">
        <x:f>IFERROR(INDEX('Lookup Tables'!$B$5:$B$84,MATCH(C45,'Lookup Tables'!$A$5:$A$84,0)),"Unknown Customer")</x:f>
        <x:v>Siddharth Jain</x:v>
      </x:c>
      <x:c r="E45" s="8" t="str">
        <x:f>IFERROR(INDEX('Lookup Tables'!$C$5:$C$84,MATCH(C45,'Lookup Tables'!$A$5:$A$84,0)),"Unknown")</x:f>
        <x:v>Consumer</x:v>
      </x:c>
      <x:c r="F45" s="8" t="str">
        <x:v>Delhi</x:v>
      </x:c>
      <x:c r="G45" s="8" t="str">
        <x:f>IFERROR(INDEX('Lookup Tables'!$N$5:$N$14,MATCH(F45,'Lookup Tables'!$M$5:$M$14,0)),"Unknown")</x:f>
        <x:v>North</x:v>
      </x:c>
      <x:c r="H45" s="8" t="str">
        <x:v>PRD-009</x:v>
      </x:c>
      <x:c r="I45" s="8" t="str">
        <x:f>IFERROR(INDEX('Lookup Tables'!$G$5:$G$16,MATCH(H45,'Lookup Tables'!$F$5:$F$16,0)),"Unknown Product")</x:f>
        <x:v>Table Lamp</x:v>
      </x:c>
      <x:c r="J45" s="8" t="str">
        <x:f>IFERROR(INDEX('Lookup Tables'!$H$5:$H$16,MATCH(H45,'Lookup Tables'!$F$5:$F$16,0)),"Unknown")</x:f>
        <x:v>Home &amp; Kitchen</x:v>
      </x:c>
      <x:c r="K45" s="8" t="n">
        <x:v>1</x:v>
      </x:c>
      <x:c r="L45" s="9" t="n">
        <x:f>IFERROR(INDEX('Lookup Tables'!$I$5:$I$16,MATCH(H45,'Lookup Tables'!$F$5:$F$16,0)),0)</x:f>
        <x:v>1499</x:v>
      </x:c>
      <x:c r="M45" s="23" t="n">
        <x:f>IF('Raw Data'!M45="",0,'Raw Data'!M45)</x:f>
        <x:v>0.15</x:v>
      </x:c>
      <x:c r="N45" s="9" t="n">
        <x:f>IF(S45="Completed",K45*L45*(1-M45),0)</x:f>
        <x:v>1274.1499999999999</x:v>
      </x:c>
      <x:c r="O45" s="9" t="n">
        <x:f>IFERROR(INDEX('Lookup Tables'!$J$5:$J$16,MATCH(H45,'Lookup Tables'!$F$5:$F$16,0)),0)</x:f>
        <x:v>920</x:v>
      </x:c>
      <x:c r="P45" s="9" t="n">
        <x:f>IF(S45="Completed",K45*O45,0)</x:f>
        <x:v>920</x:v>
      </x:c>
      <x:c r="Q45" s="9" t="n">
        <x:f>N45-P45</x:f>
        <x:v>354.14999999999986</x:v>
      </x:c>
      <x:c r="R45" s="8" t="str">
        <x:f>IF(LOWER('Raw Data'!N45)="upi","UPI",'Raw Data'!N45)</x:f>
        <x:v>Cash on Delivery</x:v>
      </x:c>
      <x:c r="S45" s="8" t="str">
        <x:v>Completed</x:v>
      </x:c>
      <x:c r="T45" s="8" t="str">
        <x:f>TEXT(B45,"mmm yyyy")</x:f>
        <x:v>Dec 2025</x:v>
      </x:c>
      <x:c r="U45" s="8" t="n">
        <x:f>YEAR(B45)</x:f>
        <x:v>2025</x:v>
      </x:c>
    </x:row>
    <x:row r="46">
      <x:c r="A46" s="8" t="str">
        <x:v>ORD-0042</x:v>
      </x:c>
      <x:c r="B46" s="22" t="n">
        <x:v>45907.94400282407</x:v>
      </x:c>
      <x:c r="C46" s="8" t="str">
        <x:v>CUS-036</x:v>
      </x:c>
      <x:c r="D46" s="8" t="str">
        <x:f>IFERROR(INDEX('Lookup Tables'!$B$5:$B$84,MATCH(C46,'Lookup Tables'!$A$5:$A$84,0)),"Unknown Customer")</x:f>
        <x:v>Pooja Saxena 2</x:v>
      </x:c>
      <x:c r="E46" s="8" t="str">
        <x:f>IFERROR(INDEX('Lookup Tables'!$C$5:$C$84,MATCH(C46,'Lookup Tables'!$A$5:$A$84,0)),"Unknown")</x:f>
        <x:v>Small Business</x:v>
      </x:c>
      <x:c r="F46" s="8" t="str">
        <x:v>Kolkata</x:v>
      </x:c>
      <x:c r="G46" s="8" t="str">
        <x:f>IFERROR(INDEX('Lookup Tables'!$N$5:$N$14,MATCH(F46,'Lookup Tables'!$M$5:$M$14,0)),"Unknown")</x:f>
        <x:v>East</x:v>
      </x:c>
      <x:c r="H46" s="8" t="str">
        <x:v>PRD-005</x:v>
      </x:c>
      <x:c r="I46" s="8" t="str">
        <x:f>IFERROR(INDEX('Lookup Tables'!$G$5:$G$16,MATCH(H46,'Lookup Tables'!$F$5:$F$16,0)),"Unknown Product")</x:f>
        <x:v>Executive Notebook</x:v>
      </x:c>
      <x:c r="J46" s="8" t="str">
        <x:f>IFERROR(INDEX('Lookup Tables'!$H$5:$H$16,MATCH(H46,'Lookup Tables'!$F$5:$F$16,0)),"Unknown")</x:f>
        <x:v>Office Supplies</x:v>
      </x:c>
      <x:c r="K46" s="8" t="n">
        <x:v>2</x:v>
      </x:c>
      <x:c r="L46" s="9" t="n">
        <x:f>IFERROR(INDEX('Lookup Tables'!$I$5:$I$16,MATCH(H46,'Lookup Tables'!$F$5:$F$16,0)),0)</x:f>
        <x:v>349</x:v>
      </x:c>
      <x:c r="M46" s="23" t="n">
        <x:f>IF('Raw Data'!M46="",0,'Raw Data'!M46)</x:f>
        <x:v>0</x:v>
      </x:c>
      <x:c r="N46" s="9" t="n">
        <x:f>IF(S46="Completed",K46*L46*(1-M46),0)</x:f>
        <x:v>698</x:v>
      </x:c>
      <x:c r="O46" s="9" t="n">
        <x:f>IFERROR(INDEX('Lookup Tables'!$J$5:$J$16,MATCH(H46,'Lookup Tables'!$F$5:$F$16,0)),0)</x:f>
        <x:v>170</x:v>
      </x:c>
      <x:c r="P46" s="9" t="n">
        <x:f>IF(S46="Completed",K46*O46,0)</x:f>
        <x:v>340</x:v>
      </x:c>
      <x:c r="Q46" s="9" t="n">
        <x:f>N46-P46</x:f>
        <x:v>358</x:v>
      </x:c>
      <x:c r="R46" s="8" t="str">
        <x:f>IF(LOWER('Raw Data'!N46)="upi","UPI",'Raw Data'!N46)</x:f>
        <x:v>UPI</x:v>
      </x:c>
      <x:c r="S46" s="8" t="str">
        <x:v>Completed</x:v>
      </x:c>
      <x:c r="T46" s="8" t="str">
        <x:f>TEXT(B46,"mmm yyyy")</x:f>
        <x:v>Sep 2025</x:v>
      </x:c>
      <x:c r="U46" s="8" t="n">
        <x:f>YEAR(B46)</x:f>
        <x:v>2025</x:v>
      </x:c>
    </x:row>
    <x:row r="47">
      <x:c r="A47" s="8" t="str">
        <x:v>ORD-0043</x:v>
      </x:c>
      <x:c r="B47" s="22" t="n">
        <x:v>45714.36716671296</x:v>
      </x:c>
      <x:c r="C47" s="8" t="str">
        <x:v>CUS-069</x:v>
      </x:c>
      <x:c r="D47" s="8" t="str">
        <x:f>IFERROR(INDEX('Lookup Tables'!$B$5:$B$84,MATCH(C47,'Lookup Tables'!$A$5:$A$84,0)),"Unknown Customer")</x:f>
        <x:v>Rohan Das 4</x:v>
      </x:c>
      <x:c r="E47" s="8" t="str">
        <x:f>IFERROR(INDEX('Lookup Tables'!$C$5:$C$84,MATCH(C47,'Lookup Tables'!$A$5:$A$84,0)),"Unknown")</x:f>
        <x:v>Small Business</x:v>
      </x:c>
      <x:c r="F47" s="8" t="str">
        <x:v>Delhi</x:v>
      </x:c>
      <x:c r="G47" s="8" t="str">
        <x:f>IFERROR(INDEX('Lookup Tables'!$N$5:$N$14,MATCH(F47,'Lookup Tables'!$M$5:$M$14,0)),"Unknown")</x:f>
        <x:v>North</x:v>
      </x:c>
      <x:c r="H47" s="8" t="str">
        <x:v>PRD-012</x:v>
      </x:c>
      <x:c r="I47" s="8" t="str">
        <x:f>IFERROR(INDEX('Lookup Tables'!$G$5:$G$16,MATCH(H47,'Lookup Tables'!$F$5:$F$16,0)),"Unknown Product")</x:f>
        <x:v>Stainless Water Bottle</x:v>
      </x:c>
      <x:c r="J47" s="8" t="str">
        <x:f>IFERROR(INDEX('Lookup Tables'!$H$5:$H$16,MATCH(H47,'Lookup Tables'!$F$5:$F$16,0)),"Unknown")</x:f>
        <x:v>Lifestyle</x:v>
      </x:c>
      <x:c r="K47" s="8" t="n">
        <x:v>2</x:v>
      </x:c>
      <x:c r="L47" s="9" t="n">
        <x:f>IFERROR(INDEX('Lookup Tables'!$I$5:$I$16,MATCH(H47,'Lookup Tables'!$F$5:$F$16,0)),0)</x:f>
        <x:v>799</x:v>
      </x:c>
      <x:c r="M47" s="23" t="n">
        <x:f>IF('Raw Data'!M47="",0,'Raw Data'!M47)</x:f>
        <x:v>0.1</x:v>
      </x:c>
      <x:c r="N47" s="9" t="n">
        <x:f>IF(S47="Completed",K47*L47*(1-M47),0)</x:f>
        <x:v>1438.2</x:v>
      </x:c>
      <x:c r="O47" s="9" t="n">
        <x:f>IFERROR(INDEX('Lookup Tables'!$J$5:$J$16,MATCH(H47,'Lookup Tables'!$F$5:$F$16,0)),0)</x:f>
        <x:v>410</x:v>
      </x:c>
      <x:c r="P47" s="9" t="n">
        <x:f>IF(S47="Completed",K47*O47,0)</x:f>
        <x:v>820</x:v>
      </x:c>
      <x:c r="Q47" s="9" t="n">
        <x:f>N47-P47</x:f>
        <x:v>618.2</x:v>
      </x:c>
      <x:c r="R47" s="8" t="str">
        <x:f>IF(LOWER('Raw Data'!N47)="upi","UPI",'Raw Data'!N47)</x:f>
        <x:v>Net Banking</x:v>
      </x:c>
      <x:c r="S47" s="8" t="str">
        <x:v>Completed</x:v>
      </x:c>
      <x:c r="T47" s="8" t="str">
        <x:f>TEXT(B47,"mmm yyyy")</x:f>
        <x:v>Feb 2025</x:v>
      </x:c>
      <x:c r="U47" s="8" t="n">
        <x:f>YEAR(B47)</x:f>
        <x:v>2025</x:v>
      </x:c>
    </x:row>
    <x:row r="48">
      <x:c r="A48" s="8" t="str">
        <x:v>ORD-0044</x:v>
      </x:c>
      <x:c r="B48" s="22" t="n">
        <x:v>45982.74837487269</x:v>
      </x:c>
      <x:c r="C48" s="8" t="str">
        <x:v>CUS-065</x:v>
      </x:c>
      <x:c r="D48" s="8" t="str">
        <x:f>IFERROR(INDEX('Lookup Tables'!$B$5:$B$84,MATCH(C48,'Lookup Tables'!$A$5:$A$84,0)),"Unknown Customer")</x:f>
        <x:v>Arjun Verma 4</x:v>
      </x:c>
      <x:c r="E48" s="8" t="str">
        <x:f>IFERROR(INDEX('Lookup Tables'!$C$5:$C$84,MATCH(C48,'Lookup Tables'!$A$5:$A$84,0)),"Unknown")</x:f>
        <x:v>Corporate</x:v>
      </x:c>
      <x:c r="F48" s="8" t="str">
        <x:v>Delhi</x:v>
      </x:c>
      <x:c r="G48" s="8" t="str">
        <x:f>IFERROR(INDEX('Lookup Tables'!$N$5:$N$14,MATCH(F48,'Lookup Tables'!$M$5:$M$14,0)),"Unknown")</x:f>
        <x:v>North</x:v>
      </x:c>
      <x:c r="H48" s="8" t="str">
        <x:v>PRD-001</x:v>
      </x:c>
      <x:c r="I48" s="8" t="str">
        <x:f>IFERROR(INDEX('Lookup Tables'!$G$5:$G$16,MATCH(H48,'Lookup Tables'!$F$5:$F$16,0)),"Unknown Product")</x:f>
        <x:v>Wireless Mouse</x:v>
      </x:c>
      <x:c r="J48" s="8" t="str">
        <x:f>IFERROR(INDEX('Lookup Tables'!$H$5:$H$16,MATCH(H48,'Lookup Tables'!$F$5:$F$16,0)),"Unknown")</x:f>
        <x:v>Electronics</x:v>
      </x:c>
      <x:c r="K48" s="8" t="n">
        <x:v>1</x:v>
      </x:c>
      <x:c r="L48" s="9" t="n">
        <x:f>IFERROR(INDEX('Lookup Tables'!$I$5:$I$16,MATCH(H48,'Lookup Tables'!$F$5:$F$16,0)),0)</x:f>
        <x:v>899</x:v>
      </x:c>
      <x:c r="M48" s="23" t="n">
        <x:f>IF('Raw Data'!M48="",0,'Raw Data'!M48)</x:f>
        <x:v>0.15</x:v>
      </x:c>
      <x:c r="N48" s="9" t="n">
        <x:f>IF(S48="Completed",K48*L48*(1-M48),0)</x:f>
        <x:v>764.15</x:v>
      </x:c>
      <x:c r="O48" s="9" t="n">
        <x:f>IFERROR(INDEX('Lookup Tables'!$J$5:$J$16,MATCH(H48,'Lookup Tables'!$F$5:$F$16,0)),0)</x:f>
        <x:v>540</x:v>
      </x:c>
      <x:c r="P48" s="9" t="n">
        <x:f>IF(S48="Completed",K48*O48,0)</x:f>
        <x:v>540</x:v>
      </x:c>
      <x:c r="Q48" s="9" t="n">
        <x:f>N48-P48</x:f>
        <x:v>224.14999999999998</x:v>
      </x:c>
      <x:c r="R48" s="8" t="str">
        <x:f>IF(LOWER('Raw Data'!N48)="upi","UPI",'Raw Data'!N48)</x:f>
        <x:v>Net Banking</x:v>
      </x:c>
      <x:c r="S48" s="8" t="str">
        <x:v>Completed</x:v>
      </x:c>
      <x:c r="T48" s="8" t="str">
        <x:f>TEXT(B48,"mmm yyyy")</x:f>
        <x:v>Nov 2025</x:v>
      </x:c>
      <x:c r="U48" s="8" t="n">
        <x:f>YEAR(B48)</x:f>
        <x:v>2025</x:v>
      </x:c>
    </x:row>
    <x:row r="49">
      <x:c r="A49" s="8" t="str">
        <x:v>ORD-0045</x:v>
      </x:c>
      <x:c r="B49" s="22" t="n">
        <x:v>45954.61602361111</x:v>
      </x:c>
      <x:c r="C49" s="8" t="str">
        <x:v>CUS-023</x:v>
      </x:c>
      <x:c r="D49" s="8" t="str">
        <x:f>IFERROR(INDEX('Lookup Tables'!$B$5:$B$84,MATCH(C49,'Lookup Tables'!$A$5:$A$84,0)),"Unknown Customer")</x:f>
        <x:v>Vihaan Singh 2</x:v>
      </x:c>
      <x:c r="E49" s="8" t="str">
        <x:f>IFERROR(INDEX('Lookup Tables'!$C$5:$C$84,MATCH(C49,'Lookup Tables'!$A$5:$A$84,0)),"Unknown")</x:f>
        <x:v>Corporate</x:v>
      </x:c>
      <x:c r="F49" s="8" t="str">
        <x:v>Mumbai</x:v>
      </x:c>
      <x:c r="G49" s="8" t="str">
        <x:f>IFERROR(INDEX('Lookup Tables'!$N$5:$N$14,MATCH(F49,'Lookup Tables'!$M$5:$M$14,0)),"Unknown")</x:f>
        <x:v>West</x:v>
      </x:c>
      <x:c r="H49" s="8" t="str">
        <x:v>PRD-010</x:v>
      </x:c>
      <x:c r="I49" s="8" t="str">
        <x:f>IFERROR(INDEX('Lookup Tables'!$G$5:$G$16,MATCH(H49,'Lookup Tables'!$F$5:$F$16,0)),"Unknown Product")</x:f>
        <x:v>Travel Backpack</x:v>
      </x:c>
      <x:c r="J49" s="8" t="str">
        <x:f>IFERROR(INDEX('Lookup Tables'!$H$5:$H$16,MATCH(H49,'Lookup Tables'!$F$5:$F$16,0)),"Unknown")</x:f>
        <x:v>Fashion</x:v>
      </x:c>
      <x:c r="K49" s="8" t="n">
        <x:v>2</x:v>
      </x:c>
      <x:c r="L49" s="9" t="n">
        <x:f>IFERROR(INDEX('Lookup Tables'!$I$5:$I$16,MATCH(H49,'Lookup Tables'!$F$5:$F$16,0)),0)</x:f>
        <x:v>2199</x:v>
      </x:c>
      <x:c r="M49" s="23" t="n">
        <x:f>IF('Raw Data'!M49="",0,'Raw Data'!M49)</x:f>
        <x:v>0</x:v>
      </x:c>
      <x:c r="N49" s="9" t="n">
        <x:f>IF(S49="Completed",K49*L49*(1-M49),0)</x:f>
        <x:v>0</x:v>
      </x:c>
      <x:c r="O49" s="9" t="n">
        <x:f>IFERROR(INDEX('Lookup Tables'!$J$5:$J$16,MATCH(H49,'Lookup Tables'!$F$5:$F$16,0)),0)</x:f>
        <x:v>1380</x:v>
      </x:c>
      <x:c r="P49" s="9" t="n">
        <x:f>IF(S49="Completed",K49*O49,0)</x:f>
        <x:v>0</x:v>
      </x:c>
      <x:c r="Q49" s="9" t="n">
        <x:f>N49-P49</x:f>
        <x:v>0</x:v>
      </x:c>
      <x:c r="R49" s="8" t="str">
        <x:f>IF(LOWER('Raw Data'!N49)="upi","UPI",'Raw Data'!N49)</x:f>
        <x:v>Net Banking</x:v>
      </x:c>
      <x:c r="S49" s="8" t="str">
        <x:v>Returned</x:v>
      </x:c>
      <x:c r="T49" s="8" t="str">
        <x:f>TEXT(B49,"mmm yyyy")</x:f>
        <x:v>Oct 2025</x:v>
      </x:c>
      <x:c r="U49" s="8" t="n">
        <x:f>YEAR(B49)</x:f>
        <x:v>2025</x:v>
      </x:c>
    </x:row>
    <x:row r="50">
      <x:c r="A50" s="8" t="str">
        <x:v>ORD-0046</x:v>
      </x:c>
      <x:c r="B50" s="22" t="n">
        <x:v>45976.37588835648</x:v>
      </x:c>
      <x:c r="C50" s="8" t="str">
        <x:v>CUS-032</x:v>
      </x:c>
      <x:c r="D50" s="8" t="str">
        <x:f>IFERROR(INDEX('Lookup Tables'!$B$5:$B$84,MATCH(C50,'Lookup Tables'!$A$5:$A$84,0)),"Unknown Customer")</x:f>
        <x:v>Priya Kapoor 2</x:v>
      </x:c>
      <x:c r="E50" s="8" t="str">
        <x:f>IFERROR(INDEX('Lookup Tables'!$C$5:$C$84,MATCH(C50,'Lookup Tables'!$A$5:$A$84,0)),"Unknown")</x:f>
        <x:v>Corporate</x:v>
      </x:c>
      <x:c r="F50" s="8" t="str">
        <x:v>Kolkata</x:v>
      </x:c>
      <x:c r="G50" s="8" t="str">
        <x:f>IFERROR(INDEX('Lookup Tables'!$N$5:$N$14,MATCH(F50,'Lookup Tables'!$M$5:$M$14,0)),"Unknown")</x:f>
        <x:v>East</x:v>
      </x:c>
      <x:c r="H50" s="8" t="str">
        <x:v>PRD-005</x:v>
      </x:c>
      <x:c r="I50" s="8" t="str">
        <x:f>IFERROR(INDEX('Lookup Tables'!$G$5:$G$16,MATCH(H50,'Lookup Tables'!$F$5:$F$16,0)),"Unknown Product")</x:f>
        <x:v>Executive Notebook</x:v>
      </x:c>
      <x:c r="J50" s="8" t="str">
        <x:f>IFERROR(INDEX('Lookup Tables'!$H$5:$H$16,MATCH(H50,'Lookup Tables'!$F$5:$F$16,0)),"Unknown")</x:f>
        <x:v>Office Supplies</x:v>
      </x:c>
      <x:c r="K50" s="8" t="n">
        <x:v>2</x:v>
      </x:c>
      <x:c r="L50" s="9" t="n">
        <x:f>IFERROR(INDEX('Lookup Tables'!$I$5:$I$16,MATCH(H50,'Lookup Tables'!$F$5:$F$16,0)),0)</x:f>
        <x:v>349</x:v>
      </x:c>
      <x:c r="M50" s="23" t="n">
        <x:f>IF('Raw Data'!M50="",0,'Raw Data'!M50)</x:f>
        <x:v>0</x:v>
      </x:c>
      <x:c r="N50" s="9" t="n">
        <x:f>IF(S50="Completed",K50*L50*(1-M50),0)</x:f>
        <x:v>698</x:v>
      </x:c>
      <x:c r="O50" s="9" t="n">
        <x:f>IFERROR(INDEX('Lookup Tables'!$J$5:$J$16,MATCH(H50,'Lookup Tables'!$F$5:$F$16,0)),0)</x:f>
        <x:v>170</x:v>
      </x:c>
      <x:c r="P50" s="9" t="n">
        <x:f>IF(S50="Completed",K50*O50,0)</x:f>
        <x:v>340</x:v>
      </x:c>
      <x:c r="Q50" s="9" t="n">
        <x:f>N50-P50</x:f>
        <x:v>358</x:v>
      </x:c>
      <x:c r="R50" s="8" t="str">
        <x:f>IF(LOWER('Raw Data'!N50)="upi","UPI",'Raw Data'!N50)</x:f>
        <x:v>Net Banking</x:v>
      </x:c>
      <x:c r="S50" s="8" t="str">
        <x:v>Completed</x:v>
      </x:c>
      <x:c r="T50" s="8" t="str">
        <x:f>TEXT(B50,"mmm yyyy")</x:f>
        <x:v>Nov 2025</x:v>
      </x:c>
      <x:c r="U50" s="8" t="n">
        <x:f>YEAR(B50)</x:f>
        <x:v>2025</x:v>
      </x:c>
    </x:row>
    <x:row r="51">
      <x:c r="A51" s="8" t="str">
        <x:v>ORD-0047</x:v>
      </x:c>
      <x:c r="B51" s="22" t="n">
        <x:v>45943.82602208333</x:v>
      </x:c>
      <x:c r="C51" s="8" t="str">
        <x:v>CUS-012</x:v>
      </x:c>
      <x:c r="D51" s="8" t="str">
        <x:f>IFERROR(INDEX('Lookup Tables'!$B$5:$B$84,MATCH(C51,'Lookup Tables'!$A$5:$A$84,0)),"Unknown Customer")</x:f>
        <x:v>Priya Kapoor</x:v>
      </x:c>
      <x:c r="E51" s="8" t="str">
        <x:f>IFERROR(INDEX('Lookup Tables'!$C$5:$C$84,MATCH(C51,'Lookup Tables'!$A$5:$A$84,0)),"Unknown")</x:f>
        <x:v>Small Business</x:v>
      </x:c>
      <x:c r="F51" s="8" t="str">
        <x:v>Lucknow</x:v>
      </x:c>
      <x:c r="G51" s="8" t="str">
        <x:f>IFERROR(INDEX('Lookup Tables'!$N$5:$N$14,MATCH(F51,'Lookup Tables'!$M$5:$M$14,0)),"Unknown")</x:f>
        <x:v>North</x:v>
      </x:c>
      <x:c r="H51" s="8" t="str">
        <x:v>PRD-007</x:v>
      </x:c>
      <x:c r="I51" s="8" t="str">
        <x:f>IFERROR(INDEX('Lookup Tables'!$G$5:$G$16,MATCH(H51,'Lookup Tables'!$F$5:$F$16,0)),"Unknown Product")</x:f>
        <x:v>Electric Kettle</x:v>
      </x:c>
      <x:c r="J51" s="8" t="str">
        <x:f>IFERROR(INDEX('Lookup Tables'!$H$5:$H$16,MATCH(H51,'Lookup Tables'!$F$5:$F$16,0)),"Unknown")</x:f>
        <x:v>Home &amp; Kitchen</x:v>
      </x:c>
      <x:c r="K51" s="8" t="n">
        <x:v>4</x:v>
      </x:c>
      <x:c r="L51" s="9" t="n">
        <x:f>IFERROR(INDEX('Lookup Tables'!$I$5:$I$16,MATCH(H51,'Lookup Tables'!$F$5:$F$16,0)),0)</x:f>
        <x:v>1699</x:v>
      </x:c>
      <x:c r="M51" s="23" t="n">
        <x:f>IF('Raw Data'!M51="",0,'Raw Data'!M51)</x:f>
        <x:v>0</x:v>
      </x:c>
      <x:c r="N51" s="9" t="n">
        <x:f>IF(S51="Completed",K51*L51*(1-M51),0)</x:f>
        <x:v>6796</x:v>
      </x:c>
      <x:c r="O51" s="9" t="n">
        <x:f>IFERROR(INDEX('Lookup Tables'!$J$5:$J$16,MATCH(H51,'Lookup Tables'!$F$5:$F$16,0)),0)</x:f>
        <x:v>1040</x:v>
      </x:c>
      <x:c r="P51" s="9" t="n">
        <x:f>IF(S51="Completed",K51*O51,0)</x:f>
        <x:v>4160</x:v>
      </x:c>
      <x:c r="Q51" s="9" t="n">
        <x:f>N51-P51</x:f>
        <x:v>2636</x:v>
      </x:c>
      <x:c r="R51" s="8" t="str">
        <x:f>IF(LOWER('Raw Data'!N51)="upi","UPI",'Raw Data'!N51)</x:f>
        <x:v>Net Banking</x:v>
      </x:c>
      <x:c r="S51" s="8" t="str">
        <x:v>Completed</x:v>
      </x:c>
      <x:c r="T51" s="8" t="str">
        <x:f>TEXT(B51,"mmm yyyy")</x:f>
        <x:v>Oct 2025</x:v>
      </x:c>
      <x:c r="U51" s="8" t="n">
        <x:f>YEAR(B51)</x:f>
        <x:v>2025</x:v>
      </x:c>
    </x:row>
    <x:row r="52">
      <x:c r="A52" s="8" t="str">
        <x:v>ORD-0048</x:v>
      </x:c>
      <x:c r="B52" s="22" t="n">
        <x:v>45937.91597884259</x:v>
      </x:c>
      <x:c r="C52" s="8" t="str">
        <x:v>CUS-075</x:v>
      </x:c>
      <x:c r="D52" s="8" t="str">
        <x:f>IFERROR(INDEX('Lookup Tables'!$B$5:$B$84,MATCH(C52,'Lookup Tables'!$A$5:$A$84,0)),"Unknown Customer")</x:f>
        <x:v>Karan Malhotra 4</x:v>
      </x:c>
      <x:c r="E52" s="8" t="str">
        <x:f>IFERROR(INDEX('Lookup Tables'!$C$5:$C$84,MATCH(C52,'Lookup Tables'!$A$5:$A$84,0)),"Unknown")</x:f>
        <x:v>Small Business</x:v>
      </x:c>
      <x:c r="F52" s="8" t="str">
        <x:v>Pune</x:v>
      </x:c>
      <x:c r="G52" s="8" t="str">
        <x:f>IFERROR(INDEX('Lookup Tables'!$N$5:$N$14,MATCH(F52,'Lookup Tables'!$M$5:$M$14,0)),"Unknown")</x:f>
        <x:v>West</x:v>
      </x:c>
      <x:c r="H52" s="8" t="str">
        <x:v>PRD-008</x:v>
      </x:c>
      <x:c r="I52" s="8" t="str">
        <x:f>IFERROR(INDEX('Lookup Tables'!$G$5:$G$16,MATCH(H52,'Lookup Tables'!$F$5:$F$16,0)),"Unknown Product")</x:f>
        <x:v>Storage Container Set</x:v>
      </x:c>
      <x:c r="J52" s="8" t="str">
        <x:f>IFERROR(INDEX('Lookup Tables'!$H$5:$H$16,MATCH(H52,'Lookup Tables'!$F$5:$F$16,0)),"Unknown")</x:f>
        <x:v>Home &amp; Kitchen</x:v>
      </x:c>
      <x:c r="K52" s="8" t="n">
        <x:v>5</x:v>
      </x:c>
      <x:c r="L52" s="9" t="n">
        <x:f>IFERROR(INDEX('Lookup Tables'!$I$5:$I$16,MATCH(H52,'Lookup Tables'!$F$5:$F$16,0)),0)</x:f>
        <x:v>999</x:v>
      </x:c>
      <x:c r="M52" s="23" t="n">
        <x:f>IF('Raw Data'!M52="",0,'Raw Data'!M52)</x:f>
        <x:v>0.05</x:v>
      </x:c>
      <x:c r="N52" s="9" t="n">
        <x:f>IF(S52="Completed",K52*L52*(1-M52),0)</x:f>
        <x:v>4745.25</x:v>
      </x:c>
      <x:c r="O52" s="9" t="n">
        <x:f>IFERROR(INDEX('Lookup Tables'!$J$5:$J$16,MATCH(H52,'Lookup Tables'!$F$5:$F$16,0)),0)</x:f>
        <x:v>580</x:v>
      </x:c>
      <x:c r="P52" s="9" t="n">
        <x:f>IF(S52="Completed",K52*O52,0)</x:f>
        <x:v>2900</x:v>
      </x:c>
      <x:c r="Q52" s="9" t="n">
        <x:f>N52-P52</x:f>
        <x:v>1845.25</x:v>
      </x:c>
      <x:c r="R52" s="8" t="str">
        <x:f>IF(LOWER('Raw Data'!N52)="upi","UPI",'Raw Data'!N52)</x:f>
        <x:v>Net Banking</x:v>
      </x:c>
      <x:c r="S52" s="8" t="str">
        <x:v>Completed</x:v>
      </x:c>
      <x:c r="T52" s="8" t="str">
        <x:f>TEXT(B52,"mmm yyyy")</x:f>
        <x:v>Oct 2025</x:v>
      </x:c>
      <x:c r="U52" s="8" t="n">
        <x:f>YEAR(B52)</x:f>
        <x:v>2025</x:v>
      </x:c>
    </x:row>
    <x:row r="53">
      <x:c r="A53" s="8" t="str">
        <x:v>ORD-0049</x:v>
      </x:c>
      <x:c r="B53" s="22" t="n">
        <x:v>46010.12353774306</x:v>
      </x:c>
      <x:c r="C53" s="8" t="str">
        <x:v>CUS-043</x:v>
      </x:c>
      <x:c r="D53" s="8" t="str">
        <x:f>IFERROR(INDEX('Lookup Tables'!$B$5:$B$84,MATCH(C53,'Lookup Tables'!$A$5:$A$84,0)),"Unknown Customer")</x:f>
        <x:v>Vihaan Singh 3</x:v>
      </x:c>
      <x:c r="E53" s="8" t="str">
        <x:f>IFERROR(INDEX('Lookup Tables'!$C$5:$C$84,MATCH(C53,'Lookup Tables'!$A$5:$A$84,0)),"Unknown")</x:f>
        <x:v>Consumer</x:v>
      </x:c>
      <x:c r="F53" s="8" t="str">
        <x:v>Delhi</x:v>
      </x:c>
      <x:c r="G53" s="8" t="str">
        <x:f>IFERROR(INDEX('Lookup Tables'!$N$5:$N$14,MATCH(F53,'Lookup Tables'!$M$5:$M$14,0)),"Unknown")</x:f>
        <x:v>North</x:v>
      </x:c>
      <x:c r="H53" s="8" t="str">
        <x:v>PRD-006</x:v>
      </x:c>
      <x:c r="I53" s="8" t="str">
        <x:f>IFERROR(INDEX('Lookup Tables'!$G$5:$G$16,MATCH(H53,'Lookup Tables'!$F$5:$F$16,0)),"Unknown Product")</x:f>
        <x:v>Desk Organiser</x:v>
      </x:c>
      <x:c r="J53" s="8" t="str">
        <x:f>IFERROR(INDEX('Lookup Tables'!$H$5:$H$16,MATCH(H53,'Lookup Tables'!$F$5:$F$16,0)),"Unknown")</x:f>
        <x:v>Office Supplies</x:v>
      </x:c>
      <x:c r="K53" s="8" t="n">
        <x:v>1</x:v>
      </x:c>
      <x:c r="L53" s="9" t="n">
        <x:f>IFERROR(INDEX('Lookup Tables'!$I$5:$I$16,MATCH(H53,'Lookup Tables'!$F$5:$F$16,0)),0)</x:f>
        <x:v>699</x:v>
      </x:c>
      <x:c r="M53" s="23" t="n">
        <x:f>IF('Raw Data'!M53="",0,'Raw Data'!M53)</x:f>
        <x:v>0.05</x:v>
      </x:c>
      <x:c r="N53" s="9" t="n">
        <x:f>IF(S53="Completed",K53*L53*(1-M53),0)</x:f>
        <x:v>0</x:v>
      </x:c>
      <x:c r="O53" s="9" t="n">
        <x:f>IFERROR(INDEX('Lookup Tables'!$J$5:$J$16,MATCH(H53,'Lookup Tables'!$F$5:$F$16,0)),0)</x:f>
        <x:v>390</x:v>
      </x:c>
      <x:c r="P53" s="9" t="n">
        <x:f>IF(S53="Completed",K53*O53,0)</x:f>
        <x:v>0</x:v>
      </x:c>
      <x:c r="Q53" s="9" t="n">
        <x:f>N53-P53</x:f>
        <x:v>0</x:v>
      </x:c>
      <x:c r="R53" s="8" t="str">
        <x:f>IF(LOWER('Raw Data'!N53)="upi","UPI",'Raw Data'!N53)</x:f>
        <x:v>Cash on Delivery</x:v>
      </x:c>
      <x:c r="S53" s="8" t="str">
        <x:v>Returned</x:v>
      </x:c>
      <x:c r="T53" s="8" t="str">
        <x:f>TEXT(B53,"mmm yyyy")</x:f>
        <x:v>Dec 2025</x:v>
      </x:c>
      <x:c r="U53" s="8" t="n">
        <x:f>YEAR(B53)</x:f>
        <x:v>2025</x:v>
      </x:c>
    </x:row>
    <x:row r="54">
      <x:c r="A54" s="8" t="str">
        <x:v>ORD-0050</x:v>
      </x:c>
      <x:c r="B54" s="22" t="n">
        <x:v>45715.28818289352</x:v>
      </x:c>
      <x:c r="C54" s="8" t="str">
        <x:v>CUS-018</x:v>
      </x:c>
      <x:c r="D54" s="8" t="str">
        <x:f>IFERROR(INDEX('Lookup Tables'!$B$5:$B$84,MATCH(C54,'Lookup Tables'!$A$5:$A$84,0)),"Unknown Customer")</x:f>
        <x:v>Nisha Bansal</x:v>
      </x:c>
      <x:c r="E54" s="8" t="str">
        <x:f>IFERROR(INDEX('Lookup Tables'!$C$5:$C$84,MATCH(C54,'Lookup Tables'!$A$5:$A$84,0)),"Unknown")</x:f>
        <x:v>Small Business</x:v>
      </x:c>
      <x:c r="F54" s="8" t="str">
        <x:v>Ahmedabad</x:v>
      </x:c>
      <x:c r="G54" s="8" t="str">
        <x:f>IFERROR(INDEX('Lookup Tables'!$N$5:$N$14,MATCH(F54,'Lookup Tables'!$M$5:$M$14,0)),"Unknown")</x:f>
        <x:v>West</x:v>
      </x:c>
      <x:c r="H54" s="8" t="str">
        <x:v>PRD-003</x:v>
      </x:c>
      <x:c r="I54" s="8" t="str">
        <x:f>IFERROR(INDEX('Lookup Tables'!$G$5:$G$16,MATCH(H54,'Lookup Tables'!$F$5:$F$16,0)),"Unknown Product")</x:f>
        <x:v>USB-C Hub</x:v>
      </x:c>
      <x:c r="J54" s="8" t="str">
        <x:f>IFERROR(INDEX('Lookup Tables'!$H$5:$H$16,MATCH(H54,'Lookup Tables'!$F$5:$F$16,0)),"Unknown")</x:f>
        <x:v>Electronics</x:v>
      </x:c>
      <x:c r="K54" s="8" t="n">
        <x:v>1</x:v>
      </x:c>
      <x:c r="L54" s="9" t="n">
        <x:f>IFERROR(INDEX('Lookup Tables'!$I$5:$I$16,MATCH(H54,'Lookup Tables'!$F$5:$F$16,0)),0)</x:f>
        <x:v>1899</x:v>
      </x:c>
      <x:c r="M54" s="23" t="n">
        <x:f>IF('Raw Data'!M54="",0,'Raw Data'!M54)</x:f>
        <x:v>0.1</x:v>
      </x:c>
      <x:c r="N54" s="9" t="n">
        <x:f>IF(S54="Completed",K54*L54*(1-M54),0)</x:f>
        <x:v>1709.1000000000001</x:v>
      </x:c>
      <x:c r="O54" s="9" t="n">
        <x:f>IFERROR(INDEX('Lookup Tables'!$J$5:$J$16,MATCH(H54,'Lookup Tables'!$F$5:$F$16,0)),0)</x:f>
        <x:v>1180</x:v>
      </x:c>
      <x:c r="P54" s="9" t="n">
        <x:f>IF(S54="Completed",K54*O54,0)</x:f>
        <x:v>1180</x:v>
      </x:c>
      <x:c r="Q54" s="9" t="n">
        <x:f>N54-P54</x:f>
        <x:v>529.1000000000001</x:v>
      </x:c>
      <x:c r="R54" s="8" t="str">
        <x:f>IF(LOWER('Raw Data'!N54)="upi","UPI",'Raw Data'!N54)</x:f>
        <x:v>Credit Card</x:v>
      </x:c>
      <x:c r="S54" s="8" t="str">
        <x:v>Completed</x:v>
      </x:c>
      <x:c r="T54" s="8" t="str">
        <x:f>TEXT(B54,"mmm yyyy")</x:f>
        <x:v>Feb 2025</x:v>
      </x:c>
      <x:c r="U54" s="8" t="n">
        <x:f>YEAR(B54)</x:f>
        <x:v>2025</x:v>
      </x:c>
    </x:row>
    <x:row r="55">
      <x:c r="A55" s="8" t="str">
        <x:v>ORD-0051</x:v>
      </x:c>
      <x:c r="B55" s="22" t="n">
        <x:v>45712.45200329861</x:v>
      </x:c>
      <x:c r="C55" s="8" t="str">
        <x:v>CUS-011</x:v>
      </x:c>
      <x:c r="D55" s="8" t="str">
        <x:f>IFERROR(INDEX('Lookup Tables'!$B$5:$B$84,MATCH(C55,'Lookup Tables'!$A$5:$A$84,0)),"Unknown Customer")</x:f>
        <x:v>Aditya Joshi</x:v>
      </x:c>
      <x:c r="E55" s="8" t="str">
        <x:f>IFERROR(INDEX('Lookup Tables'!$C$5:$C$84,MATCH(C55,'Lookup Tables'!$A$5:$A$84,0)),"Unknown")</x:f>
        <x:v>Corporate</x:v>
      </x:c>
      <x:c r="F55" s="8" t="str">
        <x:v>Pune</x:v>
      </x:c>
      <x:c r="G55" s="8" t="str">
        <x:f>IFERROR(INDEX('Lookup Tables'!$N$5:$N$14,MATCH(F55,'Lookup Tables'!$M$5:$M$14,0)),"Unknown")</x:f>
        <x:v>West</x:v>
      </x:c>
      <x:c r="H55" s="8" t="str">
        <x:v>PRD-010</x:v>
      </x:c>
      <x:c r="I55" s="8" t="str">
        <x:f>IFERROR(INDEX('Lookup Tables'!$G$5:$G$16,MATCH(H55,'Lookup Tables'!$F$5:$F$16,0)),"Unknown Product")</x:f>
        <x:v>Travel Backpack</x:v>
      </x:c>
      <x:c r="J55" s="8" t="str">
        <x:f>IFERROR(INDEX('Lookup Tables'!$H$5:$H$16,MATCH(H55,'Lookup Tables'!$F$5:$F$16,0)),"Unknown")</x:f>
        <x:v>Fashion</x:v>
      </x:c>
      <x:c r="K55" s="8" t="n">
        <x:v>1</x:v>
      </x:c>
      <x:c r="L55" s="9" t="n">
        <x:f>IFERROR(INDEX('Lookup Tables'!$I$5:$I$16,MATCH(H55,'Lookup Tables'!$F$5:$F$16,0)),0)</x:f>
        <x:v>2199</x:v>
      </x:c>
      <x:c r="M55" s="23" t="n">
        <x:f>IF('Raw Data'!M55="",0,'Raw Data'!M55)</x:f>
        <x:v>0.05</x:v>
      </x:c>
      <x:c r="N55" s="9" t="n">
        <x:f>IF(S55="Completed",K55*L55*(1-M55),0)</x:f>
        <x:v>2089.0499999999997</x:v>
      </x:c>
      <x:c r="O55" s="9" t="n">
        <x:f>IFERROR(INDEX('Lookup Tables'!$J$5:$J$16,MATCH(H55,'Lookup Tables'!$F$5:$F$16,0)),0)</x:f>
        <x:v>1380</x:v>
      </x:c>
      <x:c r="P55" s="9" t="n">
        <x:f>IF(S55="Completed",K55*O55,0)</x:f>
        <x:v>1380</x:v>
      </x:c>
      <x:c r="Q55" s="9" t="n">
        <x:f>N55-P55</x:f>
        <x:v>709.0499999999997</x:v>
      </x:c>
      <x:c r="R55" s="8" t="str">
        <x:f>IF(LOWER('Raw Data'!N55)="upi","UPI",'Raw Data'!N55)</x:f>
        <x:v>Credit Card</x:v>
      </x:c>
      <x:c r="S55" s="8" t="str">
        <x:v>Completed</x:v>
      </x:c>
      <x:c r="T55" s="8" t="str">
        <x:f>TEXT(B55,"mmm yyyy")</x:f>
        <x:v>Feb 2025</x:v>
      </x:c>
      <x:c r="U55" s="8" t="n">
        <x:f>YEAR(B55)</x:f>
        <x:v>2025</x:v>
      </x:c>
    </x:row>
    <x:row r="56">
      <x:c r="A56" s="8" t="str">
        <x:v>ORD-0052</x:v>
      </x:c>
      <x:c r="B56" s="22" t="n">
        <x:v>45762.224339768516</x:v>
      </x:c>
      <x:c r="C56" s="8" t="str">
        <x:v>CUS-067</x:v>
      </x:c>
      <x:c r="D56" s="8" t="str">
        <x:f>IFERROR(INDEX('Lookup Tables'!$B$5:$B$84,MATCH(C56,'Lookup Tables'!$A$5:$A$84,0)),"Unknown Customer")</x:f>
        <x:v>Kabir Khan 4</x:v>
      </x:c>
      <x:c r="E56" s="8" t="str">
        <x:f>IFERROR(INDEX('Lookup Tables'!$C$5:$C$84,MATCH(C56,'Lookup Tables'!$A$5:$A$84,0)),"Unknown")</x:f>
        <x:v>Consumer</x:v>
      </x:c>
      <x:c r="F56" s="8" t="str">
        <x:v>Jaipur</x:v>
      </x:c>
      <x:c r="G56" s="8" t="str">
        <x:f>IFERROR(INDEX('Lookup Tables'!$N$5:$N$14,MATCH(F56,'Lookup Tables'!$M$5:$M$14,0)),"Unknown")</x:f>
        <x:v>North</x:v>
      </x:c>
      <x:c r="H56" s="8" t="str">
        <x:v>PRD-012</x:v>
      </x:c>
      <x:c r="I56" s="8" t="str">
        <x:f>IFERROR(INDEX('Lookup Tables'!$G$5:$G$16,MATCH(H56,'Lookup Tables'!$F$5:$F$16,0)),"Unknown Product")</x:f>
        <x:v>Stainless Water Bottle</x:v>
      </x:c>
      <x:c r="J56" s="8" t="str">
        <x:f>IFERROR(INDEX('Lookup Tables'!$H$5:$H$16,MATCH(H56,'Lookup Tables'!$F$5:$F$16,0)),"Unknown")</x:f>
        <x:v>Lifestyle</x:v>
      </x:c>
      <x:c r="K56" s="8" t="n">
        <x:v>4</x:v>
      </x:c>
      <x:c r="L56" s="9" t="n">
        <x:f>IFERROR(INDEX('Lookup Tables'!$I$5:$I$16,MATCH(H56,'Lookup Tables'!$F$5:$F$16,0)),0)</x:f>
        <x:v>799</x:v>
      </x:c>
      <x:c r="M56" s="23" t="n">
        <x:f>IF('Raw Data'!M56="",0,'Raw Data'!M56)</x:f>
        <x:v>0</x:v>
      </x:c>
      <x:c r="N56" s="9" t="n">
        <x:f>IF(S56="Completed",K56*L56*(1-M56),0)</x:f>
        <x:v>3196</x:v>
      </x:c>
      <x:c r="O56" s="9" t="n">
        <x:f>IFERROR(INDEX('Lookup Tables'!$J$5:$J$16,MATCH(H56,'Lookup Tables'!$F$5:$F$16,0)),0)</x:f>
        <x:v>410</x:v>
      </x:c>
      <x:c r="P56" s="9" t="n">
        <x:f>IF(S56="Completed",K56*O56,0)</x:f>
        <x:v>1640</x:v>
      </x:c>
      <x:c r="Q56" s="9" t="n">
        <x:f>N56-P56</x:f>
        <x:v>1556</x:v>
      </x:c>
      <x:c r="R56" s="8" t="str">
        <x:f>IF(LOWER('Raw Data'!N56)="upi","UPI",'Raw Data'!N56)</x:f>
        <x:v>Cash on Delivery</x:v>
      </x:c>
      <x:c r="S56" s="8" t="str">
        <x:v>Completed</x:v>
      </x:c>
      <x:c r="T56" s="8" t="str">
        <x:f>TEXT(B56,"mmm yyyy")</x:f>
        <x:v>Apr 2025</x:v>
      </x:c>
      <x:c r="U56" s="8" t="n">
        <x:f>YEAR(B56)</x:f>
        <x:v>2025</x:v>
      </x:c>
    </x:row>
    <x:row r="57">
      <x:c r="A57" s="8" t="str">
        <x:v>ORD-0053</x:v>
      </x:c>
      <x:c r="B57" s="22" t="n">
        <x:v>45887.90622916666</x:v>
      </x:c>
      <x:c r="C57" s="8" t="str">
        <x:v>CUS-033</x:v>
      </x:c>
      <x:c r="D57" s="8" t="str">
        <x:f>IFERROR(INDEX('Lookup Tables'!$B$5:$B$84,MATCH(C57,'Lookup Tables'!$A$5:$A$84,0)),"Unknown Customer")</x:f>
        <x:v>Rahul Mishra 2</x:v>
      </x:c>
      <x:c r="E57" s="8" t="str">
        <x:f>IFERROR(INDEX('Lookup Tables'!$C$5:$C$84,MATCH(C57,'Lookup Tables'!$A$5:$A$84,0)),"Unknown")</x:f>
        <x:v>Small Business</x:v>
      </x:c>
      <x:c r="F57" s="8" t="str">
        <x:v>Lucknow</x:v>
      </x:c>
      <x:c r="G57" s="8" t="str">
        <x:f>IFERROR(INDEX('Lookup Tables'!$N$5:$N$14,MATCH(F57,'Lookup Tables'!$M$5:$M$14,0)),"Unknown")</x:f>
        <x:v>North</x:v>
      </x:c>
      <x:c r="H57" s="8" t="str">
        <x:v>PRD-009</x:v>
      </x:c>
      <x:c r="I57" s="8" t="str">
        <x:f>IFERROR(INDEX('Lookup Tables'!$G$5:$G$16,MATCH(H57,'Lookup Tables'!$F$5:$F$16,0)),"Unknown Product")</x:f>
        <x:v>Table Lamp</x:v>
      </x:c>
      <x:c r="J57" s="8" t="str">
        <x:f>IFERROR(INDEX('Lookup Tables'!$H$5:$H$16,MATCH(H57,'Lookup Tables'!$F$5:$F$16,0)),"Unknown")</x:f>
        <x:v>Home &amp; Kitchen</x:v>
      </x:c>
      <x:c r="K57" s="8" t="n">
        <x:v>5</x:v>
      </x:c>
      <x:c r="L57" s="9" t="n">
        <x:f>IFERROR(INDEX('Lookup Tables'!$I$5:$I$16,MATCH(H57,'Lookup Tables'!$F$5:$F$16,0)),0)</x:f>
        <x:v>1499</x:v>
      </x:c>
      <x:c r="M57" s="23" t="n">
        <x:f>IF('Raw Data'!M57="",0,'Raw Data'!M57)</x:f>
        <x:v>0</x:v>
      </x:c>
      <x:c r="N57" s="9" t="n">
        <x:f>IF(S57="Completed",K57*L57*(1-M57),0)</x:f>
        <x:v>0</x:v>
      </x:c>
      <x:c r="O57" s="9" t="n">
        <x:f>IFERROR(INDEX('Lookup Tables'!$J$5:$J$16,MATCH(H57,'Lookup Tables'!$F$5:$F$16,0)),0)</x:f>
        <x:v>920</x:v>
      </x:c>
      <x:c r="P57" s="9" t="n">
        <x:f>IF(S57="Completed",K57*O57,0)</x:f>
        <x:v>0</x:v>
      </x:c>
      <x:c r="Q57" s="9" t="n">
        <x:f>N57-P57</x:f>
        <x:v>0</x:v>
      </x:c>
      <x:c r="R57" s="8" t="str">
        <x:f>IF(LOWER('Raw Data'!N57)="upi","UPI",'Raw Data'!N57)</x:f>
        <x:v>Debit Card</x:v>
      </x:c>
      <x:c r="S57" s="8" t="str">
        <x:v>Returned</x:v>
      </x:c>
      <x:c r="T57" s="8" t="str">
        <x:f>TEXT(B57,"mmm yyyy")</x:f>
        <x:v>Aug 2025</x:v>
      </x:c>
      <x:c r="U57" s="8" t="n">
        <x:f>YEAR(B57)</x:f>
        <x:v>2025</x:v>
      </x:c>
    </x:row>
    <x:row r="58">
      <x:c r="A58" s="8" t="str">
        <x:v>ORD-0054</x:v>
      </x:c>
      <x:c r="B58" s="22" t="n">
        <x:v>45957.20458376157</x:v>
      </x:c>
      <x:c r="C58" s="8" t="str">
        <x:v>CUS-028</x:v>
      </x:c>
      <x:c r="D58" s="8" t="str">
        <x:f>IFERROR(INDEX('Lookup Tables'!$B$5:$B$84,MATCH(C58,'Lookup Tables'!$A$5:$A$84,0)),"Unknown Customer")</x:f>
        <x:v>Meera Nair 2</x:v>
      </x:c>
      <x:c r="E58" s="8" t="str">
        <x:f>IFERROR(INDEX('Lookup Tables'!$C$5:$C$84,MATCH(C58,'Lookup Tables'!$A$5:$A$84,0)),"Unknown")</x:f>
        <x:v>Consumer</x:v>
      </x:c>
      <x:c r="F58" s="8" t="str">
        <x:v>Mumbai</x:v>
      </x:c>
      <x:c r="G58" s="8" t="str">
        <x:f>IFERROR(INDEX('Lookup Tables'!$N$5:$N$14,MATCH(F58,'Lookup Tables'!$M$5:$M$14,0)),"Unknown")</x:f>
        <x:v>West</x:v>
      </x:c>
      <x:c r="H58" s="8" t="str">
        <x:v>PRD-012</x:v>
      </x:c>
      <x:c r="I58" s="8" t="str">
        <x:f>IFERROR(INDEX('Lookup Tables'!$G$5:$G$16,MATCH(H58,'Lookup Tables'!$F$5:$F$16,0)),"Unknown Product")</x:f>
        <x:v>Stainless Water Bottle</x:v>
      </x:c>
      <x:c r="J58" s="8" t="str">
        <x:f>IFERROR(INDEX('Lookup Tables'!$H$5:$H$16,MATCH(H58,'Lookup Tables'!$F$5:$F$16,0)),"Unknown")</x:f>
        <x:v>Lifestyle</x:v>
      </x:c>
      <x:c r="K58" s="8" t="n">
        <x:v>3</x:v>
      </x:c>
      <x:c r="L58" s="9" t="n">
        <x:f>IFERROR(INDEX('Lookup Tables'!$I$5:$I$16,MATCH(H58,'Lookup Tables'!$F$5:$F$16,0)),0)</x:f>
        <x:v>799</x:v>
      </x:c>
      <x:c r="M58" s="23" t="n">
        <x:f>IF('Raw Data'!M58="",0,'Raw Data'!M58)</x:f>
        <x:v>0</x:v>
      </x:c>
      <x:c r="N58" s="9" t="n">
        <x:f>IF(S58="Completed",K58*L58*(1-M58),0)</x:f>
        <x:v>0</x:v>
      </x:c>
      <x:c r="O58" s="9" t="n">
        <x:f>IFERROR(INDEX('Lookup Tables'!$J$5:$J$16,MATCH(H58,'Lookup Tables'!$F$5:$F$16,0)),0)</x:f>
        <x:v>410</x:v>
      </x:c>
      <x:c r="P58" s="9" t="n">
        <x:f>IF(S58="Completed",K58*O58,0)</x:f>
        <x:v>0</x:v>
      </x:c>
      <x:c r="Q58" s="9" t="n">
        <x:f>N58-P58</x:f>
        <x:v>0</x:v>
      </x:c>
      <x:c r="R58" s="8" t="str">
        <x:f>IF(LOWER('Raw Data'!N58)="upi","UPI",'Raw Data'!N58)</x:f>
        <x:v>Net Banking</x:v>
      </x:c>
      <x:c r="S58" s="8" t="str">
        <x:v>Cancelled</x:v>
      </x:c>
      <x:c r="T58" s="8" t="str">
        <x:f>TEXT(B58,"mmm yyyy")</x:f>
        <x:v>Oct 2025</x:v>
      </x:c>
      <x:c r="U58" s="8" t="n">
        <x:f>YEAR(B58)</x:f>
        <x:v>2025</x:v>
      </x:c>
    </x:row>
    <x:row r="59">
      <x:c r="A59" s="8" t="str">
        <x:v>ORD-0055</x:v>
      </x:c>
      <x:c r="B59" s="22" t="n">
        <x:v>45735.86062474537</x:v>
      </x:c>
      <x:c r="C59" s="8" t="str">
        <x:v>CUS-006</x:v>
      </x:c>
      <x:c r="D59" s="8" t="str">
        <x:f>IFERROR(INDEX('Lookup Tables'!$B$5:$B$84,MATCH(C59,'Lookup Tables'!$A$5:$A$84,0)),"Unknown Customer")</x:f>
        <x:v>Isha Mehta</x:v>
      </x:c>
      <x:c r="E59" s="8" t="str">
        <x:f>IFERROR(INDEX('Lookup Tables'!$C$5:$C$84,MATCH(C59,'Lookup Tables'!$A$5:$A$84,0)),"Unknown")</x:f>
        <x:v>Small Business</x:v>
      </x:c>
      <x:c r="F59" s="8" t="str">
        <x:v>Pune</x:v>
      </x:c>
      <x:c r="G59" s="8" t="str">
        <x:f>IFERROR(INDEX('Lookup Tables'!$N$5:$N$14,MATCH(F59,'Lookup Tables'!$M$5:$M$14,0)),"Unknown")</x:f>
        <x:v>West</x:v>
      </x:c>
      <x:c r="H59" s="8" t="str">
        <x:v>PRD-010</x:v>
      </x:c>
      <x:c r="I59" s="8" t="str">
        <x:f>IFERROR(INDEX('Lookup Tables'!$G$5:$G$16,MATCH(H59,'Lookup Tables'!$F$5:$F$16,0)),"Unknown Product")</x:f>
        <x:v>Travel Backpack</x:v>
      </x:c>
      <x:c r="J59" s="8" t="str">
        <x:f>IFERROR(INDEX('Lookup Tables'!$H$5:$H$16,MATCH(H59,'Lookup Tables'!$F$5:$F$16,0)),"Unknown")</x:f>
        <x:v>Fashion</x:v>
      </x:c>
      <x:c r="K59" s="8" t="n">
        <x:v>5</x:v>
      </x:c>
      <x:c r="L59" s="9" t="n">
        <x:f>IFERROR(INDEX('Lookup Tables'!$I$5:$I$16,MATCH(H59,'Lookup Tables'!$F$5:$F$16,0)),0)</x:f>
        <x:v>2199</x:v>
      </x:c>
      <x:c r="M59" s="23" t="n">
        <x:f>IF('Raw Data'!M59="",0,'Raw Data'!M59)</x:f>
        <x:v>0</x:v>
      </x:c>
      <x:c r="N59" s="9" t="n">
        <x:f>IF(S59="Completed",K59*L59*(1-M59),0)</x:f>
        <x:v>10995</x:v>
      </x:c>
      <x:c r="O59" s="9" t="n">
        <x:f>IFERROR(INDEX('Lookup Tables'!$J$5:$J$16,MATCH(H59,'Lookup Tables'!$F$5:$F$16,0)),0)</x:f>
        <x:v>1380</x:v>
      </x:c>
      <x:c r="P59" s="9" t="n">
        <x:f>IF(S59="Completed",K59*O59,0)</x:f>
        <x:v>6900</x:v>
      </x:c>
      <x:c r="Q59" s="9" t="n">
        <x:f>N59-P59</x:f>
        <x:v>4095</x:v>
      </x:c>
      <x:c r="R59" s="8" t="str">
        <x:f>IF(LOWER('Raw Data'!N59)="upi","UPI",'Raw Data'!N59)</x:f>
        <x:v>Cash on Delivery</x:v>
      </x:c>
      <x:c r="S59" s="8" t="str">
        <x:v>Completed</x:v>
      </x:c>
      <x:c r="T59" s="8" t="str">
        <x:f>TEXT(B59,"mmm yyyy")</x:f>
        <x:v>Mar 2025</x:v>
      </x:c>
      <x:c r="U59" s="8" t="n">
        <x:f>YEAR(B59)</x:f>
        <x:v>2025</x:v>
      </x:c>
    </x:row>
    <x:row r="60">
      <x:c r="A60" s="8" t="str">
        <x:v>ORD-0056</x:v>
      </x:c>
      <x:c r="B60" s="22" t="n">
        <x:v>45730.76841428241</x:v>
      </x:c>
      <x:c r="C60" s="8" t="str">
        <x:v>CUS-054</x:v>
      </x:c>
      <x:c r="D60" s="8" t="str">
        <x:f>IFERROR(INDEX('Lookup Tables'!$B$5:$B$84,MATCH(C60,'Lookup Tables'!$A$5:$A$84,0)),"Unknown Customer")</x:f>
        <x:v>Neha Rao 3</x:v>
      </x:c>
      <x:c r="E60" s="8" t="str">
        <x:f>IFERROR(INDEX('Lookup Tables'!$C$5:$C$84,MATCH(C60,'Lookup Tables'!$A$5:$A$84,0)),"Unknown")</x:f>
        <x:v>Small Business</x:v>
      </x:c>
      <x:c r="F60" s="8" t="str">
        <x:v>Bengaluru</x:v>
      </x:c>
      <x:c r="G60" s="8" t="str">
        <x:f>IFERROR(INDEX('Lookup Tables'!$N$5:$N$14,MATCH(F60,'Lookup Tables'!$M$5:$M$14,0)),"Unknown")</x:f>
        <x:v>South</x:v>
      </x:c>
      <x:c r="H60" s="8" t="str">
        <x:v>PRD-003</x:v>
      </x:c>
      <x:c r="I60" s="8" t="str">
        <x:f>IFERROR(INDEX('Lookup Tables'!$G$5:$G$16,MATCH(H60,'Lookup Tables'!$F$5:$F$16,0)),"Unknown Product")</x:f>
        <x:v>USB-C Hub</x:v>
      </x:c>
      <x:c r="J60" s="8" t="str">
        <x:f>IFERROR(INDEX('Lookup Tables'!$H$5:$H$16,MATCH(H60,'Lookup Tables'!$F$5:$F$16,0)),"Unknown")</x:f>
        <x:v>Electronics</x:v>
      </x:c>
      <x:c r="K60" s="8" t="n">
        <x:v>4</x:v>
      </x:c>
      <x:c r="L60" s="9" t="n">
        <x:f>IFERROR(INDEX('Lookup Tables'!$I$5:$I$16,MATCH(H60,'Lookup Tables'!$F$5:$F$16,0)),0)</x:f>
        <x:v>1899</x:v>
      </x:c>
      <x:c r="M60" s="23" t="n">
        <x:f>IF('Raw Data'!M60="",0,'Raw Data'!M60)</x:f>
        <x:v>0.05</x:v>
      </x:c>
      <x:c r="N60" s="9" t="n">
        <x:f>IF(S60="Completed",K60*L60*(1-M60),0)</x:f>
        <x:v>0</x:v>
      </x:c>
      <x:c r="O60" s="9" t="n">
        <x:f>IFERROR(INDEX('Lookup Tables'!$J$5:$J$16,MATCH(H60,'Lookup Tables'!$F$5:$F$16,0)),0)</x:f>
        <x:v>1180</x:v>
      </x:c>
      <x:c r="P60" s="9" t="n">
        <x:f>IF(S60="Completed",K60*O60,0)</x:f>
        <x:v>0</x:v>
      </x:c>
      <x:c r="Q60" s="9" t="n">
        <x:f>N60-P60</x:f>
        <x:v>0</x:v>
      </x:c>
      <x:c r="R60" s="8" t="str">
        <x:f>IF(LOWER('Raw Data'!N60)="upi","UPI",'Raw Data'!N60)</x:f>
        <x:v>Credit Card</x:v>
      </x:c>
      <x:c r="S60" s="8" t="str">
        <x:v>Returned</x:v>
      </x:c>
      <x:c r="T60" s="8" t="str">
        <x:f>TEXT(B60,"mmm yyyy")</x:f>
        <x:v>Mar 2025</x:v>
      </x:c>
      <x:c r="U60" s="8" t="n">
        <x:f>YEAR(B60)</x:f>
        <x:v>2025</x:v>
      </x:c>
    </x:row>
    <x:row r="61">
      <x:c r="A61" s="8" t="str">
        <x:v>ORD-0057</x:v>
      </x:c>
      <x:c r="B61" s="22" t="n">
        <x:v>45782.90600329861</x:v>
      </x:c>
      <x:c r="C61" s="8" t="str">
        <x:v>CUS-023</x:v>
      </x:c>
      <x:c r="D61" s="8" t="str">
        <x:f>IFERROR(INDEX('Lookup Tables'!$B$5:$B$84,MATCH(C61,'Lookup Tables'!$A$5:$A$84,0)),"Unknown Customer")</x:f>
        <x:v>Vihaan Singh 2</x:v>
      </x:c>
      <x:c r="E61" s="8" t="str">
        <x:f>IFERROR(INDEX('Lookup Tables'!$C$5:$C$84,MATCH(C61,'Lookup Tables'!$A$5:$A$84,0)),"Unknown")</x:f>
        <x:v>Corporate</x:v>
      </x:c>
      <x:c r="F61" s="8" t="str">
        <x:v>Chennai</x:v>
      </x:c>
      <x:c r="G61" s="8" t="str">
        <x:f>IFERROR(INDEX('Lookup Tables'!$N$5:$N$14,MATCH(F61,'Lookup Tables'!$M$5:$M$14,0)),"Unknown")</x:f>
        <x:v>South</x:v>
      </x:c>
      <x:c r="H61" s="8" t="str">
        <x:v>PRD-010</x:v>
      </x:c>
      <x:c r="I61" s="8" t="str">
        <x:f>IFERROR(INDEX('Lookup Tables'!$G$5:$G$16,MATCH(H61,'Lookup Tables'!$F$5:$F$16,0)),"Unknown Product")</x:f>
        <x:v>Travel Backpack</x:v>
      </x:c>
      <x:c r="J61" s="8" t="str">
        <x:f>IFERROR(INDEX('Lookup Tables'!$H$5:$H$16,MATCH(H61,'Lookup Tables'!$F$5:$F$16,0)),"Unknown")</x:f>
        <x:v>Fashion</x:v>
      </x:c>
      <x:c r="K61" s="8" t="n">
        <x:v>1</x:v>
      </x:c>
      <x:c r="L61" s="9" t="n">
        <x:f>IFERROR(INDEX('Lookup Tables'!$I$5:$I$16,MATCH(H61,'Lookup Tables'!$F$5:$F$16,0)),0)</x:f>
        <x:v>2199</x:v>
      </x:c>
      <x:c r="M61" s="23" t="n">
        <x:f>IF('Raw Data'!M61="",0,'Raw Data'!M61)</x:f>
        <x:v>0.05</x:v>
      </x:c>
      <x:c r="N61" s="9" t="n">
        <x:f>IF(S61="Completed",K61*L61*(1-M61),0)</x:f>
        <x:v>0</x:v>
      </x:c>
      <x:c r="O61" s="9" t="n">
        <x:f>IFERROR(INDEX('Lookup Tables'!$J$5:$J$16,MATCH(H61,'Lookup Tables'!$F$5:$F$16,0)),0)</x:f>
        <x:v>1380</x:v>
      </x:c>
      <x:c r="P61" s="9" t="n">
        <x:f>IF(S61="Completed",K61*O61,0)</x:f>
        <x:v>0</x:v>
      </x:c>
      <x:c r="Q61" s="9" t="n">
        <x:f>N61-P61</x:f>
        <x:v>0</x:v>
      </x:c>
      <x:c r="R61" s="8" t="str">
        <x:f>IF(LOWER('Raw Data'!N61)="upi","UPI",'Raw Data'!N61)</x:f>
        <x:v>Credit Card</x:v>
      </x:c>
      <x:c r="S61" s="8" t="str">
        <x:v>Returned</x:v>
      </x:c>
      <x:c r="T61" s="8" t="str">
        <x:f>TEXT(B61,"mmm yyyy")</x:f>
        <x:v>May 2025</x:v>
      </x:c>
      <x:c r="U61" s="8" t="n">
        <x:f>YEAR(B61)</x:f>
        <x:v>2025</x:v>
      </x:c>
    </x:row>
    <x:row r="62">
      <x:c r="A62" s="8" t="str">
        <x:v>ORD-0058</x:v>
      </x:c>
      <x:c r="B62" s="22" t="n">
        <x:v>45992.47285417824</x:v>
      </x:c>
      <x:c r="C62" s="8" t="str">
        <x:v>CUS-074</x:v>
      </x:c>
      <x:c r="D62" s="8" t="str">
        <x:f>IFERROR(INDEX('Lookup Tables'!$B$5:$B$84,MATCH(C62,'Lookup Tables'!$A$5:$A$84,0)),"Unknown Customer")</x:f>
        <x:v>Neha Rao 4</x:v>
      </x:c>
      <x:c r="E62" s="8" t="str">
        <x:f>IFERROR(INDEX('Lookup Tables'!$C$5:$C$84,MATCH(C62,'Lookup Tables'!$A$5:$A$84,0)),"Unknown")</x:f>
        <x:v>Corporate</x:v>
      </x:c>
      <x:c r="F62" s="8" t="str">
        <x:v>Chennai</x:v>
      </x:c>
      <x:c r="G62" s="8" t="str">
        <x:f>IFERROR(INDEX('Lookup Tables'!$N$5:$N$14,MATCH(F62,'Lookup Tables'!$M$5:$M$14,0)),"Unknown")</x:f>
        <x:v>South</x:v>
      </x:c>
      <x:c r="H62" s="8" t="str">
        <x:v>PRD-010</x:v>
      </x:c>
      <x:c r="I62" s="8" t="str">
        <x:f>IFERROR(INDEX('Lookup Tables'!$G$5:$G$16,MATCH(H62,'Lookup Tables'!$F$5:$F$16,0)),"Unknown Product")</x:f>
        <x:v>Travel Backpack</x:v>
      </x:c>
      <x:c r="J62" s="8" t="str">
        <x:f>IFERROR(INDEX('Lookup Tables'!$H$5:$H$16,MATCH(H62,'Lookup Tables'!$F$5:$F$16,0)),"Unknown")</x:f>
        <x:v>Fashion</x:v>
      </x:c>
      <x:c r="K62" s="8" t="n">
        <x:v>5</x:v>
      </x:c>
      <x:c r="L62" s="9" t="n">
        <x:f>IFERROR(INDEX('Lookup Tables'!$I$5:$I$16,MATCH(H62,'Lookup Tables'!$F$5:$F$16,0)),0)</x:f>
        <x:v>2199</x:v>
      </x:c>
      <x:c r="M62" s="23" t="n">
        <x:f>IF('Raw Data'!M62="",0,'Raw Data'!M62)</x:f>
        <x:v>0.05</x:v>
      </x:c>
      <x:c r="N62" s="9" t="n">
        <x:f>IF(S62="Completed",K62*L62*(1-M62),0)</x:f>
        <x:v>10445.25</x:v>
      </x:c>
      <x:c r="O62" s="9" t="n">
        <x:f>IFERROR(INDEX('Lookup Tables'!$J$5:$J$16,MATCH(H62,'Lookup Tables'!$F$5:$F$16,0)),0)</x:f>
        <x:v>1380</x:v>
      </x:c>
      <x:c r="P62" s="9" t="n">
        <x:f>IF(S62="Completed",K62*O62,0)</x:f>
        <x:v>6900</x:v>
      </x:c>
      <x:c r="Q62" s="9" t="n">
        <x:f>N62-P62</x:f>
        <x:v>3545.25</x:v>
      </x:c>
      <x:c r="R62" s="8" t="str">
        <x:f>IF(LOWER('Raw Data'!N62)="upi","UPI",'Raw Data'!N62)</x:f>
        <x:v>Net Banking</x:v>
      </x:c>
      <x:c r="S62" s="8" t="str">
        <x:v>Completed</x:v>
      </x:c>
      <x:c r="T62" s="8" t="str">
        <x:f>TEXT(B62,"mmm yyyy")</x:f>
        <x:v>Dec 2025</x:v>
      </x:c>
      <x:c r="U62" s="8" t="n">
        <x:f>YEAR(B62)</x:f>
        <x:v>2025</x:v>
      </x:c>
    </x:row>
    <x:row r="63">
      <x:c r="A63" s="8" t="str">
        <x:v>ORD-0059</x:v>
      </x:c>
      <x:c r="B63" s="22" t="n">
        <x:v>45852.60365740741</x:v>
      </x:c>
      <x:c r="C63" s="8" t="str">
        <x:v>CUS-024</x:v>
      </x:c>
      <x:c r="D63" s="8" t="str">
        <x:f>IFERROR(INDEX('Lookup Tables'!$B$5:$B$84,MATCH(C63,'Lookup Tables'!$A$5:$A$84,0)),"Unknown Customer")</x:f>
        <x:v>Ananya Gupta 2</x:v>
      </x:c>
      <x:c r="E63" s="8" t="str">
        <x:f>IFERROR(INDEX('Lookup Tables'!$C$5:$C$84,MATCH(C63,'Lookup Tables'!$A$5:$A$84,0)),"Unknown")</x:f>
        <x:v>Small Business</x:v>
      </x:c>
      <x:c r="F63" s="8" t="str">
        <x:v>Chennai</x:v>
      </x:c>
      <x:c r="G63" s="8" t="str">
        <x:f>IFERROR(INDEX('Lookup Tables'!$N$5:$N$14,MATCH(F63,'Lookup Tables'!$M$5:$M$14,0)),"Unknown")</x:f>
        <x:v>South</x:v>
      </x:c>
      <x:c r="H63" s="8" t="str">
        <x:v>PRD-003</x:v>
      </x:c>
      <x:c r="I63" s="8" t="str">
        <x:f>IFERROR(INDEX('Lookup Tables'!$G$5:$G$16,MATCH(H63,'Lookup Tables'!$F$5:$F$16,0)),"Unknown Product")</x:f>
        <x:v>USB-C Hub</x:v>
      </x:c>
      <x:c r="J63" s="8" t="str">
        <x:f>IFERROR(INDEX('Lookup Tables'!$H$5:$H$16,MATCH(H63,'Lookup Tables'!$F$5:$F$16,0)),"Unknown")</x:f>
        <x:v>Electronics</x:v>
      </x:c>
      <x:c r="K63" s="8" t="n">
        <x:v>5</x:v>
      </x:c>
      <x:c r="L63" s="9" t="n">
        <x:f>IFERROR(INDEX('Lookup Tables'!$I$5:$I$16,MATCH(H63,'Lookup Tables'!$F$5:$F$16,0)),0)</x:f>
        <x:v>1899</x:v>
      </x:c>
      <x:c r="M63" s="23" t="n">
        <x:f>IF('Raw Data'!M63="",0,'Raw Data'!M63)</x:f>
        <x:v>0</x:v>
      </x:c>
      <x:c r="N63" s="9" t="n">
        <x:f>IF(S63="Completed",K63*L63*(1-M63),0)</x:f>
        <x:v>0</x:v>
      </x:c>
      <x:c r="O63" s="9" t="n">
        <x:f>IFERROR(INDEX('Lookup Tables'!$J$5:$J$16,MATCH(H63,'Lookup Tables'!$F$5:$F$16,0)),0)</x:f>
        <x:v>1180</x:v>
      </x:c>
      <x:c r="P63" s="9" t="n">
        <x:f>IF(S63="Completed",K63*O63,0)</x:f>
        <x:v>0</x:v>
      </x:c>
      <x:c r="Q63" s="9" t="n">
        <x:f>N63-P63</x:f>
        <x:v>0</x:v>
      </x:c>
      <x:c r="R63" s="8" t="str">
        <x:f>IF(LOWER('Raw Data'!N63)="upi","UPI",'Raw Data'!N63)</x:f>
        <x:v>Cash on Delivery</x:v>
      </x:c>
      <x:c r="S63" s="8" t="str">
        <x:v>Returned</x:v>
      </x:c>
      <x:c r="T63" s="8" t="str">
        <x:f>TEXT(B63,"mmm yyyy")</x:f>
        <x:v>Jul 2025</x:v>
      </x:c>
      <x:c r="U63" s="8" t="n">
        <x:f>YEAR(B63)</x:f>
        <x:v>2025</x:v>
      </x:c>
    </x:row>
    <x:row r="64">
      <x:c r="A64" s="8" t="str">
        <x:v>ORD-0060</x:v>
      </x:c>
      <x:c r="B64" s="22" t="n">
        <x:v>45837.529945069444</x:v>
      </x:c>
      <x:c r="C64" s="8" t="str">
        <x:v>CUS-045</x:v>
      </x:c>
      <x:c r="D64" s="8" t="str">
        <x:f>IFERROR(INDEX('Lookup Tables'!$B$5:$B$84,MATCH(C64,'Lookup Tables'!$A$5:$A$84,0)),"Unknown Customer")</x:f>
        <x:v>Arjun Verma 3</x:v>
      </x:c>
      <x:c r="E64" s="8" t="str">
        <x:f>IFERROR(INDEX('Lookup Tables'!$C$5:$C$84,MATCH(C64,'Lookup Tables'!$A$5:$A$84,0)),"Unknown")</x:f>
        <x:v>Small Business</x:v>
      </x:c>
      <x:c r="F64" s="8" t="str">
        <x:v>Bengaluru</x:v>
      </x:c>
      <x:c r="G64" s="8" t="str">
        <x:f>IFERROR(INDEX('Lookup Tables'!$N$5:$N$14,MATCH(F64,'Lookup Tables'!$M$5:$M$14,0)),"Unknown")</x:f>
        <x:v>South</x:v>
      </x:c>
      <x:c r="H64" s="8" t="str">
        <x:v>PRD-007</x:v>
      </x:c>
      <x:c r="I64" s="8" t="str">
        <x:f>IFERROR(INDEX('Lookup Tables'!$G$5:$G$16,MATCH(H64,'Lookup Tables'!$F$5:$F$16,0)),"Unknown Product")</x:f>
        <x:v>Electric Kettle</x:v>
      </x:c>
      <x:c r="J64" s="8" t="str">
        <x:f>IFERROR(INDEX('Lookup Tables'!$H$5:$H$16,MATCH(H64,'Lookup Tables'!$F$5:$F$16,0)),"Unknown")</x:f>
        <x:v>Home &amp; Kitchen</x:v>
      </x:c>
      <x:c r="K64" s="8" t="n">
        <x:v>2</x:v>
      </x:c>
      <x:c r="L64" s="9" t="n">
        <x:f>IFERROR(INDEX('Lookup Tables'!$I$5:$I$16,MATCH(H64,'Lookup Tables'!$F$5:$F$16,0)),0)</x:f>
        <x:v>1699</x:v>
      </x:c>
      <x:c r="M64" s="23" t="n">
        <x:f>IF('Raw Data'!M64="",0,'Raw Data'!M64)</x:f>
        <x:v>0</x:v>
      </x:c>
      <x:c r="N64" s="9" t="n">
        <x:f>IF(S64="Completed",K64*L64*(1-M64),0)</x:f>
        <x:v>3398</x:v>
      </x:c>
      <x:c r="O64" s="9" t="n">
        <x:f>IFERROR(INDEX('Lookup Tables'!$J$5:$J$16,MATCH(H64,'Lookup Tables'!$F$5:$F$16,0)),0)</x:f>
        <x:v>1040</x:v>
      </x:c>
      <x:c r="P64" s="9" t="n">
        <x:f>IF(S64="Completed",K64*O64,0)</x:f>
        <x:v>2080</x:v>
      </x:c>
      <x:c r="Q64" s="9" t="n">
        <x:f>N64-P64</x:f>
        <x:v>1318</x:v>
      </x:c>
      <x:c r="R64" s="8" t="str">
        <x:f>IF(LOWER('Raw Data'!N64)="upi","UPI",'Raw Data'!N64)</x:f>
        <x:v>Debit Card</x:v>
      </x:c>
      <x:c r="S64" s="8" t="str">
        <x:v>Completed</x:v>
      </x:c>
      <x:c r="T64" s="8" t="str">
        <x:f>TEXT(B64,"mmm yyyy")</x:f>
        <x:v>Jun 2025</x:v>
      </x:c>
      <x:c r="U64" s="8" t="n">
        <x:f>YEAR(B64)</x:f>
        <x:v>2025</x:v>
      </x:c>
    </x:row>
    <x:row r="65">
      <x:c r="A65" s="8" t="str">
        <x:v>ORD-0061</x:v>
      </x:c>
      <x:c r="B65" s="22" t="n">
        <x:v>45724.49921572916</x:v>
      </x:c>
      <x:c r="C65" s="8" t="str">
        <x:v>CUS-070</x:v>
      </x:c>
      <x:c r="D65" s="8" t="str">
        <x:f>IFERROR(INDEX('Lookup Tables'!$B$5:$B$84,MATCH(C65,'Lookup Tables'!$A$5:$A$84,0)),"Unknown Customer")</x:f>
        <x:v>Saanvi Iyer 4</x:v>
      </x:c>
      <x:c r="E65" s="8" t="str">
        <x:f>IFERROR(INDEX('Lookup Tables'!$C$5:$C$84,MATCH(C65,'Lookup Tables'!$A$5:$A$84,0)),"Unknown")</x:f>
        <x:v>Consumer</x:v>
      </x:c>
      <x:c r="F65" s="8" t="str">
        <x:v>Ahmedabad</x:v>
      </x:c>
      <x:c r="G65" s="8" t="str">
        <x:f>IFERROR(INDEX('Lookup Tables'!$N$5:$N$14,MATCH(F65,'Lookup Tables'!$M$5:$M$14,0)),"Unknown")</x:f>
        <x:v>West</x:v>
      </x:c>
      <x:c r="H65" s="8" t="str">
        <x:v>PRD-002</x:v>
      </x:c>
      <x:c r="I65" s="8" t="str">
        <x:f>IFERROR(INDEX('Lookup Tables'!$G$5:$G$16,MATCH(H65,'Lookup Tables'!$F$5:$F$16,0)),"Unknown Product")</x:f>
        <x:v>Bluetooth Headphones</x:v>
      </x:c>
      <x:c r="J65" s="8" t="str">
        <x:f>IFERROR(INDEX('Lookup Tables'!$H$5:$H$16,MATCH(H65,'Lookup Tables'!$F$5:$F$16,0)),"Unknown")</x:f>
        <x:v>Electronics</x:v>
      </x:c>
      <x:c r="K65" s="8" t="n">
        <x:v>2</x:v>
      </x:c>
      <x:c r="L65" s="9" t="n">
        <x:f>IFERROR(INDEX('Lookup Tables'!$I$5:$I$16,MATCH(H65,'Lookup Tables'!$F$5:$F$16,0)),0)</x:f>
        <x:v>2499</x:v>
      </x:c>
      <x:c r="M65" s="23" t="n">
        <x:f>IF('Raw Data'!M65="",0,'Raw Data'!M65)</x:f>
        <x:v>0</x:v>
      </x:c>
      <x:c r="N65" s="9" t="n">
        <x:f>IF(S65="Completed",K65*L65*(1-M65),0)</x:f>
        <x:v>0</x:v>
      </x:c>
      <x:c r="O65" s="9" t="n">
        <x:f>IFERROR(INDEX('Lookup Tables'!$J$5:$J$16,MATCH(H65,'Lookup Tables'!$F$5:$F$16,0)),0)</x:f>
        <x:v>1620</x:v>
      </x:c>
      <x:c r="P65" s="9" t="n">
        <x:f>IF(S65="Completed",K65*O65,0)</x:f>
        <x:v>0</x:v>
      </x:c>
      <x:c r="Q65" s="9" t="n">
        <x:f>N65-P65</x:f>
        <x:v>0</x:v>
      </x:c>
      <x:c r="R65" s="8" t="str">
        <x:f>IF(LOWER('Raw Data'!N65)="upi","UPI",'Raw Data'!N65)</x:f>
        <x:v>UPI</x:v>
      </x:c>
      <x:c r="S65" s="8" t="str">
        <x:v>Returned</x:v>
      </x:c>
      <x:c r="T65" s="8" t="str">
        <x:f>TEXT(B65,"mmm yyyy")</x:f>
        <x:v>Mar 2025</x:v>
      </x:c>
      <x:c r="U65" s="8" t="n">
        <x:f>YEAR(B65)</x:f>
        <x:v>2025</x:v>
      </x:c>
    </x:row>
    <x:row r="66">
      <x:c r="A66" s="8" t="str">
        <x:v>ORD-0062</x:v>
      </x:c>
      <x:c r="B66" s="22" t="n">
        <x:v>45857.80538506944</x:v>
      </x:c>
      <x:c r="C66" s="8" t="str">
        <x:v>CUS-001</x:v>
      </x:c>
      <x:c r="D66" s="8" t="str">
        <x:f>IFERROR(INDEX('Lookup Tables'!$B$5:$B$84,MATCH(C66,'Lookup Tables'!$A$5:$A$84,0)),"Unknown Customer")</x:f>
        <x:v>Aarav Sharma</x:v>
      </x:c>
      <x:c r="E66" s="8" t="str">
        <x:f>IFERROR(INDEX('Lookup Tables'!$C$5:$C$84,MATCH(C66,'Lookup Tables'!$A$5:$A$84,0)),"Unknown")</x:f>
        <x:v>Consumer</x:v>
      </x:c>
      <x:c r="F66" s="8" t="str">
        <x:v>Kolkata</x:v>
      </x:c>
      <x:c r="G66" s="8" t="str">
        <x:f>IFERROR(INDEX('Lookup Tables'!$N$5:$N$14,MATCH(F66,'Lookup Tables'!$M$5:$M$14,0)),"Unknown")</x:f>
        <x:v>East</x:v>
      </x:c>
      <x:c r="H66" s="8" t="str">
        <x:v>PRD-008</x:v>
      </x:c>
      <x:c r="I66" s="8" t="str">
        <x:f>IFERROR(INDEX('Lookup Tables'!$G$5:$G$16,MATCH(H66,'Lookup Tables'!$F$5:$F$16,0)),"Unknown Product")</x:f>
        <x:v>Storage Container Set</x:v>
      </x:c>
      <x:c r="J66" s="8" t="str">
        <x:f>IFERROR(INDEX('Lookup Tables'!$H$5:$H$16,MATCH(H66,'Lookup Tables'!$F$5:$F$16,0)),"Unknown")</x:f>
        <x:v>Home &amp; Kitchen</x:v>
      </x:c>
      <x:c r="K66" s="8" t="n">
        <x:v>5</x:v>
      </x:c>
      <x:c r="L66" s="9" t="n">
        <x:f>IFERROR(INDEX('Lookup Tables'!$I$5:$I$16,MATCH(H66,'Lookup Tables'!$F$5:$F$16,0)),0)</x:f>
        <x:v>999</x:v>
      </x:c>
      <x:c r="M66" s="23" t="n">
        <x:f>IF('Raw Data'!M66="",0,'Raw Data'!M66)</x:f>
        <x:v>0.1</x:v>
      </x:c>
      <x:c r="N66" s="9" t="n">
        <x:f>IF(S66="Completed",K66*L66*(1-M66),0)</x:f>
        <x:v>4495.5</x:v>
      </x:c>
      <x:c r="O66" s="9" t="n">
        <x:f>IFERROR(INDEX('Lookup Tables'!$J$5:$J$16,MATCH(H66,'Lookup Tables'!$F$5:$F$16,0)),0)</x:f>
        <x:v>580</x:v>
      </x:c>
      <x:c r="P66" s="9" t="n">
        <x:f>IF(S66="Completed",K66*O66,0)</x:f>
        <x:v>2900</x:v>
      </x:c>
      <x:c r="Q66" s="9" t="n">
        <x:f>N66-P66</x:f>
        <x:v>1595.5</x:v>
      </x:c>
      <x:c r="R66" s="8" t="str">
        <x:f>IF(LOWER('Raw Data'!N66)="upi","UPI",'Raw Data'!N66)</x:f>
        <x:v>Debit Card</x:v>
      </x:c>
      <x:c r="S66" s="8" t="str">
        <x:v>Completed</x:v>
      </x:c>
      <x:c r="T66" s="8" t="str">
        <x:f>TEXT(B66,"mmm yyyy")</x:f>
        <x:v>Jul 2025</x:v>
      </x:c>
      <x:c r="U66" s="8" t="n">
        <x:f>YEAR(B66)</x:f>
        <x:v>2025</x:v>
      </x:c>
    </x:row>
    <x:row r="67">
      <x:c r="A67" s="8" t="str">
        <x:v>ORD-0063</x:v>
      </x:c>
      <x:c r="B67" s="22" t="n">
        <x:v>45933.875616296296</x:v>
      </x:c>
      <x:c r="C67" s="8" t="str">
        <x:v>CUS-020</x:v>
      </x:c>
      <x:c r="D67" s="8" t="str">
        <x:f>IFERROR(INDEX('Lookup Tables'!$B$5:$B$84,MATCH(C67,'Lookup Tables'!$A$5:$A$84,0)),"Unknown Customer")</x:f>
        <x:v>Kavya Reddy</x:v>
      </x:c>
      <x:c r="E67" s="8" t="str">
        <x:f>IFERROR(INDEX('Lookup Tables'!$C$5:$C$84,MATCH(C67,'Lookup Tables'!$A$5:$A$84,0)),"Unknown")</x:f>
        <x:v>Corporate</x:v>
      </x:c>
      <x:c r="F67" s="8" t="str">
        <x:v>Pune</x:v>
      </x:c>
      <x:c r="G67" s="8" t="str">
        <x:f>IFERROR(INDEX('Lookup Tables'!$N$5:$N$14,MATCH(F67,'Lookup Tables'!$M$5:$M$14,0)),"Unknown")</x:f>
        <x:v>West</x:v>
      </x:c>
      <x:c r="H67" s="8" t="str">
        <x:v>PRD-004</x:v>
      </x:c>
      <x:c r="I67" s="8" t="str">
        <x:f>IFERROR(INDEX('Lookup Tables'!$G$5:$G$16,MATCH(H67,'Lookup Tables'!$F$5:$F$16,0)),"Unknown Product")</x:f>
        <x:v>Laptop Stand</x:v>
      </x:c>
      <x:c r="J67" s="8" t="str">
        <x:f>IFERROR(INDEX('Lookup Tables'!$H$5:$H$16,MATCH(H67,'Lookup Tables'!$F$5:$F$16,0)),"Unknown")</x:f>
        <x:v>Office Supplies</x:v>
      </x:c>
      <x:c r="K67" s="8" t="n">
        <x:v>5</x:v>
      </x:c>
      <x:c r="L67" s="9" t="n">
        <x:f>IFERROR(INDEX('Lookup Tables'!$I$5:$I$16,MATCH(H67,'Lookup Tables'!$F$5:$F$16,0)),0)</x:f>
        <x:v>1299</x:v>
      </x:c>
      <x:c r="M67" s="23" t="n">
        <x:f>IF('Raw Data'!M67="",0,'Raw Data'!M67)</x:f>
        <x:v>0.1</x:v>
      </x:c>
      <x:c r="N67" s="9" t="n">
        <x:f>IF(S67="Completed",K67*L67*(1-M67),0)</x:f>
        <x:v>5845.5</x:v>
      </x:c>
      <x:c r="O67" s="9" t="n">
        <x:f>IFERROR(INDEX('Lookup Tables'!$J$5:$J$16,MATCH(H67,'Lookup Tables'!$F$5:$F$16,0)),0)</x:f>
        <x:v>760</x:v>
      </x:c>
      <x:c r="P67" s="9" t="n">
        <x:f>IF(S67="Completed",K67*O67,0)</x:f>
        <x:v>3800</x:v>
      </x:c>
      <x:c r="Q67" s="9" t="n">
        <x:f>N67-P67</x:f>
        <x:v>2045.5</x:v>
      </x:c>
      <x:c r="R67" s="8" t="str">
        <x:f>IF(LOWER('Raw Data'!N67)="upi","UPI",'Raw Data'!N67)</x:f>
        <x:v>Credit Card</x:v>
      </x:c>
      <x:c r="S67" s="8" t="str">
        <x:v>Completed</x:v>
      </x:c>
      <x:c r="T67" s="8" t="str">
        <x:f>TEXT(B67,"mmm yyyy")</x:f>
        <x:v>Oct 2025</x:v>
      </x:c>
      <x:c r="U67" s="8" t="n">
        <x:f>YEAR(B67)</x:f>
        <x:v>2025</x:v>
      </x:c>
    </x:row>
    <x:row r="68">
      <x:c r="A68" s="8" t="str">
        <x:v>ORD-0064</x:v>
      </x:c>
      <x:c r="B68" s="22" t="n">
        <x:v>45758.18960650463</x:v>
      </x:c>
      <x:c r="C68" s="8" t="str">
        <x:v>CUS-030</x:v>
      </x:c>
      <x:c r="D68" s="8" t="str">
        <x:f>IFERROR(INDEX('Lookup Tables'!$B$5:$B$84,MATCH(C68,'Lookup Tables'!$A$5:$A$84,0)),"Unknown Customer")</x:f>
        <x:v>Saanvi Iyer 2</x:v>
      </x:c>
      <x:c r="E68" s="8" t="str">
        <x:f>IFERROR(INDEX('Lookup Tables'!$C$5:$C$84,MATCH(C68,'Lookup Tables'!$A$5:$A$84,0)),"Unknown")</x:f>
        <x:v>Small Business</x:v>
      </x:c>
      <x:c r="F68" s="8" t="str">
        <x:v>Chennai</x:v>
      </x:c>
      <x:c r="G68" s="8" t="str">
        <x:f>IFERROR(INDEX('Lookup Tables'!$N$5:$N$14,MATCH(F68,'Lookup Tables'!$M$5:$M$14,0)),"Unknown")</x:f>
        <x:v>South</x:v>
      </x:c>
      <x:c r="H68" s="8" t="str">
        <x:v>PRD-005</x:v>
      </x:c>
      <x:c r="I68" s="8" t="str">
        <x:f>IFERROR(INDEX('Lookup Tables'!$G$5:$G$16,MATCH(H68,'Lookup Tables'!$F$5:$F$16,0)),"Unknown Product")</x:f>
        <x:v>Executive Notebook</x:v>
      </x:c>
      <x:c r="J68" s="8" t="str">
        <x:f>IFERROR(INDEX('Lookup Tables'!$H$5:$H$16,MATCH(H68,'Lookup Tables'!$F$5:$F$16,0)),"Unknown")</x:f>
        <x:v>Office Supplies</x:v>
      </x:c>
      <x:c r="K68" s="8" t="n">
        <x:v>4</x:v>
      </x:c>
      <x:c r="L68" s="9" t="n">
        <x:f>IFERROR(INDEX('Lookup Tables'!$I$5:$I$16,MATCH(H68,'Lookup Tables'!$F$5:$F$16,0)),0)</x:f>
        <x:v>349</x:v>
      </x:c>
      <x:c r="M68" s="23" t="n">
        <x:f>IF('Raw Data'!M68="",0,'Raw Data'!M68)</x:f>
        <x:v>0</x:v>
      </x:c>
      <x:c r="N68" s="9" t="n">
        <x:f>IF(S68="Completed",K68*L68*(1-M68),0)</x:f>
        <x:v>1396</x:v>
      </x:c>
      <x:c r="O68" s="9" t="n">
        <x:f>IFERROR(INDEX('Lookup Tables'!$J$5:$J$16,MATCH(H68,'Lookup Tables'!$F$5:$F$16,0)),0)</x:f>
        <x:v>170</x:v>
      </x:c>
      <x:c r="P68" s="9" t="n">
        <x:f>IF(S68="Completed",K68*O68,0)</x:f>
        <x:v>680</x:v>
      </x:c>
      <x:c r="Q68" s="9" t="n">
        <x:f>N68-P68</x:f>
        <x:v>716</x:v>
      </x:c>
      <x:c r="R68" s="8" t="str">
        <x:f>IF(LOWER('Raw Data'!N68)="upi","UPI",'Raw Data'!N68)</x:f>
        <x:v>Net Banking</x:v>
      </x:c>
      <x:c r="S68" s="8" t="str">
        <x:v>Completed</x:v>
      </x:c>
      <x:c r="T68" s="8" t="str">
        <x:f>TEXT(B68,"mmm yyyy")</x:f>
        <x:v>Apr 2025</x:v>
      </x:c>
      <x:c r="U68" s="8" t="n">
        <x:f>YEAR(B68)</x:f>
        <x:v>2025</x:v>
      </x:c>
    </x:row>
    <x:row r="69">
      <x:c r="A69" s="8" t="str">
        <x:v>ORD-0065</x:v>
      </x:c>
      <x:c r="B69" s="22" t="n">
        <x:v>45716.492213715275</x:v>
      </x:c>
      <x:c r="C69" s="8" t="str">
        <x:v>CUS-038</x:v>
      </x:c>
      <x:c r="D69" s="8" t="str">
        <x:f>IFERROR(INDEX('Lookup Tables'!$B$5:$B$84,MATCH(C69,'Lookup Tables'!$A$5:$A$84,0)),"Unknown Customer")</x:f>
        <x:v>Nisha Bansal 2</x:v>
      </x:c>
      <x:c r="E69" s="8" t="str">
        <x:f>IFERROR(INDEX('Lookup Tables'!$C$5:$C$84,MATCH(C69,'Lookup Tables'!$A$5:$A$84,0)),"Unknown")</x:f>
        <x:v>Corporate</x:v>
      </x:c>
      <x:c r="F69" s="8" t="str">
        <x:v>Pune</x:v>
      </x:c>
      <x:c r="G69" s="8" t="str">
        <x:f>IFERROR(INDEX('Lookup Tables'!$N$5:$N$14,MATCH(F69,'Lookup Tables'!$M$5:$M$14,0)),"Unknown")</x:f>
        <x:v>West</x:v>
      </x:c>
      <x:c r="H69" s="8" t="str">
        <x:v>PRD-009</x:v>
      </x:c>
      <x:c r="I69" s="8" t="str">
        <x:f>IFERROR(INDEX('Lookup Tables'!$G$5:$G$16,MATCH(H69,'Lookup Tables'!$F$5:$F$16,0)),"Unknown Product")</x:f>
        <x:v>Table Lamp</x:v>
      </x:c>
      <x:c r="J69" s="8" t="str">
        <x:f>IFERROR(INDEX('Lookup Tables'!$H$5:$H$16,MATCH(H69,'Lookup Tables'!$F$5:$F$16,0)),"Unknown")</x:f>
        <x:v>Home &amp; Kitchen</x:v>
      </x:c>
      <x:c r="K69" s="8" t="n">
        <x:v>5</x:v>
      </x:c>
      <x:c r="L69" s="9" t="n">
        <x:f>IFERROR(INDEX('Lookup Tables'!$I$5:$I$16,MATCH(H69,'Lookup Tables'!$F$5:$F$16,0)),0)</x:f>
        <x:v>1499</x:v>
      </x:c>
      <x:c r="M69" s="23" t="n">
        <x:f>IF('Raw Data'!M69="",0,'Raw Data'!M69)</x:f>
        <x:v>0</x:v>
      </x:c>
      <x:c r="N69" s="9" t="n">
        <x:f>IF(S69="Completed",K69*L69*(1-M69),0)</x:f>
        <x:v>7495</x:v>
      </x:c>
      <x:c r="O69" s="9" t="n">
        <x:f>IFERROR(INDEX('Lookup Tables'!$J$5:$J$16,MATCH(H69,'Lookup Tables'!$F$5:$F$16,0)),0)</x:f>
        <x:v>920</x:v>
      </x:c>
      <x:c r="P69" s="9" t="n">
        <x:f>IF(S69="Completed",K69*O69,0)</x:f>
        <x:v>4600</x:v>
      </x:c>
      <x:c r="Q69" s="9" t="n">
        <x:f>N69-P69</x:f>
        <x:v>2895</x:v>
      </x:c>
      <x:c r="R69" s="8" t="str">
        <x:f>IF(LOWER('Raw Data'!N69)="upi","UPI",'Raw Data'!N69)</x:f>
        <x:v>Net Banking</x:v>
      </x:c>
      <x:c r="S69" s="8" t="str">
        <x:v>Completed</x:v>
      </x:c>
      <x:c r="T69" s="8" t="str">
        <x:f>TEXT(B69,"mmm yyyy")</x:f>
        <x:v>Feb 2025</x:v>
      </x:c>
      <x:c r="U69" s="8" t="n">
        <x:f>YEAR(B69)</x:f>
        <x:v>2025</x:v>
      </x:c>
    </x:row>
    <x:row r="70">
      <x:c r="A70" s="8" t="str">
        <x:v>ORD-0066</x:v>
      </x:c>
      <x:c r="B70" s="22" t="n">
        <x:v>45837.474897685184</x:v>
      </x:c>
      <x:c r="C70" s="8" t="str">
        <x:v>CUS-032</x:v>
      </x:c>
      <x:c r="D70" s="8" t="str">
        <x:f>IFERROR(INDEX('Lookup Tables'!$B$5:$B$84,MATCH(C70,'Lookup Tables'!$A$5:$A$84,0)),"Unknown Customer")</x:f>
        <x:v>Priya Kapoor 2</x:v>
      </x:c>
      <x:c r="E70" s="8" t="str">
        <x:f>IFERROR(INDEX('Lookup Tables'!$C$5:$C$84,MATCH(C70,'Lookup Tables'!$A$5:$A$84,0)),"Unknown")</x:f>
        <x:v>Corporate</x:v>
      </x:c>
      <x:c r="F70" s="8" t="str">
        <x:v>Hyderabad</x:v>
      </x:c>
      <x:c r="G70" s="8" t="str">
        <x:f>IFERROR(INDEX('Lookup Tables'!$N$5:$N$14,MATCH(F70,'Lookup Tables'!$M$5:$M$14,0)),"Unknown")</x:f>
        <x:v>South</x:v>
      </x:c>
      <x:c r="H70" s="8" t="str">
        <x:v>PRD-012</x:v>
      </x:c>
      <x:c r="I70" s="8" t="str">
        <x:f>IFERROR(INDEX('Lookup Tables'!$G$5:$G$16,MATCH(H70,'Lookup Tables'!$F$5:$F$16,0)),"Unknown Product")</x:f>
        <x:v>Stainless Water Bottle</x:v>
      </x:c>
      <x:c r="J70" s="8" t="str">
        <x:f>IFERROR(INDEX('Lookup Tables'!$H$5:$H$16,MATCH(H70,'Lookup Tables'!$F$5:$F$16,0)),"Unknown")</x:f>
        <x:v>Lifestyle</x:v>
      </x:c>
      <x:c r="K70" s="8" t="n">
        <x:v>2</x:v>
      </x:c>
      <x:c r="L70" s="9" t="n">
        <x:f>IFERROR(INDEX('Lookup Tables'!$I$5:$I$16,MATCH(H70,'Lookup Tables'!$F$5:$F$16,0)),0)</x:f>
        <x:v>799</x:v>
      </x:c>
      <x:c r="M70" s="23" t="n">
        <x:f>IF('Raw Data'!M70="",0,'Raw Data'!M70)</x:f>
        <x:v>0</x:v>
      </x:c>
      <x:c r="N70" s="9" t="n">
        <x:f>IF(S70="Completed",K70*L70*(1-M70),0)</x:f>
        <x:v>0</x:v>
      </x:c>
      <x:c r="O70" s="9" t="n">
        <x:f>IFERROR(INDEX('Lookup Tables'!$J$5:$J$16,MATCH(H70,'Lookup Tables'!$F$5:$F$16,0)),0)</x:f>
        <x:v>410</x:v>
      </x:c>
      <x:c r="P70" s="9" t="n">
        <x:f>IF(S70="Completed",K70*O70,0)</x:f>
        <x:v>0</x:v>
      </x:c>
      <x:c r="Q70" s="9" t="n">
        <x:f>N70-P70</x:f>
        <x:v>0</x:v>
      </x:c>
      <x:c r="R70" s="8" t="str">
        <x:f>IF(LOWER('Raw Data'!N70)="upi","UPI",'Raw Data'!N70)</x:f>
        <x:v>Net Banking</x:v>
      </x:c>
      <x:c r="S70" s="8" t="str">
        <x:v>Cancelled</x:v>
      </x:c>
      <x:c r="T70" s="8" t="str">
        <x:f>TEXT(B70,"mmm yyyy")</x:f>
        <x:v>Jun 2025</x:v>
      </x:c>
      <x:c r="U70" s="8" t="n">
        <x:f>YEAR(B70)</x:f>
        <x:v>2025</x:v>
      </x:c>
    </x:row>
    <x:row r="71">
      <x:c r="A71" s="8" t="str">
        <x:v>ORD-0067</x:v>
      </x:c>
      <x:c r="B71" s="22" t="n">
        <x:v>45891.41161883102</x:v>
      </x:c>
      <x:c r="C71" s="8" t="str">
        <x:v>CUS-034</x:v>
      </x:c>
      <x:c r="D71" s="8" t="str">
        <x:f>IFERROR(INDEX('Lookup Tables'!$B$5:$B$84,MATCH(C71,'Lookup Tables'!$A$5:$A$84,0)),"Unknown Customer")</x:f>
        <x:v>Neha Rao 2</x:v>
      </x:c>
      <x:c r="E71" s="8" t="str">
        <x:f>IFERROR(INDEX('Lookup Tables'!$C$5:$C$84,MATCH(C71,'Lookup Tables'!$A$5:$A$84,0)),"Unknown")</x:f>
        <x:v>Consumer</x:v>
      </x:c>
      <x:c r="F71" s="8" t="str">
        <x:v>Hyderabad</x:v>
      </x:c>
      <x:c r="G71" s="8" t="str">
        <x:f>IFERROR(INDEX('Lookup Tables'!$N$5:$N$14,MATCH(F71,'Lookup Tables'!$M$5:$M$14,0)),"Unknown")</x:f>
        <x:v>South</x:v>
      </x:c>
      <x:c r="H71" s="8" t="str">
        <x:v>PRD-006</x:v>
      </x:c>
      <x:c r="I71" s="8" t="str">
        <x:f>IFERROR(INDEX('Lookup Tables'!$G$5:$G$16,MATCH(H71,'Lookup Tables'!$F$5:$F$16,0)),"Unknown Product")</x:f>
        <x:v>Desk Organiser</x:v>
      </x:c>
      <x:c r="J71" s="8" t="str">
        <x:f>IFERROR(INDEX('Lookup Tables'!$H$5:$H$16,MATCH(H71,'Lookup Tables'!$F$5:$F$16,0)),"Unknown")</x:f>
        <x:v>Office Supplies</x:v>
      </x:c>
      <x:c r="K71" s="8" t="n">
        <x:v>1</x:v>
      </x:c>
      <x:c r="L71" s="9" t="n">
        <x:f>IFERROR(INDEX('Lookup Tables'!$I$5:$I$16,MATCH(H71,'Lookup Tables'!$F$5:$F$16,0)),0)</x:f>
        <x:v>699</x:v>
      </x:c>
      <x:c r="M71" s="23" t="n">
        <x:f>IF('Raw Data'!M71="",0,'Raw Data'!M71)</x:f>
        <x:v>0.1</x:v>
      </x:c>
      <x:c r="N71" s="9" t="n">
        <x:f>IF(S71="Completed",K71*L71*(1-M71),0)</x:f>
        <x:v>629.1</x:v>
      </x:c>
      <x:c r="O71" s="9" t="n">
        <x:f>IFERROR(INDEX('Lookup Tables'!$J$5:$J$16,MATCH(H71,'Lookup Tables'!$F$5:$F$16,0)),0)</x:f>
        <x:v>390</x:v>
      </x:c>
      <x:c r="P71" s="9" t="n">
        <x:f>IF(S71="Completed",K71*O71,0)</x:f>
        <x:v>390</x:v>
      </x:c>
      <x:c r="Q71" s="9" t="n">
        <x:f>N71-P71</x:f>
        <x:v>239.10000000000002</x:v>
      </x:c>
      <x:c r="R71" s="8" t="str">
        <x:f>IF(LOWER('Raw Data'!N71)="upi","UPI",'Raw Data'!N71)</x:f>
        <x:v>Debit Card</x:v>
      </x:c>
      <x:c r="S71" s="8" t="str">
        <x:v>Completed</x:v>
      </x:c>
      <x:c r="T71" s="8" t="str">
        <x:f>TEXT(B71,"mmm yyyy")</x:f>
        <x:v>Aug 2025</x:v>
      </x:c>
      <x:c r="U71" s="8" t="n">
        <x:f>YEAR(B71)</x:f>
        <x:v>2025</x:v>
      </x:c>
    </x:row>
    <x:row r="72">
      <x:c r="A72" s="8" t="str">
        <x:v>ORD-0068</x:v>
      </x:c>
      <x:c r="B72" s="22" t="n">
        <x:v>45852.41496065972</x:v>
      </x:c>
      <x:c r="C72" s="8" t="str">
        <x:v>CUS-076</x:v>
      </x:c>
      <x:c r="D72" s="8" t="str">
        <x:f>IFERROR(INDEX('Lookup Tables'!$B$5:$B$84,MATCH(C72,'Lookup Tables'!$A$5:$A$84,0)),"Unknown Customer")</x:f>
        <x:v>Pooja Saxena 4</x:v>
      </x:c>
      <x:c r="E72" s="8" t="str">
        <x:f>IFERROR(INDEX('Lookup Tables'!$C$5:$C$84,MATCH(C72,'Lookup Tables'!$A$5:$A$84,0)),"Unknown")</x:f>
        <x:v>Consumer</x:v>
      </x:c>
      <x:c r="F72" s="8" t="str">
        <x:v>Jaipur</x:v>
      </x:c>
      <x:c r="G72" s="8" t="str">
        <x:f>IFERROR(INDEX('Lookup Tables'!$N$5:$N$14,MATCH(F72,'Lookup Tables'!$M$5:$M$14,0)),"Unknown")</x:f>
        <x:v>North</x:v>
      </x:c>
      <x:c r="H72" s="8" t="str">
        <x:v>PRD-012</x:v>
      </x:c>
      <x:c r="I72" s="8" t="str">
        <x:f>IFERROR(INDEX('Lookup Tables'!$G$5:$G$16,MATCH(H72,'Lookup Tables'!$F$5:$F$16,0)),"Unknown Product")</x:f>
        <x:v>Stainless Water Bottle</x:v>
      </x:c>
      <x:c r="J72" s="8" t="str">
        <x:f>IFERROR(INDEX('Lookup Tables'!$H$5:$H$16,MATCH(H72,'Lookup Tables'!$F$5:$F$16,0)),"Unknown")</x:f>
        <x:v>Lifestyle</x:v>
      </x:c>
      <x:c r="K72" s="8" t="n">
        <x:v>4</x:v>
      </x:c>
      <x:c r="L72" s="9" t="n">
        <x:f>IFERROR(INDEX('Lookup Tables'!$I$5:$I$16,MATCH(H72,'Lookup Tables'!$F$5:$F$16,0)),0)</x:f>
        <x:v>799</x:v>
      </x:c>
      <x:c r="M72" s="23" t="n">
        <x:f>IF('Raw Data'!M72="",0,'Raw Data'!M72)</x:f>
        <x:v>0.1</x:v>
      </x:c>
      <x:c r="N72" s="9" t="n">
        <x:f>IF(S72="Completed",K72*L72*(1-M72),0)</x:f>
        <x:v>2876.4</x:v>
      </x:c>
      <x:c r="O72" s="9" t="n">
        <x:f>IFERROR(INDEX('Lookup Tables'!$J$5:$J$16,MATCH(H72,'Lookup Tables'!$F$5:$F$16,0)),0)</x:f>
        <x:v>410</x:v>
      </x:c>
      <x:c r="P72" s="9" t="n">
        <x:f>IF(S72="Completed",K72*O72,0)</x:f>
        <x:v>1640</x:v>
      </x:c>
      <x:c r="Q72" s="9" t="n">
        <x:f>N72-P72</x:f>
        <x:v>1236.4</x:v>
      </x:c>
      <x:c r="R72" s="8" t="str">
        <x:f>IF(LOWER('Raw Data'!N72)="upi","UPI",'Raw Data'!N72)</x:f>
        <x:v>UPI</x:v>
      </x:c>
      <x:c r="S72" s="8" t="str">
        <x:v>Completed</x:v>
      </x:c>
      <x:c r="T72" s="8" t="str">
        <x:f>TEXT(B72,"mmm yyyy")</x:f>
        <x:v>Jul 2025</x:v>
      </x:c>
      <x:c r="U72" s="8" t="n">
        <x:f>YEAR(B72)</x:f>
        <x:v>2025</x:v>
      </x:c>
    </x:row>
    <x:row r="73">
      <x:c r="A73" s="8" t="str">
        <x:v>ORD-0069</x:v>
      </x:c>
      <x:c r="B73" s="22" t="n">
        <x:v>45775.58061726852</x:v>
      </x:c>
      <x:c r="C73" s="8" t="str">
        <x:v>CUS-061</x:v>
      </x:c>
      <x:c r="D73" s="8" t="str">
        <x:f>IFERROR(INDEX('Lookup Tables'!$B$5:$B$84,MATCH(C73,'Lookup Tables'!$A$5:$A$84,0)),"Unknown Customer")</x:f>
        <x:v>Aarav Sharma 4</x:v>
      </x:c>
      <x:c r="E73" s="8" t="str">
        <x:f>IFERROR(INDEX('Lookup Tables'!$C$5:$C$84,MATCH(C73,'Lookup Tables'!$A$5:$A$84,0)),"Unknown")</x:f>
        <x:v>Consumer</x:v>
      </x:c>
      <x:c r="F73" s="8" t="str">
        <x:v>Hyderabad</x:v>
      </x:c>
      <x:c r="G73" s="8" t="str">
        <x:f>IFERROR(INDEX('Lookup Tables'!$N$5:$N$14,MATCH(F73,'Lookup Tables'!$M$5:$M$14,0)),"Unknown")</x:f>
        <x:v>South</x:v>
      </x:c>
      <x:c r="H73" s="8" t="str">
        <x:v>PRD-002</x:v>
      </x:c>
      <x:c r="I73" s="8" t="str">
        <x:f>IFERROR(INDEX('Lookup Tables'!$G$5:$G$16,MATCH(H73,'Lookup Tables'!$F$5:$F$16,0)),"Unknown Product")</x:f>
        <x:v>Bluetooth Headphones</x:v>
      </x:c>
      <x:c r="J73" s="8" t="str">
        <x:f>IFERROR(INDEX('Lookup Tables'!$H$5:$H$16,MATCH(H73,'Lookup Tables'!$F$5:$F$16,0)),"Unknown")</x:f>
        <x:v>Electronics</x:v>
      </x:c>
      <x:c r="K73" s="8" t="n">
        <x:v>2</x:v>
      </x:c>
      <x:c r="L73" s="9" t="n">
        <x:f>IFERROR(INDEX('Lookup Tables'!$I$5:$I$16,MATCH(H73,'Lookup Tables'!$F$5:$F$16,0)),0)</x:f>
        <x:v>2499</x:v>
      </x:c>
      <x:c r="M73" s="23" t="n">
        <x:f>IF('Raw Data'!M73="",0,'Raw Data'!M73)</x:f>
        <x:v>0.05</x:v>
      </x:c>
      <x:c r="N73" s="9" t="n">
        <x:f>IF(S73="Completed",K73*L73*(1-M73),0)</x:f>
        <x:v>4748.099999999999</x:v>
      </x:c>
      <x:c r="O73" s="9" t="n">
        <x:f>IFERROR(INDEX('Lookup Tables'!$J$5:$J$16,MATCH(H73,'Lookup Tables'!$F$5:$F$16,0)),0)</x:f>
        <x:v>1620</x:v>
      </x:c>
      <x:c r="P73" s="9" t="n">
        <x:f>IF(S73="Completed",K73*O73,0)</x:f>
        <x:v>3240</x:v>
      </x:c>
      <x:c r="Q73" s="9" t="n">
        <x:f>N73-P73</x:f>
        <x:v>1508.0999999999995</x:v>
      </x:c>
      <x:c r="R73" s="8" t="str">
        <x:f>IF(LOWER('Raw Data'!N73)="upi","UPI",'Raw Data'!N73)</x:f>
        <x:v>Credit Card</x:v>
      </x:c>
      <x:c r="S73" s="8" t="str">
        <x:v>Completed</x:v>
      </x:c>
      <x:c r="T73" s="8" t="str">
        <x:f>TEXT(B73,"mmm yyyy")</x:f>
        <x:v>Apr 2025</x:v>
      </x:c>
      <x:c r="U73" s="8" t="n">
        <x:f>YEAR(B73)</x:f>
        <x:v>2025</x:v>
      </x:c>
    </x:row>
    <x:row r="74">
      <x:c r="A74" s="8" t="str">
        <x:v>ORD-0070</x:v>
      </x:c>
      <x:c r="B74" s="22" t="n">
        <x:v>45808.250344189815</x:v>
      </x:c>
      <x:c r="C74" s="8" t="str">
        <x:v>CUS-070</x:v>
      </x:c>
      <x:c r="D74" s="8" t="str">
        <x:f>IFERROR(INDEX('Lookup Tables'!$B$5:$B$84,MATCH(C74,'Lookup Tables'!$A$5:$A$84,0)),"Unknown Customer")</x:f>
        <x:v>Saanvi Iyer 4</x:v>
      </x:c>
      <x:c r="E74" s="8" t="str">
        <x:f>IFERROR(INDEX('Lookup Tables'!$C$5:$C$84,MATCH(C74,'Lookup Tables'!$A$5:$A$84,0)),"Unknown")</x:f>
        <x:v>Consumer</x:v>
      </x:c>
      <x:c r="F74" s="8" t="str">
        <x:v>Hyderabad</x:v>
      </x:c>
      <x:c r="G74" s="8" t="str">
        <x:f>IFERROR(INDEX('Lookup Tables'!$N$5:$N$14,MATCH(F74,'Lookup Tables'!$M$5:$M$14,0)),"Unknown")</x:f>
        <x:v>South</x:v>
      </x:c>
      <x:c r="H74" s="8" t="str">
        <x:v>PRD-005</x:v>
      </x:c>
      <x:c r="I74" s="8" t="str">
        <x:f>IFERROR(INDEX('Lookup Tables'!$G$5:$G$16,MATCH(H74,'Lookup Tables'!$F$5:$F$16,0)),"Unknown Product")</x:f>
        <x:v>Executive Notebook</x:v>
      </x:c>
      <x:c r="J74" s="8" t="str">
        <x:f>IFERROR(INDEX('Lookup Tables'!$H$5:$H$16,MATCH(H74,'Lookup Tables'!$F$5:$F$16,0)),"Unknown")</x:f>
        <x:v>Office Supplies</x:v>
      </x:c>
      <x:c r="K74" s="8" t="n">
        <x:v>2</x:v>
      </x:c>
      <x:c r="L74" s="9" t="n">
        <x:f>IFERROR(INDEX('Lookup Tables'!$I$5:$I$16,MATCH(H74,'Lookup Tables'!$F$5:$F$16,0)),0)</x:f>
        <x:v>349</x:v>
      </x:c>
      <x:c r="M74" s="23" t="n">
        <x:f>IF('Raw Data'!M74="",0,'Raw Data'!M74)</x:f>
        <x:v>0.15</x:v>
      </x:c>
      <x:c r="N74" s="9" t="n">
        <x:f>IF(S74="Completed",K74*L74*(1-M74),0)</x:f>
        <x:v>593.3</x:v>
      </x:c>
      <x:c r="O74" s="9" t="n">
        <x:f>IFERROR(INDEX('Lookup Tables'!$J$5:$J$16,MATCH(H74,'Lookup Tables'!$F$5:$F$16,0)),0)</x:f>
        <x:v>170</x:v>
      </x:c>
      <x:c r="P74" s="9" t="n">
        <x:f>IF(S74="Completed",K74*O74,0)</x:f>
        <x:v>340</x:v>
      </x:c>
      <x:c r="Q74" s="9" t="n">
        <x:f>N74-P74</x:f>
        <x:v>253.29999999999995</x:v>
      </x:c>
      <x:c r="R74" s="8" t="str">
        <x:f>IF(LOWER('Raw Data'!N74)="upi","UPI",'Raw Data'!N74)</x:f>
        <x:v>Cash on Delivery</x:v>
      </x:c>
      <x:c r="S74" s="8" t="str">
        <x:v>Completed</x:v>
      </x:c>
      <x:c r="T74" s="8" t="str">
        <x:f>TEXT(B74,"mmm yyyy")</x:f>
        <x:v>May 2025</x:v>
      </x:c>
      <x:c r="U74" s="8" t="n">
        <x:f>YEAR(B74)</x:f>
        <x:v>2025</x:v>
      </x:c>
    </x:row>
    <x:row r="75">
      <x:c r="A75" s="8" t="str">
        <x:v>ORD-0071</x:v>
      </x:c>
      <x:c r="B75" s="22" t="n">
        <x:v>45941.33092359954</x:v>
      </x:c>
      <x:c r="C75" s="8" t="str">
        <x:v>CUS-071</x:v>
      </x:c>
      <x:c r="D75" s="8" t="str">
        <x:f>IFERROR(INDEX('Lookup Tables'!$B$5:$B$84,MATCH(C75,'Lookup Tables'!$A$5:$A$84,0)),"Unknown Customer")</x:f>
        <x:v>Aditya Joshi 4</x:v>
      </x:c>
      <x:c r="E75" s="8" t="str">
        <x:f>IFERROR(INDEX('Lookup Tables'!$C$5:$C$84,MATCH(C75,'Lookup Tables'!$A$5:$A$84,0)),"Unknown")</x:f>
        <x:v>Corporate</x:v>
      </x:c>
      <x:c r="F75" s="8" t="str">
        <x:v>Mumbai</x:v>
      </x:c>
      <x:c r="G75" s="8" t="str">
        <x:f>IFERROR(INDEX('Lookup Tables'!$N$5:$N$14,MATCH(F75,'Lookup Tables'!$M$5:$M$14,0)),"Unknown")</x:f>
        <x:v>West</x:v>
      </x:c>
      <x:c r="H75" s="8" t="str">
        <x:v>PRD-009</x:v>
      </x:c>
      <x:c r="I75" s="8" t="str">
        <x:f>IFERROR(INDEX('Lookup Tables'!$G$5:$G$16,MATCH(H75,'Lookup Tables'!$F$5:$F$16,0)),"Unknown Product")</x:f>
        <x:v>Table Lamp</x:v>
      </x:c>
      <x:c r="J75" s="8" t="str">
        <x:f>IFERROR(INDEX('Lookup Tables'!$H$5:$H$16,MATCH(H75,'Lookup Tables'!$F$5:$F$16,0)),"Unknown")</x:f>
        <x:v>Home &amp; Kitchen</x:v>
      </x:c>
      <x:c r="K75" s="8" t="n">
        <x:v>2</x:v>
      </x:c>
      <x:c r="L75" s="9" t="n">
        <x:f>IFERROR(INDEX('Lookup Tables'!$I$5:$I$16,MATCH(H75,'Lookup Tables'!$F$5:$F$16,0)),0)</x:f>
        <x:v>1499</x:v>
      </x:c>
      <x:c r="M75" s="23" t="n">
        <x:f>IF('Raw Data'!M75="",0,'Raw Data'!M75)</x:f>
        <x:v>0</x:v>
      </x:c>
      <x:c r="N75" s="9" t="n">
        <x:f>IF(S75="Completed",K75*L75*(1-M75),0)</x:f>
        <x:v>2998</x:v>
      </x:c>
      <x:c r="O75" s="9" t="n">
        <x:f>IFERROR(INDEX('Lookup Tables'!$J$5:$J$16,MATCH(H75,'Lookup Tables'!$F$5:$F$16,0)),0)</x:f>
        <x:v>920</x:v>
      </x:c>
      <x:c r="P75" s="9" t="n">
        <x:f>IF(S75="Completed",K75*O75,0)</x:f>
        <x:v>1840</x:v>
      </x:c>
      <x:c r="Q75" s="9" t="n">
        <x:f>N75-P75</x:f>
        <x:v>1158</x:v>
      </x:c>
      <x:c r="R75" s="8" t="str">
        <x:f>IF(LOWER('Raw Data'!N75)="upi","UPI",'Raw Data'!N75)</x:f>
        <x:v>Cash on Delivery</x:v>
      </x:c>
      <x:c r="S75" s="8" t="str">
        <x:v>Completed</x:v>
      </x:c>
      <x:c r="T75" s="8" t="str">
        <x:f>TEXT(B75,"mmm yyyy")</x:f>
        <x:v>Oct 2025</x:v>
      </x:c>
      <x:c r="U75" s="8" t="n">
        <x:f>YEAR(B75)</x:f>
        <x:v>2025</x:v>
      </x:c>
    </x:row>
    <x:row r="76">
      <x:c r="A76" s="8" t="str">
        <x:v>ORD-0072</x:v>
      </x:c>
      <x:c r="B76" s="22" t="n">
        <x:v>46011.41340474537</x:v>
      </x:c>
      <x:c r="C76" s="8" t="str">
        <x:v>CUS-045</x:v>
      </x:c>
      <x:c r="D76" s="8" t="str">
        <x:f>IFERROR(INDEX('Lookup Tables'!$B$5:$B$84,MATCH(C76,'Lookup Tables'!$A$5:$A$84,0)),"Unknown Customer")</x:f>
        <x:v>Arjun Verma 3</x:v>
      </x:c>
      <x:c r="E76" s="8" t="str">
        <x:f>IFERROR(INDEX('Lookup Tables'!$C$5:$C$84,MATCH(C76,'Lookup Tables'!$A$5:$A$84,0)),"Unknown")</x:f>
        <x:v>Small Business</x:v>
      </x:c>
      <x:c r="F76" s="8" t="str">
        <x:v>Jaipur</x:v>
      </x:c>
      <x:c r="G76" s="8" t="str">
        <x:f>IFERROR(INDEX('Lookup Tables'!$N$5:$N$14,MATCH(F76,'Lookup Tables'!$M$5:$M$14,0)),"Unknown")</x:f>
        <x:v>North</x:v>
      </x:c>
      <x:c r="H76" s="8" t="str">
        <x:v>PRD-008</x:v>
      </x:c>
      <x:c r="I76" s="8" t="str">
        <x:f>IFERROR(INDEX('Lookup Tables'!$G$5:$G$16,MATCH(H76,'Lookup Tables'!$F$5:$F$16,0)),"Unknown Product")</x:f>
        <x:v>Storage Container Set</x:v>
      </x:c>
      <x:c r="J76" s="8" t="str">
        <x:f>IFERROR(INDEX('Lookup Tables'!$H$5:$H$16,MATCH(H76,'Lookup Tables'!$F$5:$F$16,0)),"Unknown")</x:f>
        <x:v>Home &amp; Kitchen</x:v>
      </x:c>
      <x:c r="K76" s="8" t="n">
        <x:v>3</x:v>
      </x:c>
      <x:c r="L76" s="9" t="n">
        <x:f>IFERROR(INDEX('Lookup Tables'!$I$5:$I$16,MATCH(H76,'Lookup Tables'!$F$5:$F$16,0)),0)</x:f>
        <x:v>999</x:v>
      </x:c>
      <x:c r="M76" s="23" t="n">
        <x:f>IF('Raw Data'!M76="",0,'Raw Data'!M76)</x:f>
        <x:v>0.15</x:v>
      </x:c>
      <x:c r="N76" s="9" t="n">
        <x:f>IF(S76="Completed",K76*L76*(1-M76),0)</x:f>
        <x:v>2547.45</x:v>
      </x:c>
      <x:c r="O76" s="9" t="n">
        <x:f>IFERROR(INDEX('Lookup Tables'!$J$5:$J$16,MATCH(H76,'Lookup Tables'!$F$5:$F$16,0)),0)</x:f>
        <x:v>580</x:v>
      </x:c>
      <x:c r="P76" s="9" t="n">
        <x:f>IF(S76="Completed",K76*O76,0)</x:f>
        <x:v>1740</x:v>
      </x:c>
      <x:c r="Q76" s="9" t="n">
        <x:f>N76-P76</x:f>
        <x:v>807.4499999999998</x:v>
      </x:c>
      <x:c r="R76" s="8" t="str">
        <x:f>IF(LOWER('Raw Data'!N76)="upi","UPI",'Raw Data'!N76)</x:f>
        <x:v>Net Banking</x:v>
      </x:c>
      <x:c r="S76" s="8" t="str">
        <x:v>Completed</x:v>
      </x:c>
      <x:c r="T76" s="8" t="str">
        <x:f>TEXT(B76,"mmm yyyy")</x:f>
        <x:v>Dec 2025</x:v>
      </x:c>
      <x:c r="U76" s="8" t="n">
        <x:f>YEAR(B76)</x:f>
        <x:v>2025</x:v>
      </x:c>
    </x:row>
    <x:row r="77">
      <x:c r="A77" s="8" t="str">
        <x:v>ORD-0073</x:v>
      </x:c>
      <x:c r="B77" s="22" t="n">
        <x:v>45962.18988046296</x:v>
      </x:c>
      <x:c r="C77" s="8" t="str">
        <x:v>CUS-031</x:v>
      </x:c>
      <x:c r="D77" s="8" t="str">
        <x:f>IFERROR(INDEX('Lookup Tables'!$B$5:$B$84,MATCH(C77,'Lookup Tables'!$A$5:$A$84,0)),"Unknown Customer")</x:f>
        <x:v>Aditya Joshi 2</x:v>
      </x:c>
      <x:c r="E77" s="8" t="str">
        <x:f>IFERROR(INDEX('Lookup Tables'!$C$5:$C$84,MATCH(C77,'Lookup Tables'!$A$5:$A$84,0)),"Unknown")</x:f>
        <x:v>Consumer</x:v>
      </x:c>
      <x:c r="F77" s="8" t="str">
        <x:v>Mumbai</x:v>
      </x:c>
      <x:c r="G77" s="8" t="str">
        <x:f>IFERROR(INDEX('Lookup Tables'!$N$5:$N$14,MATCH(F77,'Lookup Tables'!$M$5:$M$14,0)),"Unknown")</x:f>
        <x:v>West</x:v>
      </x:c>
      <x:c r="H77" s="8" t="str">
        <x:v>PRD-006</x:v>
      </x:c>
      <x:c r="I77" s="8" t="str">
        <x:f>IFERROR(INDEX('Lookup Tables'!$G$5:$G$16,MATCH(H77,'Lookup Tables'!$F$5:$F$16,0)),"Unknown Product")</x:f>
        <x:v>Desk Organiser</x:v>
      </x:c>
      <x:c r="J77" s="8" t="str">
        <x:f>IFERROR(INDEX('Lookup Tables'!$H$5:$H$16,MATCH(H77,'Lookup Tables'!$F$5:$F$16,0)),"Unknown")</x:f>
        <x:v>Office Supplies</x:v>
      </x:c>
      <x:c r="K77" s="8" t="n">
        <x:v>1</x:v>
      </x:c>
      <x:c r="L77" s="9" t="n">
        <x:f>IFERROR(INDEX('Lookup Tables'!$I$5:$I$16,MATCH(H77,'Lookup Tables'!$F$5:$F$16,0)),0)</x:f>
        <x:v>699</x:v>
      </x:c>
      <x:c r="M77" s="23" t="n">
        <x:f>IF('Raw Data'!M77="",0,'Raw Data'!M77)</x:f>
        <x:v>0.2</x:v>
      </x:c>
      <x:c r="N77" s="9" t="n">
        <x:f>IF(S77="Completed",K77*L77*(1-M77),0)</x:f>
        <x:v>559.2</x:v>
      </x:c>
      <x:c r="O77" s="9" t="n">
        <x:f>IFERROR(INDEX('Lookup Tables'!$J$5:$J$16,MATCH(H77,'Lookup Tables'!$F$5:$F$16,0)),0)</x:f>
        <x:v>390</x:v>
      </x:c>
      <x:c r="P77" s="9" t="n">
        <x:f>IF(S77="Completed",K77*O77,0)</x:f>
        <x:v>390</x:v>
      </x:c>
      <x:c r="Q77" s="9" t="n">
        <x:f>N77-P77</x:f>
        <x:v>169.20000000000005</x:v>
      </x:c>
      <x:c r="R77" s="8" t="str">
        <x:f>IF(LOWER('Raw Data'!N77)="upi","UPI",'Raw Data'!N77)</x:f>
        <x:v>Credit Card</x:v>
      </x:c>
      <x:c r="S77" s="8" t="str">
        <x:v>Completed</x:v>
      </x:c>
      <x:c r="T77" s="8" t="str">
        <x:f>TEXT(B77,"mmm yyyy")</x:f>
        <x:v>Nov 2025</x:v>
      </x:c>
      <x:c r="U77" s="8" t="n">
        <x:f>YEAR(B77)</x:f>
        <x:v>2025</x:v>
      </x:c>
    </x:row>
    <x:row r="78">
      <x:c r="A78" s="8" t="str">
        <x:v>ORD-0074</x:v>
      </x:c>
      <x:c r="B78" s="22" t="n">
        <x:v>45938.96100418981</x:v>
      </x:c>
      <x:c r="C78" s="8" t="str">
        <x:v>CUS-069</x:v>
      </x:c>
      <x:c r="D78" s="8" t="str">
        <x:f>IFERROR(INDEX('Lookup Tables'!$B$5:$B$84,MATCH(C78,'Lookup Tables'!$A$5:$A$84,0)),"Unknown Customer")</x:f>
        <x:v>Rohan Das 4</x:v>
      </x:c>
      <x:c r="E78" s="8" t="str">
        <x:f>IFERROR(INDEX('Lookup Tables'!$C$5:$C$84,MATCH(C78,'Lookup Tables'!$A$5:$A$84,0)),"Unknown")</x:f>
        <x:v>Small Business</x:v>
      </x:c>
      <x:c r="F78" s="8" t="str">
        <x:v>Ahmedabad</x:v>
      </x:c>
      <x:c r="G78" s="8" t="str">
        <x:f>IFERROR(INDEX('Lookup Tables'!$N$5:$N$14,MATCH(F78,'Lookup Tables'!$M$5:$M$14,0)),"Unknown")</x:f>
        <x:v>West</x:v>
      </x:c>
      <x:c r="H78" s="8" t="str">
        <x:v>PRD-002</x:v>
      </x:c>
      <x:c r="I78" s="8" t="str">
        <x:f>IFERROR(INDEX('Lookup Tables'!$G$5:$G$16,MATCH(H78,'Lookup Tables'!$F$5:$F$16,0)),"Unknown Product")</x:f>
        <x:v>Bluetooth Headphones</x:v>
      </x:c>
      <x:c r="J78" s="8" t="str">
        <x:f>IFERROR(INDEX('Lookup Tables'!$H$5:$H$16,MATCH(H78,'Lookup Tables'!$F$5:$F$16,0)),"Unknown")</x:f>
        <x:v>Electronics</x:v>
      </x:c>
      <x:c r="K78" s="8" t="n">
        <x:v>1</x:v>
      </x:c>
      <x:c r="L78" s="9" t="n">
        <x:f>IFERROR(INDEX('Lookup Tables'!$I$5:$I$16,MATCH(H78,'Lookup Tables'!$F$5:$F$16,0)),0)</x:f>
        <x:v>2499</x:v>
      </x:c>
      <x:c r="M78" s="23" t="n">
        <x:f>IF('Raw Data'!M78="",0,'Raw Data'!M78)</x:f>
        <x:v>0.05</x:v>
      </x:c>
      <x:c r="N78" s="9" t="n">
        <x:f>IF(S78="Completed",K78*L78*(1-M78),0)</x:f>
        <x:v>2374.0499999999997</x:v>
      </x:c>
      <x:c r="O78" s="9" t="n">
        <x:f>IFERROR(INDEX('Lookup Tables'!$J$5:$J$16,MATCH(H78,'Lookup Tables'!$F$5:$F$16,0)),0)</x:f>
        <x:v>1620</x:v>
      </x:c>
      <x:c r="P78" s="9" t="n">
        <x:f>IF(S78="Completed",K78*O78,0)</x:f>
        <x:v>1620</x:v>
      </x:c>
      <x:c r="Q78" s="9" t="n">
        <x:f>N78-P78</x:f>
        <x:v>754.0499999999997</x:v>
      </x:c>
      <x:c r="R78" s="8" t="str">
        <x:f>IF(LOWER('Raw Data'!N78)="upi","UPI",'Raw Data'!N78)</x:f>
        <x:v>Cash on Delivery</x:v>
      </x:c>
      <x:c r="S78" s="8" t="str">
        <x:v>Completed</x:v>
      </x:c>
      <x:c r="T78" s="8" t="str">
        <x:f>TEXT(B78,"mmm yyyy")</x:f>
        <x:v>Oct 2025</x:v>
      </x:c>
      <x:c r="U78" s="8" t="n">
        <x:f>YEAR(B78)</x:f>
        <x:v>2025</x:v>
      </x:c>
    </x:row>
    <x:row r="79">
      <x:c r="A79" s="8" t="str">
        <x:v>ORD-0075</x:v>
      </x:c>
      <x:c r="B79" s="22" t="n">
        <x:v>45927.43419706018</x:v>
      </x:c>
      <x:c r="C79" s="8" t="str">
        <x:v>CUS-034</x:v>
      </x:c>
      <x:c r="D79" s="8" t="str">
        <x:f>IFERROR(INDEX('Lookup Tables'!$B$5:$B$84,MATCH(C79,'Lookup Tables'!$A$5:$A$84,0)),"Unknown Customer")</x:f>
        <x:v>Neha Rao 2</x:v>
      </x:c>
      <x:c r="E79" s="8" t="str">
        <x:f>IFERROR(INDEX('Lookup Tables'!$C$5:$C$84,MATCH(C79,'Lookup Tables'!$A$5:$A$84,0)),"Unknown")</x:f>
        <x:v>Consumer</x:v>
      </x:c>
      <x:c r="F79" s="8" t="str">
        <x:v>Jaipur</x:v>
      </x:c>
      <x:c r="G79" s="8" t="str">
        <x:f>IFERROR(INDEX('Lookup Tables'!$N$5:$N$14,MATCH(F79,'Lookup Tables'!$M$5:$M$14,0)),"Unknown")</x:f>
        <x:v>North</x:v>
      </x:c>
      <x:c r="H79" s="8" t="str">
        <x:v>PRD-010</x:v>
      </x:c>
      <x:c r="I79" s="8" t="str">
        <x:f>IFERROR(INDEX('Lookup Tables'!$G$5:$G$16,MATCH(H79,'Lookup Tables'!$F$5:$F$16,0)),"Unknown Product")</x:f>
        <x:v>Travel Backpack</x:v>
      </x:c>
      <x:c r="J79" s="8" t="str">
        <x:f>IFERROR(INDEX('Lookup Tables'!$H$5:$H$16,MATCH(H79,'Lookup Tables'!$F$5:$F$16,0)),"Unknown")</x:f>
        <x:v>Fashion</x:v>
      </x:c>
      <x:c r="K79" s="8" t="n">
        <x:v>5</x:v>
      </x:c>
      <x:c r="L79" s="9" t="n">
        <x:f>IFERROR(INDEX('Lookup Tables'!$I$5:$I$16,MATCH(H79,'Lookup Tables'!$F$5:$F$16,0)),0)</x:f>
        <x:v>2199</x:v>
      </x:c>
      <x:c r="M79" s="23" t="n">
        <x:f>IF('Raw Data'!M79="",0,'Raw Data'!M79)</x:f>
        <x:v>0</x:v>
      </x:c>
      <x:c r="N79" s="9" t="n">
        <x:f>IF(S79="Completed",K79*L79*(1-M79),0)</x:f>
        <x:v>10995</x:v>
      </x:c>
      <x:c r="O79" s="9" t="n">
        <x:f>IFERROR(INDEX('Lookup Tables'!$J$5:$J$16,MATCH(H79,'Lookup Tables'!$F$5:$F$16,0)),0)</x:f>
        <x:v>1380</x:v>
      </x:c>
      <x:c r="P79" s="9" t="n">
        <x:f>IF(S79="Completed",K79*O79,0)</x:f>
        <x:v>6900</x:v>
      </x:c>
      <x:c r="Q79" s="9" t="n">
        <x:f>N79-P79</x:f>
        <x:v>4095</x:v>
      </x:c>
      <x:c r="R79" s="8" t="str">
        <x:f>IF(LOWER('Raw Data'!N79)="upi","UPI",'Raw Data'!N79)</x:f>
        <x:v>UPI</x:v>
      </x:c>
      <x:c r="S79" s="8" t="str">
        <x:v>Completed</x:v>
      </x:c>
      <x:c r="T79" s="8" t="str">
        <x:f>TEXT(B79,"mmm yyyy")</x:f>
        <x:v>Sep 2025</x:v>
      </x:c>
      <x:c r="U79" s="8" t="n">
        <x:f>YEAR(B79)</x:f>
        <x:v>2025</x:v>
      </x:c>
    </x:row>
    <x:row r="80">
      <x:c r="A80" s="8" t="str">
        <x:v>ORD-0076</x:v>
      </x:c>
      <x:c r="B80" s="22" t="n">
        <x:v>45889.26638930556</x:v>
      </x:c>
      <x:c r="C80" s="8" t="str">
        <x:v>CUS-072</x:v>
      </x:c>
      <x:c r="D80" s="8" t="str">
        <x:f>IFERROR(INDEX('Lookup Tables'!$B$5:$B$84,MATCH(C80,'Lookup Tables'!$A$5:$A$84,0)),"Unknown Customer")</x:f>
        <x:v>Priya Kapoor 4</x:v>
      </x:c>
      <x:c r="E80" s="8" t="str">
        <x:f>IFERROR(INDEX('Lookup Tables'!$C$5:$C$84,MATCH(C80,'Lookup Tables'!$A$5:$A$84,0)),"Unknown")</x:f>
        <x:v>Small Business</x:v>
      </x:c>
      <x:c r="F80" s="8" t="str">
        <x:v>Bengaluru</x:v>
      </x:c>
      <x:c r="G80" s="8" t="str">
        <x:f>IFERROR(INDEX('Lookup Tables'!$N$5:$N$14,MATCH(F80,'Lookup Tables'!$M$5:$M$14,0)),"Unknown")</x:f>
        <x:v>South</x:v>
      </x:c>
      <x:c r="H80" s="8" t="str">
        <x:v>PRD-001</x:v>
      </x:c>
      <x:c r="I80" s="8" t="str">
        <x:f>IFERROR(INDEX('Lookup Tables'!$G$5:$G$16,MATCH(H80,'Lookup Tables'!$F$5:$F$16,0)),"Unknown Product")</x:f>
        <x:v>Wireless Mouse</x:v>
      </x:c>
      <x:c r="J80" s="8" t="str">
        <x:f>IFERROR(INDEX('Lookup Tables'!$H$5:$H$16,MATCH(H80,'Lookup Tables'!$F$5:$F$16,0)),"Unknown")</x:f>
        <x:v>Electronics</x:v>
      </x:c>
      <x:c r="K80" s="8" t="n">
        <x:v>2</x:v>
      </x:c>
      <x:c r="L80" s="9" t="n">
        <x:f>IFERROR(INDEX('Lookup Tables'!$I$5:$I$16,MATCH(H80,'Lookup Tables'!$F$5:$F$16,0)),0)</x:f>
        <x:v>899</x:v>
      </x:c>
      <x:c r="M80" s="23" t="n">
        <x:f>IF('Raw Data'!M80="",0,'Raw Data'!M80)</x:f>
        <x:v>0.15</x:v>
      </x:c>
      <x:c r="N80" s="9" t="n">
        <x:f>IF(S80="Completed",K80*L80*(1-M80),0)</x:f>
        <x:v>1528.3</x:v>
      </x:c>
      <x:c r="O80" s="9" t="n">
        <x:f>IFERROR(INDEX('Lookup Tables'!$J$5:$J$16,MATCH(H80,'Lookup Tables'!$F$5:$F$16,0)),0)</x:f>
        <x:v>540</x:v>
      </x:c>
      <x:c r="P80" s="9" t="n">
        <x:f>IF(S80="Completed",K80*O80,0)</x:f>
        <x:v>1080</x:v>
      </x:c>
      <x:c r="Q80" s="9" t="n">
        <x:f>N80-P80</x:f>
        <x:v>448.29999999999995</x:v>
      </x:c>
      <x:c r="R80" s="8" t="str">
        <x:f>IF(LOWER('Raw Data'!N80)="upi","UPI",'Raw Data'!N80)</x:f>
        <x:v>Net Banking</x:v>
      </x:c>
      <x:c r="S80" s="8" t="str">
        <x:v>Completed</x:v>
      </x:c>
      <x:c r="T80" s="8" t="str">
        <x:f>TEXT(B80,"mmm yyyy")</x:f>
        <x:v>Aug 2025</x:v>
      </x:c>
      <x:c r="U80" s="8" t="n">
        <x:f>YEAR(B80)</x:f>
        <x:v>2025</x:v>
      </x:c>
    </x:row>
    <x:row r="81">
      <x:c r="A81" s="8" t="str">
        <x:v>ORD-0077</x:v>
      </x:c>
      <x:c r="B81" s="22" t="n">
        <x:v>46002.456803217596</x:v>
      </x:c>
      <x:c r="C81" s="8" t="str">
        <x:v>CUS-045</x:v>
      </x:c>
      <x:c r="D81" s="8" t="str">
        <x:f>IFERROR(INDEX('Lookup Tables'!$B$5:$B$84,MATCH(C81,'Lookup Tables'!$A$5:$A$84,0)),"Unknown Customer")</x:f>
        <x:v>Arjun Verma 3</x:v>
      </x:c>
      <x:c r="E81" s="8" t="str">
        <x:f>IFERROR(INDEX('Lookup Tables'!$C$5:$C$84,MATCH(C81,'Lookup Tables'!$A$5:$A$84,0)),"Unknown")</x:f>
        <x:v>Small Business</x:v>
      </x:c>
      <x:c r="F81" s="8" t="str">
        <x:v>Chennai</x:v>
      </x:c>
      <x:c r="G81" s="8" t="str">
        <x:f>IFERROR(INDEX('Lookup Tables'!$N$5:$N$14,MATCH(F81,'Lookup Tables'!$M$5:$M$14,0)),"Unknown")</x:f>
        <x:v>South</x:v>
      </x:c>
      <x:c r="H81" s="8" t="str">
        <x:v>PRD-005</x:v>
      </x:c>
      <x:c r="I81" s="8" t="str">
        <x:f>IFERROR(INDEX('Lookup Tables'!$G$5:$G$16,MATCH(H81,'Lookup Tables'!$F$5:$F$16,0)),"Unknown Product")</x:f>
        <x:v>Executive Notebook</x:v>
      </x:c>
      <x:c r="J81" s="8" t="str">
        <x:f>IFERROR(INDEX('Lookup Tables'!$H$5:$H$16,MATCH(H81,'Lookup Tables'!$F$5:$F$16,0)),"Unknown")</x:f>
        <x:v>Office Supplies</x:v>
      </x:c>
      <x:c r="K81" s="8" t="n">
        <x:v>2</x:v>
      </x:c>
      <x:c r="L81" s="9" t="n">
        <x:f>IFERROR(INDEX('Lookup Tables'!$I$5:$I$16,MATCH(H81,'Lookup Tables'!$F$5:$F$16,0)),0)</x:f>
        <x:v>349</x:v>
      </x:c>
      <x:c r="M81" s="23" t="n">
        <x:f>IF('Raw Data'!M81="",0,'Raw Data'!M81)</x:f>
        <x:v>0.05</x:v>
      </x:c>
      <x:c r="N81" s="9" t="n">
        <x:f>IF(S81="Completed",K81*L81*(1-M81),0)</x:f>
        <x:v>663.1</x:v>
      </x:c>
      <x:c r="O81" s="9" t="n">
        <x:f>IFERROR(INDEX('Lookup Tables'!$J$5:$J$16,MATCH(H81,'Lookup Tables'!$F$5:$F$16,0)),0)</x:f>
        <x:v>170</x:v>
      </x:c>
      <x:c r="P81" s="9" t="n">
        <x:f>IF(S81="Completed",K81*O81,0)</x:f>
        <x:v>340</x:v>
      </x:c>
      <x:c r="Q81" s="9" t="n">
        <x:f>N81-P81</x:f>
        <x:v>323.1</x:v>
      </x:c>
      <x:c r="R81" s="8" t="str">
        <x:f>IF(LOWER('Raw Data'!N81)="upi","UPI",'Raw Data'!N81)</x:f>
        <x:v>Debit Card</x:v>
      </x:c>
      <x:c r="S81" s="8" t="str">
        <x:v>Completed</x:v>
      </x:c>
      <x:c r="T81" s="8" t="str">
        <x:f>TEXT(B81,"mmm yyyy")</x:f>
        <x:v>Dec 2025</x:v>
      </x:c>
      <x:c r="U81" s="8" t="n">
        <x:f>YEAR(B81)</x:f>
        <x:v>2025</x:v>
      </x:c>
    </x:row>
    <x:row r="82">
      <x:c r="A82" s="8" t="str">
        <x:v>ORD-0078</x:v>
      </x:c>
      <x:c r="B82" s="22" t="n">
        <x:v>45925.38528189815</x:v>
      </x:c>
      <x:c r="C82" s="8" t="str">
        <x:v>CUS-010</x:v>
      </x:c>
      <x:c r="D82" s="8" t="str">
        <x:f>IFERROR(INDEX('Lookup Tables'!$B$5:$B$84,MATCH(C82,'Lookup Tables'!$A$5:$A$84,0)),"Unknown Customer")</x:f>
        <x:v>Saanvi Iyer</x:v>
      </x:c>
      <x:c r="E82" s="8" t="str">
        <x:f>IFERROR(INDEX('Lookup Tables'!$C$5:$C$84,MATCH(C82,'Lookup Tables'!$A$5:$A$84,0)),"Unknown")</x:f>
        <x:v>Consumer</x:v>
      </x:c>
      <x:c r="F82" s="8" t="str">
        <x:v>Jaipur</x:v>
      </x:c>
      <x:c r="G82" s="8" t="str">
        <x:f>IFERROR(INDEX('Lookup Tables'!$N$5:$N$14,MATCH(F82,'Lookup Tables'!$M$5:$M$14,0)),"Unknown")</x:f>
        <x:v>North</x:v>
      </x:c>
      <x:c r="H82" s="8" t="str">
        <x:v>PRD-011</x:v>
      </x:c>
      <x:c r="I82" s="8" t="str">
        <x:f>IFERROR(INDEX('Lookup Tables'!$G$5:$G$16,MATCH(H82,'Lookup Tables'!$F$5:$F$16,0)),"Unknown Product")</x:f>
        <x:v>Classic Wallet</x:v>
      </x:c>
      <x:c r="J82" s="8" t="str">
        <x:f>IFERROR(INDEX('Lookup Tables'!$H$5:$H$16,MATCH(H82,'Lookup Tables'!$F$5:$F$16,0)),"Unknown")</x:f>
        <x:v>Fashion</x:v>
      </x:c>
      <x:c r="K82" s="8" t="n">
        <x:v>4</x:v>
      </x:c>
      <x:c r="L82" s="9" t="n">
        <x:f>IFERROR(INDEX('Lookup Tables'!$I$5:$I$16,MATCH(H82,'Lookup Tables'!$F$5:$F$16,0)),0)</x:f>
        <x:v>1199</x:v>
      </x:c>
      <x:c r="M82" s="23" t="n">
        <x:f>IF('Raw Data'!M82="",0,'Raw Data'!M82)</x:f>
        <x:v>0.2</x:v>
      </x:c>
      <x:c r="N82" s="9" t="n">
        <x:f>IF(S82="Completed",K82*L82*(1-M82),0)</x:f>
        <x:v>0</x:v>
      </x:c>
      <x:c r="O82" s="9" t="n">
        <x:f>IFERROR(INDEX('Lookup Tables'!$J$5:$J$16,MATCH(H82,'Lookup Tables'!$F$5:$F$16,0)),0)</x:f>
        <x:v>690</x:v>
      </x:c>
      <x:c r="P82" s="9" t="n">
        <x:f>IF(S82="Completed",K82*O82,0)</x:f>
        <x:v>0</x:v>
      </x:c>
      <x:c r="Q82" s="9" t="n">
        <x:f>N82-P82</x:f>
        <x:v>0</x:v>
      </x:c>
      <x:c r="R82" s="8" t="str">
        <x:f>IF(LOWER('Raw Data'!N82)="upi","UPI",'Raw Data'!N82)</x:f>
        <x:v>Net Banking</x:v>
      </x:c>
      <x:c r="S82" s="8" t="str">
        <x:v>Cancelled</x:v>
      </x:c>
      <x:c r="T82" s="8" t="str">
        <x:f>TEXT(B82,"mmm yyyy")</x:f>
        <x:v>Sep 2025</x:v>
      </x:c>
      <x:c r="U82" s="8" t="n">
        <x:f>YEAR(B82)</x:f>
        <x:v>2025</x:v>
      </x:c>
    </x:row>
    <x:row r="83">
      <x:c r="A83" s="8" t="str">
        <x:v>ORD-0079</x:v>
      </x:c>
      <x:c r="B83" s="22" t="n">
        <x:v>45716.14669041667</x:v>
      </x:c>
      <x:c r="C83" s="8" t="str">
        <x:v>CUS-046</x:v>
      </x:c>
      <x:c r="D83" s="8" t="str">
        <x:f>IFERROR(INDEX('Lookup Tables'!$B$5:$B$84,MATCH(C83,'Lookup Tables'!$A$5:$A$84,0)),"Unknown Customer")</x:f>
        <x:v>Isha Mehta 3</x:v>
      </x:c>
      <x:c r="E83" s="8" t="str">
        <x:f>IFERROR(INDEX('Lookup Tables'!$C$5:$C$84,MATCH(C83,'Lookup Tables'!$A$5:$A$84,0)),"Unknown")</x:f>
        <x:v>Consumer</x:v>
      </x:c>
      <x:c r="F83" s="8" t="str">
        <x:v>Mumbai</x:v>
      </x:c>
      <x:c r="G83" s="8" t="str">
        <x:f>IFERROR(INDEX('Lookup Tables'!$N$5:$N$14,MATCH(F83,'Lookup Tables'!$M$5:$M$14,0)),"Unknown")</x:f>
        <x:v>West</x:v>
      </x:c>
      <x:c r="H83" s="8" t="str">
        <x:v>PRD-010</x:v>
      </x:c>
      <x:c r="I83" s="8" t="str">
        <x:f>IFERROR(INDEX('Lookup Tables'!$G$5:$G$16,MATCH(H83,'Lookup Tables'!$F$5:$F$16,0)),"Unknown Product")</x:f>
        <x:v>Travel Backpack</x:v>
      </x:c>
      <x:c r="J83" s="8" t="str">
        <x:f>IFERROR(INDEX('Lookup Tables'!$H$5:$H$16,MATCH(H83,'Lookup Tables'!$F$5:$F$16,0)),"Unknown")</x:f>
        <x:v>Fashion</x:v>
      </x:c>
      <x:c r="K83" s="8" t="n">
        <x:v>4</x:v>
      </x:c>
      <x:c r="L83" s="9" t="n">
        <x:f>IFERROR(INDEX('Lookup Tables'!$I$5:$I$16,MATCH(H83,'Lookup Tables'!$F$5:$F$16,0)),0)</x:f>
        <x:v>2199</x:v>
      </x:c>
      <x:c r="M83" s="23" t="n">
        <x:f>IF('Raw Data'!M83="",0,'Raw Data'!M83)</x:f>
        <x:v>0.05</x:v>
      </x:c>
      <x:c r="N83" s="9" t="n">
        <x:f>IF(S83="Completed",K83*L83*(1-M83),0)</x:f>
        <x:v>0</x:v>
      </x:c>
      <x:c r="O83" s="9" t="n">
        <x:f>IFERROR(INDEX('Lookup Tables'!$J$5:$J$16,MATCH(H83,'Lookup Tables'!$F$5:$F$16,0)),0)</x:f>
        <x:v>1380</x:v>
      </x:c>
      <x:c r="P83" s="9" t="n">
        <x:f>IF(S83="Completed",K83*O83,0)</x:f>
        <x:v>0</x:v>
      </x:c>
      <x:c r="Q83" s="9" t="n">
        <x:f>N83-P83</x:f>
        <x:v>0</x:v>
      </x:c>
      <x:c r="R83" s="8" t="str">
        <x:f>IF(LOWER('Raw Data'!N83)="upi","UPI",'Raw Data'!N83)</x:f>
        <x:v>Cash on Delivery</x:v>
      </x:c>
      <x:c r="S83" s="8" t="str">
        <x:v>Returned</x:v>
      </x:c>
      <x:c r="T83" s="8" t="str">
        <x:f>TEXT(B83,"mmm yyyy")</x:f>
        <x:v>Feb 2025</x:v>
      </x:c>
      <x:c r="U83" s="8" t="n">
        <x:f>YEAR(B83)</x:f>
        <x:v>2025</x:v>
      </x:c>
    </x:row>
    <x:row r="84">
      <x:c r="A84" s="8" t="str">
        <x:v>ORD-0080</x:v>
      </x:c>
      <x:c r="B84" s="22" t="n">
        <x:v>45812.75505104167</x:v>
      </x:c>
      <x:c r="C84" s="8" t="str">
        <x:v>CUS-073</x:v>
      </x:c>
      <x:c r="D84" s="8" t="str">
        <x:f>IFERROR(INDEX('Lookup Tables'!$B$5:$B$84,MATCH(C84,'Lookup Tables'!$A$5:$A$84,0)),"Unknown Customer")</x:f>
        <x:v>Rahul Mishra 4</x:v>
      </x:c>
      <x:c r="E84" s="8" t="str">
        <x:f>IFERROR(INDEX('Lookup Tables'!$C$5:$C$84,MATCH(C84,'Lookup Tables'!$A$5:$A$84,0)),"Unknown")</x:f>
        <x:v>Consumer</x:v>
      </x:c>
      <x:c r="F84" s="8" t="str">
        <x:v>Bengaluru</x:v>
      </x:c>
      <x:c r="G84" s="8" t="str">
        <x:f>IFERROR(INDEX('Lookup Tables'!$N$5:$N$14,MATCH(F84,'Lookup Tables'!$M$5:$M$14,0)),"Unknown")</x:f>
        <x:v>South</x:v>
      </x:c>
      <x:c r="H84" s="8" t="str">
        <x:v>PRD-004</x:v>
      </x:c>
      <x:c r="I84" s="8" t="str">
        <x:f>IFERROR(INDEX('Lookup Tables'!$G$5:$G$16,MATCH(H84,'Lookup Tables'!$F$5:$F$16,0)),"Unknown Product")</x:f>
        <x:v>Laptop Stand</x:v>
      </x:c>
      <x:c r="J84" s="8" t="str">
        <x:f>IFERROR(INDEX('Lookup Tables'!$H$5:$H$16,MATCH(H84,'Lookup Tables'!$F$5:$F$16,0)),"Unknown")</x:f>
        <x:v>Office Supplies</x:v>
      </x:c>
      <x:c r="K84" s="8" t="n">
        <x:v>5</x:v>
      </x:c>
      <x:c r="L84" s="9" t="n">
        <x:f>IFERROR(INDEX('Lookup Tables'!$I$5:$I$16,MATCH(H84,'Lookup Tables'!$F$5:$F$16,0)),0)</x:f>
        <x:v>1299</x:v>
      </x:c>
      <x:c r="M84" s="23" t="n">
        <x:f>IF('Raw Data'!M84="",0,'Raw Data'!M84)</x:f>
        <x:v>0</x:v>
      </x:c>
      <x:c r="N84" s="9" t="n">
        <x:f>IF(S84="Completed",K84*L84*(1-M84),0)</x:f>
        <x:v>0</x:v>
      </x:c>
      <x:c r="O84" s="9" t="n">
        <x:f>IFERROR(INDEX('Lookup Tables'!$J$5:$J$16,MATCH(H84,'Lookup Tables'!$F$5:$F$16,0)),0)</x:f>
        <x:v>760</x:v>
      </x:c>
      <x:c r="P84" s="9" t="n">
        <x:f>IF(S84="Completed",K84*O84,0)</x:f>
        <x:v>0</x:v>
      </x:c>
      <x:c r="Q84" s="9" t="n">
        <x:f>N84-P84</x:f>
        <x:v>0</x:v>
      </x:c>
      <x:c r="R84" s="8" t="str">
        <x:f>IF(LOWER('Raw Data'!N84)="upi","UPI",'Raw Data'!N84)</x:f>
        <x:v>Debit Card</x:v>
      </x:c>
      <x:c r="S84" s="8" t="str">
        <x:v>Cancelled</x:v>
      </x:c>
      <x:c r="T84" s="8" t="str">
        <x:f>TEXT(B84,"mmm yyyy")</x:f>
        <x:v>Jun 2025</x:v>
      </x:c>
      <x:c r="U84" s="8" t="n">
        <x:f>YEAR(B84)</x:f>
        <x:v>2025</x:v>
      </x:c>
    </x:row>
    <x:row r="85">
      <x:c r="A85" s="8" t="str">
        <x:v>ORD-0081</x:v>
      </x:c>
      <x:c r="B85" s="22" t="n">
        <x:v>45835.54162650463</x:v>
      </x:c>
      <x:c r="C85" s="8" t="str">
        <x:v>CUS-048</x:v>
      </x:c>
      <x:c r="D85" s="8" t="str">
        <x:f>IFERROR(INDEX('Lookup Tables'!$B$5:$B$84,MATCH(C85,'Lookup Tables'!$A$5:$A$84,0)),"Unknown Customer")</x:f>
        <x:v>Meera Nair 3</x:v>
      </x:c>
      <x:c r="E85" s="8" t="str">
        <x:f>IFERROR(INDEX('Lookup Tables'!$C$5:$C$84,MATCH(C85,'Lookup Tables'!$A$5:$A$84,0)),"Unknown")</x:f>
        <x:v>Small Business</x:v>
      </x:c>
      <x:c r="F85" s="8" t="str">
        <x:v>Chennai</x:v>
      </x:c>
      <x:c r="G85" s="8" t="str">
        <x:f>IFERROR(INDEX('Lookup Tables'!$N$5:$N$14,MATCH(F85,'Lookup Tables'!$M$5:$M$14,0)),"Unknown")</x:f>
        <x:v>South</x:v>
      </x:c>
      <x:c r="H85" s="8" t="str">
        <x:v>PRD-008</x:v>
      </x:c>
      <x:c r="I85" s="8" t="str">
        <x:f>IFERROR(INDEX('Lookup Tables'!$G$5:$G$16,MATCH(H85,'Lookup Tables'!$F$5:$F$16,0)),"Unknown Product")</x:f>
        <x:v>Storage Container Set</x:v>
      </x:c>
      <x:c r="J85" s="8" t="str">
        <x:f>IFERROR(INDEX('Lookup Tables'!$H$5:$H$16,MATCH(H85,'Lookup Tables'!$F$5:$F$16,0)),"Unknown")</x:f>
        <x:v>Home &amp; Kitchen</x:v>
      </x:c>
      <x:c r="K85" s="8" t="n">
        <x:v>1</x:v>
      </x:c>
      <x:c r="L85" s="9" t="n">
        <x:f>IFERROR(INDEX('Lookup Tables'!$I$5:$I$16,MATCH(H85,'Lookup Tables'!$F$5:$F$16,0)),0)</x:f>
        <x:v>999</x:v>
      </x:c>
      <x:c r="M85" s="23" t="n">
        <x:f>IF('Raw Data'!M85="",0,'Raw Data'!M85)</x:f>
        <x:v>0.2</x:v>
      </x:c>
      <x:c r="N85" s="9" t="n">
        <x:f>IF(S85="Completed",K85*L85*(1-M85),0)</x:f>
        <x:v>799.2</x:v>
      </x:c>
      <x:c r="O85" s="9" t="n">
        <x:f>IFERROR(INDEX('Lookup Tables'!$J$5:$J$16,MATCH(H85,'Lookup Tables'!$F$5:$F$16,0)),0)</x:f>
        <x:v>580</x:v>
      </x:c>
      <x:c r="P85" s="9" t="n">
        <x:f>IF(S85="Completed",K85*O85,0)</x:f>
        <x:v>580</x:v>
      </x:c>
      <x:c r="Q85" s="9" t="n">
        <x:f>N85-P85</x:f>
        <x:v>219.20000000000005</x:v>
      </x:c>
      <x:c r="R85" s="8" t="str">
        <x:f>IF(LOWER('Raw Data'!N85)="upi","UPI",'Raw Data'!N85)</x:f>
        <x:v>Cash on Delivery</x:v>
      </x:c>
      <x:c r="S85" s="8" t="str">
        <x:v>Completed</x:v>
      </x:c>
      <x:c r="T85" s="8" t="str">
        <x:f>TEXT(B85,"mmm yyyy")</x:f>
        <x:v>Jun 2025</x:v>
      </x:c>
      <x:c r="U85" s="8" t="n">
        <x:f>YEAR(B85)</x:f>
        <x:v>2025</x:v>
      </x:c>
    </x:row>
    <x:row r="86">
      <x:c r="A86" s="8" t="str">
        <x:v>ORD-0082</x:v>
      </x:c>
      <x:c r="B86" s="22" t="n">
        <x:v>45904.164796377314</x:v>
      </x:c>
      <x:c r="C86" s="8" t="str">
        <x:v>CUS-075</x:v>
      </x:c>
      <x:c r="D86" s="8" t="str">
        <x:f>IFERROR(INDEX('Lookup Tables'!$B$5:$B$84,MATCH(C86,'Lookup Tables'!$A$5:$A$84,0)),"Unknown Customer")</x:f>
        <x:v>Karan Malhotra 4</x:v>
      </x:c>
      <x:c r="E86" s="8" t="str">
        <x:f>IFERROR(INDEX('Lookup Tables'!$C$5:$C$84,MATCH(C86,'Lookup Tables'!$A$5:$A$84,0)),"Unknown")</x:f>
        <x:v>Small Business</x:v>
      </x:c>
      <x:c r="F86" s="8" t="str">
        <x:v>Chennai</x:v>
      </x:c>
      <x:c r="G86" s="8" t="str">
        <x:f>IFERROR(INDEX('Lookup Tables'!$N$5:$N$14,MATCH(F86,'Lookup Tables'!$M$5:$M$14,0)),"Unknown")</x:f>
        <x:v>South</x:v>
      </x:c>
      <x:c r="H86" s="8" t="str">
        <x:v>PRD-007</x:v>
      </x:c>
      <x:c r="I86" s="8" t="str">
        <x:f>IFERROR(INDEX('Lookup Tables'!$G$5:$G$16,MATCH(H86,'Lookup Tables'!$F$5:$F$16,0)),"Unknown Product")</x:f>
        <x:v>Electric Kettle</x:v>
      </x:c>
      <x:c r="J86" s="8" t="str">
        <x:f>IFERROR(INDEX('Lookup Tables'!$H$5:$H$16,MATCH(H86,'Lookup Tables'!$F$5:$F$16,0)),"Unknown")</x:f>
        <x:v>Home &amp; Kitchen</x:v>
      </x:c>
      <x:c r="K86" s="8" t="n">
        <x:v>5</x:v>
      </x:c>
      <x:c r="L86" s="9" t="n">
        <x:f>IFERROR(INDEX('Lookup Tables'!$I$5:$I$16,MATCH(H86,'Lookup Tables'!$F$5:$F$16,0)),0)</x:f>
        <x:v>1699</x:v>
      </x:c>
      <x:c r="M86" s="23" t="n">
        <x:f>IF('Raw Data'!M86="",0,'Raw Data'!M86)</x:f>
        <x:v>0</x:v>
      </x:c>
      <x:c r="N86" s="9" t="n">
        <x:f>IF(S86="Completed",K86*L86*(1-M86),0)</x:f>
        <x:v>0</x:v>
      </x:c>
      <x:c r="O86" s="9" t="n">
        <x:f>IFERROR(INDEX('Lookup Tables'!$J$5:$J$16,MATCH(H86,'Lookup Tables'!$F$5:$F$16,0)),0)</x:f>
        <x:v>1040</x:v>
      </x:c>
      <x:c r="P86" s="9" t="n">
        <x:f>IF(S86="Completed",K86*O86,0)</x:f>
        <x:v>0</x:v>
      </x:c>
      <x:c r="Q86" s="9" t="n">
        <x:f>N86-P86</x:f>
        <x:v>0</x:v>
      </x:c>
      <x:c r="R86" s="8" t="str">
        <x:f>IF(LOWER('Raw Data'!N86)="upi","UPI",'Raw Data'!N86)</x:f>
        <x:v>UPI</x:v>
      </x:c>
      <x:c r="S86" s="8" t="str">
        <x:v>Returned</x:v>
      </x:c>
      <x:c r="T86" s="8" t="str">
        <x:f>TEXT(B86,"mmm yyyy")</x:f>
        <x:v>Sep 2025</x:v>
      </x:c>
      <x:c r="U86" s="8" t="n">
        <x:f>YEAR(B86)</x:f>
        <x:v>2025</x:v>
      </x:c>
    </x:row>
    <x:row r="87">
      <x:c r="A87" s="8" t="str">
        <x:v>ORD-0083</x:v>
      </x:c>
      <x:c r="B87" s="22" t="n">
        <x:v>45852.776795011574</x:v>
      </x:c>
      <x:c r="C87" s="8" t="str">
        <x:v>CUS-035</x:v>
      </x:c>
      <x:c r="D87" s="8" t="str">
        <x:f>IFERROR(INDEX('Lookup Tables'!$B$5:$B$84,MATCH(C87,'Lookup Tables'!$A$5:$A$84,0)),"Unknown Customer")</x:f>
        <x:v>Karan Malhotra 2</x:v>
      </x:c>
      <x:c r="E87" s="8" t="str">
        <x:f>IFERROR(INDEX('Lookup Tables'!$C$5:$C$84,MATCH(C87,'Lookup Tables'!$A$5:$A$84,0)),"Unknown")</x:f>
        <x:v>Corporate</x:v>
      </x:c>
      <x:c r="F87" s="8" t="str">
        <x:v>Kolkata</x:v>
      </x:c>
      <x:c r="G87" s="8" t="str">
        <x:f>IFERROR(INDEX('Lookup Tables'!$N$5:$N$14,MATCH(F87,'Lookup Tables'!$M$5:$M$14,0)),"Unknown")</x:f>
        <x:v>East</x:v>
      </x:c>
      <x:c r="H87" s="8" t="str">
        <x:v>PRD-002</x:v>
      </x:c>
      <x:c r="I87" s="8" t="str">
        <x:f>IFERROR(INDEX('Lookup Tables'!$G$5:$G$16,MATCH(H87,'Lookup Tables'!$F$5:$F$16,0)),"Unknown Product")</x:f>
        <x:v>Bluetooth Headphones</x:v>
      </x:c>
      <x:c r="J87" s="8" t="str">
        <x:f>IFERROR(INDEX('Lookup Tables'!$H$5:$H$16,MATCH(H87,'Lookup Tables'!$F$5:$F$16,0)),"Unknown")</x:f>
        <x:v>Electronics</x:v>
      </x:c>
      <x:c r="K87" s="8" t="n">
        <x:v>4</x:v>
      </x:c>
      <x:c r="L87" s="9" t="n">
        <x:f>IFERROR(INDEX('Lookup Tables'!$I$5:$I$16,MATCH(H87,'Lookup Tables'!$F$5:$F$16,0)),0)</x:f>
        <x:v>2499</x:v>
      </x:c>
      <x:c r="M87" s="23" t="n">
        <x:f>IF('Raw Data'!M87="",0,'Raw Data'!M87)</x:f>
        <x:v>0.1</x:v>
      </x:c>
      <x:c r="N87" s="9" t="n">
        <x:f>IF(S87="Completed",K87*L87*(1-M87),0)</x:f>
        <x:v>0</x:v>
      </x:c>
      <x:c r="O87" s="9" t="n">
        <x:f>IFERROR(INDEX('Lookup Tables'!$J$5:$J$16,MATCH(H87,'Lookup Tables'!$F$5:$F$16,0)),0)</x:f>
        <x:v>1620</x:v>
      </x:c>
      <x:c r="P87" s="9" t="n">
        <x:f>IF(S87="Completed",K87*O87,0)</x:f>
        <x:v>0</x:v>
      </x:c>
      <x:c r="Q87" s="9" t="n">
        <x:f>N87-P87</x:f>
        <x:v>0</x:v>
      </x:c>
      <x:c r="R87" s="8" t="str">
        <x:f>IF(LOWER('Raw Data'!N87)="upi","UPI",'Raw Data'!N87)</x:f>
        <x:v>Cash on Delivery</x:v>
      </x:c>
      <x:c r="S87" s="8" t="str">
        <x:v>Returned</x:v>
      </x:c>
      <x:c r="T87" s="8" t="str">
        <x:f>TEXT(B87,"mmm yyyy")</x:f>
        <x:v>Jul 2025</x:v>
      </x:c>
      <x:c r="U87" s="8" t="n">
        <x:f>YEAR(B87)</x:f>
        <x:v>2025</x:v>
      </x:c>
    </x:row>
    <x:row r="88">
      <x:c r="A88" s="8" t="str">
        <x:v>ORD-0084</x:v>
      </x:c>
      <x:c r="B88" s="22" t="n">
        <x:v>45860.03933847222</x:v>
      </x:c>
      <x:c r="C88" s="8" t="str">
        <x:v>CUS-042</x:v>
      </x:c>
      <x:c r="D88" s="8" t="str">
        <x:f>IFERROR(INDEX('Lookup Tables'!$B$5:$B$84,MATCH(C88,'Lookup Tables'!$A$5:$A$84,0)),"Unknown Customer")</x:f>
        <x:v>Diya Patel 3</x:v>
      </x:c>
      <x:c r="E88" s="8" t="str">
        <x:f>IFERROR(INDEX('Lookup Tables'!$C$5:$C$84,MATCH(C88,'Lookup Tables'!$A$5:$A$84,0)),"Unknown")</x:f>
        <x:v>Small Business</x:v>
      </x:c>
      <x:c r="F88" s="8" t="str">
        <x:v>Bengaluru</x:v>
      </x:c>
      <x:c r="G88" s="8" t="str">
        <x:f>IFERROR(INDEX('Lookup Tables'!$N$5:$N$14,MATCH(F88,'Lookup Tables'!$M$5:$M$14,0)),"Unknown")</x:f>
        <x:v>South</x:v>
      </x:c>
      <x:c r="H88" s="8" t="str">
        <x:v>PRD-001</x:v>
      </x:c>
      <x:c r="I88" s="8" t="str">
        <x:f>IFERROR(INDEX('Lookup Tables'!$G$5:$G$16,MATCH(H88,'Lookup Tables'!$F$5:$F$16,0)),"Unknown Product")</x:f>
        <x:v>Wireless Mouse</x:v>
      </x:c>
      <x:c r="J88" s="8" t="str">
        <x:f>IFERROR(INDEX('Lookup Tables'!$H$5:$H$16,MATCH(H88,'Lookup Tables'!$F$5:$F$16,0)),"Unknown")</x:f>
        <x:v>Electronics</x:v>
      </x:c>
      <x:c r="K88" s="8" t="n">
        <x:v>1</x:v>
      </x:c>
      <x:c r="L88" s="9" t="n">
        <x:f>IFERROR(INDEX('Lookup Tables'!$I$5:$I$16,MATCH(H88,'Lookup Tables'!$F$5:$F$16,0)),0)</x:f>
        <x:v>899</x:v>
      </x:c>
      <x:c r="M88" s="23" t="n">
        <x:f>IF('Raw Data'!M88="",0,'Raw Data'!M88)</x:f>
        <x:v>0</x:v>
      </x:c>
      <x:c r="N88" s="9" t="n">
        <x:f>IF(S88="Completed",K88*L88*(1-M88),0)</x:f>
        <x:v>899</x:v>
      </x:c>
      <x:c r="O88" s="9" t="n">
        <x:f>IFERROR(INDEX('Lookup Tables'!$J$5:$J$16,MATCH(H88,'Lookup Tables'!$F$5:$F$16,0)),0)</x:f>
        <x:v>540</x:v>
      </x:c>
      <x:c r="P88" s="9" t="n">
        <x:f>IF(S88="Completed",K88*O88,0)</x:f>
        <x:v>540</x:v>
      </x:c>
      <x:c r="Q88" s="9" t="n">
        <x:f>N88-P88</x:f>
        <x:v>359</x:v>
      </x:c>
      <x:c r="R88" s="8" t="str">
        <x:f>IF(LOWER('Raw Data'!N88)="upi","UPI",'Raw Data'!N88)</x:f>
        <x:v>Cash on Delivery</x:v>
      </x:c>
      <x:c r="S88" s="8" t="str">
        <x:v>Completed</x:v>
      </x:c>
      <x:c r="T88" s="8" t="str">
        <x:f>TEXT(B88,"mmm yyyy")</x:f>
        <x:v>Jul 2025</x:v>
      </x:c>
      <x:c r="U88" s="8" t="n">
        <x:f>YEAR(B88)</x:f>
        <x:v>2025</x:v>
      </x:c>
    </x:row>
    <x:row r="89">
      <x:c r="A89" s="8" t="str">
        <x:v>ORD-0085</x:v>
      </x:c>
      <x:c r="B89" s="22" t="n">
        <x:v>45719.93120613426</x:v>
      </x:c>
      <x:c r="C89" s="8" t="str">
        <x:v>CUS-052</x:v>
      </x:c>
      <x:c r="D89" s="8" t="str">
        <x:f>IFERROR(INDEX('Lookup Tables'!$B$5:$B$84,MATCH(C89,'Lookup Tables'!$A$5:$A$84,0)),"Unknown Customer")</x:f>
        <x:v>Priya Kapoor 3</x:v>
      </x:c>
      <x:c r="E89" s="8" t="str">
        <x:f>IFERROR(INDEX('Lookup Tables'!$C$5:$C$84,MATCH(C89,'Lookup Tables'!$A$5:$A$84,0)),"Unknown")</x:f>
        <x:v>Consumer</x:v>
      </x:c>
      <x:c r="F89" s="8" t="str">
        <x:v>Kolkata</x:v>
      </x:c>
      <x:c r="G89" s="8" t="str">
        <x:f>IFERROR(INDEX('Lookup Tables'!$N$5:$N$14,MATCH(F89,'Lookup Tables'!$M$5:$M$14,0)),"Unknown")</x:f>
        <x:v>East</x:v>
      </x:c>
      <x:c r="H89" s="8" t="str">
        <x:v>PRD-005</x:v>
      </x:c>
      <x:c r="I89" s="8" t="str">
        <x:f>IFERROR(INDEX('Lookup Tables'!$G$5:$G$16,MATCH(H89,'Lookup Tables'!$F$5:$F$16,0)),"Unknown Product")</x:f>
        <x:v>Executive Notebook</x:v>
      </x:c>
      <x:c r="J89" s="8" t="str">
        <x:f>IFERROR(INDEX('Lookup Tables'!$H$5:$H$16,MATCH(H89,'Lookup Tables'!$F$5:$F$16,0)),"Unknown")</x:f>
        <x:v>Office Supplies</x:v>
      </x:c>
      <x:c r="K89" s="8" t="n">
        <x:v>4</x:v>
      </x:c>
      <x:c r="L89" s="9" t="n">
        <x:f>IFERROR(INDEX('Lookup Tables'!$I$5:$I$16,MATCH(H89,'Lookup Tables'!$F$5:$F$16,0)),0)</x:f>
        <x:v>349</x:v>
      </x:c>
      <x:c r="M89" s="23" t="n">
        <x:f>IF('Raw Data'!M89="",0,'Raw Data'!M89)</x:f>
        <x:v>0.2</x:v>
      </x:c>
      <x:c r="N89" s="9" t="n">
        <x:f>IF(S89="Completed",K89*L89*(1-M89),0)</x:f>
        <x:v>1116.8</x:v>
      </x:c>
      <x:c r="O89" s="9" t="n">
        <x:f>IFERROR(INDEX('Lookup Tables'!$J$5:$J$16,MATCH(H89,'Lookup Tables'!$F$5:$F$16,0)),0)</x:f>
        <x:v>170</x:v>
      </x:c>
      <x:c r="P89" s="9" t="n">
        <x:f>IF(S89="Completed",K89*O89,0)</x:f>
        <x:v>680</x:v>
      </x:c>
      <x:c r="Q89" s="9" t="n">
        <x:f>N89-P89</x:f>
        <x:v>436.79999999999995</x:v>
      </x:c>
      <x:c r="R89" s="8" t="str">
        <x:f>IF(LOWER('Raw Data'!N89)="upi","UPI",'Raw Data'!N89)</x:f>
        <x:v>UPI</x:v>
      </x:c>
      <x:c r="S89" s="8" t="str">
        <x:v>Completed</x:v>
      </x:c>
      <x:c r="T89" s="8" t="str">
        <x:f>TEXT(B89,"mmm yyyy")</x:f>
        <x:v>Mar 2025</x:v>
      </x:c>
      <x:c r="U89" s="8" t="n">
        <x:f>YEAR(B89)</x:f>
        <x:v>2025</x:v>
      </x:c>
    </x:row>
    <x:row r="90">
      <x:c r="A90" s="8" t="str">
        <x:v>ORD-0086</x:v>
      </x:c>
      <x:c r="B90" s="22" t="n">
        <x:v>45940.52326271991</x:v>
      </x:c>
      <x:c r="C90" s="8" t="str">
        <x:v>CUS-016</x:v>
      </x:c>
      <x:c r="D90" s="8" t="str">
        <x:f>IFERROR(INDEX('Lookup Tables'!$B$5:$B$84,MATCH(C90,'Lookup Tables'!$A$5:$A$84,0)),"Unknown Customer")</x:f>
        <x:v>Pooja Saxena</x:v>
      </x:c>
      <x:c r="E90" s="8" t="str">
        <x:f>IFERROR(INDEX('Lookup Tables'!$C$5:$C$84,MATCH(C90,'Lookup Tables'!$A$5:$A$84,0)),"Unknown")</x:f>
        <x:v>Consumer</x:v>
      </x:c>
      <x:c r="F90" s="8" t="str">
        <x:v>Chennai</x:v>
      </x:c>
      <x:c r="G90" s="8" t="str">
        <x:f>IFERROR(INDEX('Lookup Tables'!$N$5:$N$14,MATCH(F90,'Lookup Tables'!$M$5:$M$14,0)),"Unknown")</x:f>
        <x:v>South</x:v>
      </x:c>
      <x:c r="H90" s="8" t="str">
        <x:v>PRD-008</x:v>
      </x:c>
      <x:c r="I90" s="8" t="str">
        <x:f>IFERROR(INDEX('Lookup Tables'!$G$5:$G$16,MATCH(H90,'Lookup Tables'!$F$5:$F$16,0)),"Unknown Product")</x:f>
        <x:v>Storage Container Set</x:v>
      </x:c>
      <x:c r="J90" s="8" t="str">
        <x:f>IFERROR(INDEX('Lookup Tables'!$H$5:$H$16,MATCH(H90,'Lookup Tables'!$F$5:$F$16,0)),"Unknown")</x:f>
        <x:v>Home &amp; Kitchen</x:v>
      </x:c>
      <x:c r="K90" s="8" t="n">
        <x:v>4</x:v>
      </x:c>
      <x:c r="L90" s="9" t="n">
        <x:f>IFERROR(INDEX('Lookup Tables'!$I$5:$I$16,MATCH(H90,'Lookup Tables'!$F$5:$F$16,0)),0)</x:f>
        <x:v>999</x:v>
      </x:c>
      <x:c r="M90" s="23" t="n">
        <x:f>IF('Raw Data'!M90="",0,'Raw Data'!M90)</x:f>
        <x:v>0</x:v>
      </x:c>
      <x:c r="N90" s="9" t="n">
        <x:f>IF(S90="Completed",K90*L90*(1-M90),0)</x:f>
        <x:v>0</x:v>
      </x:c>
      <x:c r="O90" s="9" t="n">
        <x:f>IFERROR(INDEX('Lookup Tables'!$J$5:$J$16,MATCH(H90,'Lookup Tables'!$F$5:$F$16,0)),0)</x:f>
        <x:v>580</x:v>
      </x:c>
      <x:c r="P90" s="9" t="n">
        <x:f>IF(S90="Completed",K90*O90,0)</x:f>
        <x:v>0</x:v>
      </x:c>
      <x:c r="Q90" s="9" t="n">
        <x:f>N90-P90</x:f>
        <x:v>0</x:v>
      </x:c>
      <x:c r="R90" s="8" t="str">
        <x:f>IF(LOWER('Raw Data'!N90)="upi","UPI",'Raw Data'!N90)</x:f>
        <x:v>Debit Card</x:v>
      </x:c>
      <x:c r="S90" s="8" t="str">
        <x:v>Cancelled</x:v>
      </x:c>
      <x:c r="T90" s="8" t="str">
        <x:f>TEXT(B90,"mmm yyyy")</x:f>
        <x:v>Oct 2025</x:v>
      </x:c>
      <x:c r="U90" s="8" t="n">
        <x:f>YEAR(B90)</x:f>
        <x:v>2025</x:v>
      </x:c>
    </x:row>
    <x:row r="91">
      <x:c r="A91" s="8" t="str">
        <x:v>ORD-0087</x:v>
      </x:c>
      <x:c r="B91" s="22" t="n">
        <x:v>45700.35270304398</x:v>
      </x:c>
      <x:c r="C91" s="8" t="str">
        <x:v>CUS-039</x:v>
      </x:c>
      <x:c r="D91" s="8" t="str">
        <x:f>IFERROR(INDEX('Lookup Tables'!$B$5:$B$84,MATCH(C91,'Lookup Tables'!$A$5:$A$84,0)),"Unknown Customer")</x:f>
        <x:v>Siddharth Jain 2</x:v>
      </x:c>
      <x:c r="E91" s="8" t="str">
        <x:f>IFERROR(INDEX('Lookup Tables'!$C$5:$C$84,MATCH(C91,'Lookup Tables'!$A$5:$A$84,0)),"Unknown")</x:f>
        <x:v>Small Business</x:v>
      </x:c>
      <x:c r="F91" s="8" t="str">
        <x:v>Pune</x:v>
      </x:c>
      <x:c r="G91" s="8" t="str">
        <x:f>IFERROR(INDEX('Lookup Tables'!$N$5:$N$14,MATCH(F91,'Lookup Tables'!$M$5:$M$14,0)),"Unknown")</x:f>
        <x:v>West</x:v>
      </x:c>
      <x:c r="H91" s="8" t="str">
        <x:v>PRD-012</x:v>
      </x:c>
      <x:c r="I91" s="8" t="str">
        <x:f>IFERROR(INDEX('Lookup Tables'!$G$5:$G$16,MATCH(H91,'Lookup Tables'!$F$5:$F$16,0)),"Unknown Product")</x:f>
        <x:v>Stainless Water Bottle</x:v>
      </x:c>
      <x:c r="J91" s="8" t="str">
        <x:f>IFERROR(INDEX('Lookup Tables'!$H$5:$H$16,MATCH(H91,'Lookup Tables'!$F$5:$F$16,0)),"Unknown")</x:f>
        <x:v>Lifestyle</x:v>
      </x:c>
      <x:c r="K91" s="8" t="n">
        <x:v>2</x:v>
      </x:c>
      <x:c r="L91" s="9" t="n">
        <x:f>IFERROR(INDEX('Lookup Tables'!$I$5:$I$16,MATCH(H91,'Lookup Tables'!$F$5:$F$16,0)),0)</x:f>
        <x:v>799</x:v>
      </x:c>
      <x:c r="M91" s="23" t="n">
        <x:f>IF('Raw Data'!M91="",0,'Raw Data'!M91)</x:f>
        <x:v>0.2</x:v>
      </x:c>
      <x:c r="N91" s="9" t="n">
        <x:f>IF(S91="Completed",K91*L91*(1-M91),0)</x:f>
        <x:v>0</x:v>
      </x:c>
      <x:c r="O91" s="9" t="n">
        <x:f>IFERROR(INDEX('Lookup Tables'!$J$5:$J$16,MATCH(H91,'Lookup Tables'!$F$5:$F$16,0)),0)</x:f>
        <x:v>410</x:v>
      </x:c>
      <x:c r="P91" s="9" t="n">
        <x:f>IF(S91="Completed",K91*O91,0)</x:f>
        <x:v>0</x:v>
      </x:c>
      <x:c r="Q91" s="9" t="n">
        <x:f>N91-P91</x:f>
        <x:v>0</x:v>
      </x:c>
      <x:c r="R91" s="8" t="str">
        <x:f>IF(LOWER('Raw Data'!N91)="upi","UPI",'Raw Data'!N91)</x:f>
        <x:v>Credit Card</x:v>
      </x:c>
      <x:c r="S91" s="8" t="str">
        <x:v>Cancelled</x:v>
      </x:c>
      <x:c r="T91" s="8" t="str">
        <x:f>TEXT(B91,"mmm yyyy")</x:f>
        <x:v>Feb 2025</x:v>
      </x:c>
      <x:c r="U91" s="8" t="n">
        <x:f>YEAR(B91)</x:f>
        <x:v>2025</x:v>
      </x:c>
    </x:row>
    <x:row r="92">
      <x:c r="A92" s="8" t="str">
        <x:v>ORD-0088</x:v>
      </x:c>
      <x:c r="B92" s="22" t="n">
        <x:v>45945.45888885417</x:v>
      </x:c>
      <x:c r="C92" s="8" t="str">
        <x:v>CUS-017</x:v>
      </x:c>
      <x:c r="D92" s="8" t="str">
        <x:f>IFERROR(INDEX('Lookup Tables'!$B$5:$B$84,MATCH(C92,'Lookup Tables'!$A$5:$A$84,0)),"Unknown Customer")</x:f>
        <x:v>Vikram Yadav</x:v>
      </x:c>
      <x:c r="E92" s="8" t="str">
        <x:f>IFERROR(INDEX('Lookup Tables'!$C$5:$C$84,MATCH(C92,'Lookup Tables'!$A$5:$A$84,0)),"Unknown")</x:f>
        <x:v>Corporate</x:v>
      </x:c>
      <x:c r="F92" s="8" t="str">
        <x:v>Delhi</x:v>
      </x:c>
      <x:c r="G92" s="8" t="str">
        <x:f>IFERROR(INDEX('Lookup Tables'!$N$5:$N$14,MATCH(F92,'Lookup Tables'!$M$5:$M$14,0)),"Unknown")</x:f>
        <x:v>North</x:v>
      </x:c>
      <x:c r="H92" s="8" t="str">
        <x:v>PRD-007</x:v>
      </x:c>
      <x:c r="I92" s="8" t="str">
        <x:f>IFERROR(INDEX('Lookup Tables'!$G$5:$G$16,MATCH(H92,'Lookup Tables'!$F$5:$F$16,0)),"Unknown Product")</x:f>
        <x:v>Electric Kettle</x:v>
      </x:c>
      <x:c r="J92" s="8" t="str">
        <x:f>IFERROR(INDEX('Lookup Tables'!$H$5:$H$16,MATCH(H92,'Lookup Tables'!$F$5:$F$16,0)),"Unknown")</x:f>
        <x:v>Home &amp; Kitchen</x:v>
      </x:c>
      <x:c r="K92" s="8" t="n">
        <x:v>1</x:v>
      </x:c>
      <x:c r="L92" s="9" t="n">
        <x:f>IFERROR(INDEX('Lookup Tables'!$I$5:$I$16,MATCH(H92,'Lookup Tables'!$F$5:$F$16,0)),0)</x:f>
        <x:v>1699</x:v>
      </x:c>
      <x:c r="M92" s="23" t="n">
        <x:f>IF('Raw Data'!M92="",0,'Raw Data'!M92)</x:f>
        <x:v>0.05</x:v>
      </x:c>
      <x:c r="N92" s="9" t="n">
        <x:f>IF(S92="Completed",K92*L92*(1-M92),0)</x:f>
        <x:v>1614.05</x:v>
      </x:c>
      <x:c r="O92" s="9" t="n">
        <x:f>IFERROR(INDEX('Lookup Tables'!$J$5:$J$16,MATCH(H92,'Lookup Tables'!$F$5:$F$16,0)),0)</x:f>
        <x:v>1040</x:v>
      </x:c>
      <x:c r="P92" s="9" t="n">
        <x:f>IF(S92="Completed",K92*O92,0)</x:f>
        <x:v>1040</x:v>
      </x:c>
      <x:c r="Q92" s="9" t="n">
        <x:f>N92-P92</x:f>
        <x:v>574.05</x:v>
      </x:c>
      <x:c r="R92" s="8" t="str">
        <x:f>IF(LOWER('Raw Data'!N92)="upi","UPI",'Raw Data'!N92)</x:f>
        <x:v>Credit Card</x:v>
      </x:c>
      <x:c r="S92" s="8" t="str">
        <x:v>Completed</x:v>
      </x:c>
      <x:c r="T92" s="8" t="str">
        <x:f>TEXT(B92,"mmm yyyy")</x:f>
        <x:v>Oct 2025</x:v>
      </x:c>
      <x:c r="U92" s="8" t="n">
        <x:f>YEAR(B92)</x:f>
        <x:v>2025</x:v>
      </x:c>
    </x:row>
    <x:row r="93">
      <x:c r="A93" s="8" t="str">
        <x:v>ORD-0089</x:v>
      </x:c>
      <x:c r="B93" s="22" t="n">
        <x:v>45881.54279212963</x:v>
      </x:c>
      <x:c r="C93" s="8" t="str">
        <x:v>CUS-044</x:v>
      </x:c>
      <x:c r="D93" s="8" t="str">
        <x:f>IFERROR(INDEX('Lookup Tables'!$B$5:$B$84,MATCH(C93,'Lookup Tables'!$A$5:$A$84,0)),"Unknown Customer")</x:f>
        <x:v>Ananya Gupta 3</x:v>
      </x:c>
      <x:c r="E93" s="8" t="str">
        <x:f>IFERROR(INDEX('Lookup Tables'!$C$5:$C$84,MATCH(C93,'Lookup Tables'!$A$5:$A$84,0)),"Unknown")</x:f>
        <x:v>Corporate</x:v>
      </x:c>
      <x:c r="F93" s="8" t="str">
        <x:v>Jaipur</x:v>
      </x:c>
      <x:c r="G93" s="8" t="str">
        <x:f>IFERROR(INDEX('Lookup Tables'!$N$5:$N$14,MATCH(F93,'Lookup Tables'!$M$5:$M$14,0)),"Unknown")</x:f>
        <x:v>North</x:v>
      </x:c>
      <x:c r="H93" s="8" t="str">
        <x:v>PRD-001</x:v>
      </x:c>
      <x:c r="I93" s="8" t="str">
        <x:f>IFERROR(INDEX('Lookup Tables'!$G$5:$G$16,MATCH(H93,'Lookup Tables'!$F$5:$F$16,0)),"Unknown Product")</x:f>
        <x:v>Wireless Mouse</x:v>
      </x:c>
      <x:c r="J93" s="8" t="str">
        <x:f>IFERROR(INDEX('Lookup Tables'!$H$5:$H$16,MATCH(H93,'Lookup Tables'!$F$5:$F$16,0)),"Unknown")</x:f>
        <x:v>Electronics</x:v>
      </x:c>
      <x:c r="K93" s="8" t="n">
        <x:v>4</x:v>
      </x:c>
      <x:c r="L93" s="9" t="n">
        <x:f>IFERROR(INDEX('Lookup Tables'!$I$5:$I$16,MATCH(H93,'Lookup Tables'!$F$5:$F$16,0)),0)</x:f>
        <x:v>899</x:v>
      </x:c>
      <x:c r="M93" s="23" t="n">
        <x:f>IF('Raw Data'!M93="",0,'Raw Data'!M93)</x:f>
        <x:v>0.2</x:v>
      </x:c>
      <x:c r="N93" s="9" t="n">
        <x:f>IF(S93="Completed",K93*L93*(1-M93),0)</x:f>
        <x:v>2876.8</x:v>
      </x:c>
      <x:c r="O93" s="9" t="n">
        <x:f>IFERROR(INDEX('Lookup Tables'!$J$5:$J$16,MATCH(H93,'Lookup Tables'!$F$5:$F$16,0)),0)</x:f>
        <x:v>540</x:v>
      </x:c>
      <x:c r="P93" s="9" t="n">
        <x:f>IF(S93="Completed",K93*O93,0)</x:f>
        <x:v>2160</x:v>
      </x:c>
      <x:c r="Q93" s="9" t="n">
        <x:f>N93-P93</x:f>
        <x:v>716.8000000000002</x:v>
      </x:c>
      <x:c r="R93" s="8" t="str">
        <x:f>IF(LOWER('Raw Data'!N93)="upi","UPI",'Raw Data'!N93)</x:f>
        <x:v>UPI</x:v>
      </x:c>
      <x:c r="S93" s="8" t="str">
        <x:v>Completed</x:v>
      </x:c>
      <x:c r="T93" s="8" t="str">
        <x:f>TEXT(B93,"mmm yyyy")</x:f>
        <x:v>Aug 2025</x:v>
      </x:c>
      <x:c r="U93" s="8" t="n">
        <x:f>YEAR(B93)</x:f>
        <x:v>2025</x:v>
      </x:c>
    </x:row>
    <x:row r="94">
      <x:c r="A94" s="8" t="str">
        <x:v>ORD-0090</x:v>
      </x:c>
      <x:c r="B94" s="22" t="n">
        <x:v>46020.944793159724</x:v>
      </x:c>
      <x:c r="C94" s="8" t="str">
        <x:v>CUS-054</x:v>
      </x:c>
      <x:c r="D94" s="8" t="str">
        <x:f>IFERROR(INDEX('Lookup Tables'!$B$5:$B$84,MATCH(C94,'Lookup Tables'!$A$5:$A$84,0)),"Unknown Customer")</x:f>
        <x:v>Neha Rao 3</x:v>
      </x:c>
      <x:c r="E94" s="8" t="str">
        <x:f>IFERROR(INDEX('Lookup Tables'!$C$5:$C$84,MATCH(C94,'Lookup Tables'!$A$5:$A$84,0)),"Unknown")</x:f>
        <x:v>Small Business</x:v>
      </x:c>
      <x:c r="F94" s="8" t="str">
        <x:v>Kolkata</x:v>
      </x:c>
      <x:c r="G94" s="8" t="str">
        <x:f>IFERROR(INDEX('Lookup Tables'!$N$5:$N$14,MATCH(F94,'Lookup Tables'!$M$5:$M$14,0)),"Unknown")</x:f>
        <x:v>East</x:v>
      </x:c>
      <x:c r="H94" s="8" t="str">
        <x:v>PRD-007</x:v>
      </x:c>
      <x:c r="I94" s="8" t="str">
        <x:f>IFERROR(INDEX('Lookup Tables'!$G$5:$G$16,MATCH(H94,'Lookup Tables'!$F$5:$F$16,0)),"Unknown Product")</x:f>
        <x:v>Electric Kettle</x:v>
      </x:c>
      <x:c r="J94" s="8" t="str">
        <x:f>IFERROR(INDEX('Lookup Tables'!$H$5:$H$16,MATCH(H94,'Lookup Tables'!$F$5:$F$16,0)),"Unknown")</x:f>
        <x:v>Home &amp; Kitchen</x:v>
      </x:c>
      <x:c r="K94" s="8" t="n">
        <x:v>3</x:v>
      </x:c>
      <x:c r="L94" s="9" t="n">
        <x:f>IFERROR(INDEX('Lookup Tables'!$I$5:$I$16,MATCH(H94,'Lookup Tables'!$F$5:$F$16,0)),0)</x:f>
        <x:v>1699</x:v>
      </x:c>
      <x:c r="M94" s="23" t="n">
        <x:f>IF('Raw Data'!M94="",0,'Raw Data'!M94)</x:f>
        <x:v>0.2</x:v>
      </x:c>
      <x:c r="N94" s="9" t="n">
        <x:f>IF(S94="Completed",K94*L94*(1-M94),0)</x:f>
        <x:v>0</x:v>
      </x:c>
      <x:c r="O94" s="9" t="n">
        <x:f>IFERROR(INDEX('Lookup Tables'!$J$5:$J$16,MATCH(H94,'Lookup Tables'!$F$5:$F$16,0)),0)</x:f>
        <x:v>1040</x:v>
      </x:c>
      <x:c r="P94" s="9" t="n">
        <x:f>IF(S94="Completed",K94*O94,0)</x:f>
        <x:v>0</x:v>
      </x:c>
      <x:c r="Q94" s="9" t="n">
        <x:f>N94-P94</x:f>
        <x:v>0</x:v>
      </x:c>
      <x:c r="R94" s="8" t="str">
        <x:f>IF(LOWER('Raw Data'!N94)="upi","UPI",'Raw Data'!N94)</x:f>
        <x:v>Net Banking</x:v>
      </x:c>
      <x:c r="S94" s="8" t="str">
        <x:v>Returned</x:v>
      </x:c>
      <x:c r="T94" s="8" t="str">
        <x:f>TEXT(B94,"mmm yyyy")</x:f>
        <x:v>Dec 2025</x:v>
      </x:c>
      <x:c r="U94" s="8" t="n">
        <x:f>YEAR(B94)</x:f>
        <x:v>2025</x:v>
      </x:c>
    </x:row>
    <x:row r="95">
      <x:c r="A95" s="8" t="str">
        <x:v>ORD-0091</x:v>
      </x:c>
      <x:c r="B95" s="22" t="n">
        <x:v>45920.8539903125</x:v>
      </x:c>
      <x:c r="C95" s="8" t="str">
        <x:v>CUS-079</x:v>
      </x:c>
      <x:c r="D95" s="8" t="str">
        <x:f>IFERROR(INDEX('Lookup Tables'!$B$5:$B$84,MATCH(C95,'Lookup Tables'!$A$5:$A$84,0)),"Unknown Customer")</x:f>
        <x:v>Siddharth Jain 4</x:v>
      </x:c>
      <x:c r="E95" s="8" t="str">
        <x:f>IFERROR(INDEX('Lookup Tables'!$C$5:$C$84,MATCH(C95,'Lookup Tables'!$A$5:$A$84,0)),"Unknown")</x:f>
        <x:v>Consumer</x:v>
      </x:c>
      <x:c r="F95" s="8" t="str">
        <x:v>Bengaluru</x:v>
      </x:c>
      <x:c r="G95" s="8" t="str">
        <x:f>IFERROR(INDEX('Lookup Tables'!$N$5:$N$14,MATCH(F95,'Lookup Tables'!$M$5:$M$14,0)),"Unknown")</x:f>
        <x:v>South</x:v>
      </x:c>
      <x:c r="H95" s="8" t="str">
        <x:v>PRD-008</x:v>
      </x:c>
      <x:c r="I95" s="8" t="str">
        <x:f>IFERROR(INDEX('Lookup Tables'!$G$5:$G$16,MATCH(H95,'Lookup Tables'!$F$5:$F$16,0)),"Unknown Product")</x:f>
        <x:v>Storage Container Set</x:v>
      </x:c>
      <x:c r="J95" s="8" t="str">
        <x:f>IFERROR(INDEX('Lookup Tables'!$H$5:$H$16,MATCH(H95,'Lookup Tables'!$F$5:$F$16,0)),"Unknown")</x:f>
        <x:v>Home &amp; Kitchen</x:v>
      </x:c>
      <x:c r="K95" s="8" t="n">
        <x:v>1</x:v>
      </x:c>
      <x:c r="L95" s="9" t="n">
        <x:f>IFERROR(INDEX('Lookup Tables'!$I$5:$I$16,MATCH(H95,'Lookup Tables'!$F$5:$F$16,0)),0)</x:f>
        <x:v>999</x:v>
      </x:c>
      <x:c r="M95" s="23" t="n">
        <x:f>IF('Raw Data'!M95="",0,'Raw Data'!M95)</x:f>
        <x:v>0.15</x:v>
      </x:c>
      <x:c r="N95" s="9" t="n">
        <x:f>IF(S95="Completed",K95*L95*(1-M95),0)</x:f>
        <x:v>0</x:v>
      </x:c>
      <x:c r="O95" s="9" t="n">
        <x:f>IFERROR(INDEX('Lookup Tables'!$J$5:$J$16,MATCH(H95,'Lookup Tables'!$F$5:$F$16,0)),0)</x:f>
        <x:v>580</x:v>
      </x:c>
      <x:c r="P95" s="9" t="n">
        <x:f>IF(S95="Completed",K95*O95,0)</x:f>
        <x:v>0</x:v>
      </x:c>
      <x:c r="Q95" s="9" t="n">
        <x:f>N95-P95</x:f>
        <x:v>0</x:v>
      </x:c>
      <x:c r="R95" s="8" t="str">
        <x:f>IF(LOWER('Raw Data'!N95)="upi","UPI",'Raw Data'!N95)</x:f>
        <x:v>Cash on Delivery</x:v>
      </x:c>
      <x:c r="S95" s="8" t="str">
        <x:v>Returned</x:v>
      </x:c>
      <x:c r="T95" s="8" t="str">
        <x:f>TEXT(B95,"mmm yyyy")</x:f>
        <x:v>Sep 2025</x:v>
      </x:c>
      <x:c r="U95" s="8" t="n">
        <x:f>YEAR(B95)</x:f>
        <x:v>2025</x:v>
      </x:c>
    </x:row>
    <x:row r="96">
      <x:c r="A96" s="8" t="str">
        <x:v>ORD-0092</x:v>
      </x:c>
      <x:c r="B96" s="22" t="n">
        <x:v>45967.88931857639</x:v>
      </x:c>
      <x:c r="C96" s="8" t="str">
        <x:v>CUS-014</x:v>
      </x:c>
      <x:c r="D96" s="8" t="str">
        <x:f>IFERROR(INDEX('Lookup Tables'!$B$5:$B$84,MATCH(C96,'Lookup Tables'!$A$5:$A$84,0)),"Unknown Customer")</x:f>
        <x:v>Neha Rao</x:v>
      </x:c>
      <x:c r="E96" s="8" t="str">
        <x:f>IFERROR(INDEX('Lookup Tables'!$C$5:$C$84,MATCH(C96,'Lookup Tables'!$A$5:$A$84,0)),"Unknown")</x:f>
        <x:v>Corporate</x:v>
      </x:c>
      <x:c r="F96" s="8" t="str">
        <x:v>Kolkata</x:v>
      </x:c>
      <x:c r="G96" s="8" t="str">
        <x:f>IFERROR(INDEX('Lookup Tables'!$N$5:$N$14,MATCH(F96,'Lookup Tables'!$M$5:$M$14,0)),"Unknown")</x:f>
        <x:v>East</x:v>
      </x:c>
      <x:c r="H96" s="8" t="str">
        <x:v>PRD-012</x:v>
      </x:c>
      <x:c r="I96" s="8" t="str">
        <x:f>IFERROR(INDEX('Lookup Tables'!$G$5:$G$16,MATCH(H96,'Lookup Tables'!$F$5:$F$16,0)),"Unknown Product")</x:f>
        <x:v>Stainless Water Bottle</x:v>
      </x:c>
      <x:c r="J96" s="8" t="str">
        <x:f>IFERROR(INDEX('Lookup Tables'!$H$5:$H$16,MATCH(H96,'Lookup Tables'!$F$5:$F$16,0)),"Unknown")</x:f>
        <x:v>Lifestyle</x:v>
      </x:c>
      <x:c r="K96" s="8" t="n">
        <x:v>2</x:v>
      </x:c>
      <x:c r="L96" s="9" t="n">
        <x:f>IFERROR(INDEX('Lookup Tables'!$I$5:$I$16,MATCH(H96,'Lookup Tables'!$F$5:$F$16,0)),0)</x:f>
        <x:v>799</x:v>
      </x:c>
      <x:c r="M96" s="23" t="n">
        <x:f>IF('Raw Data'!M96="",0,'Raw Data'!M96)</x:f>
        <x:v>0.15</x:v>
      </x:c>
      <x:c r="N96" s="9" t="n">
        <x:f>IF(S96="Completed",K96*L96*(1-M96),0)</x:f>
        <x:v>0</x:v>
      </x:c>
      <x:c r="O96" s="9" t="n">
        <x:f>IFERROR(INDEX('Lookup Tables'!$J$5:$J$16,MATCH(H96,'Lookup Tables'!$F$5:$F$16,0)),0)</x:f>
        <x:v>410</x:v>
      </x:c>
      <x:c r="P96" s="9" t="n">
        <x:f>IF(S96="Completed",K96*O96,0)</x:f>
        <x:v>0</x:v>
      </x:c>
      <x:c r="Q96" s="9" t="n">
        <x:f>N96-P96</x:f>
        <x:v>0</x:v>
      </x:c>
      <x:c r="R96" s="8" t="str">
        <x:f>IF(LOWER('Raw Data'!N96)="upi","UPI",'Raw Data'!N96)</x:f>
        <x:v>UPI</x:v>
      </x:c>
      <x:c r="S96" s="8" t="str">
        <x:v>Cancelled</x:v>
      </x:c>
      <x:c r="T96" s="8" t="str">
        <x:f>TEXT(B96,"mmm yyyy")</x:f>
        <x:v>Nov 2025</x:v>
      </x:c>
      <x:c r="U96" s="8" t="n">
        <x:f>YEAR(B96)</x:f>
        <x:v>2025</x:v>
      </x:c>
    </x:row>
    <x:row r="97">
      <x:c r="A97" s="8" t="str">
        <x:v>ORD-0093</x:v>
      </x:c>
      <x:c r="B97" s="22" t="n">
        <x:v>45668.96362059028</x:v>
      </x:c>
      <x:c r="C97" s="8" t="str">
        <x:v>CUS-037</x:v>
      </x:c>
      <x:c r="D97" s="8" t="str">
        <x:f>IFERROR(INDEX('Lookup Tables'!$B$5:$B$84,MATCH(C97,'Lookup Tables'!$A$5:$A$84,0)),"Unknown Customer")</x:f>
        <x:v>Vikram Yadav 2</x:v>
      </x:c>
      <x:c r="E97" s="8" t="str">
        <x:f>IFERROR(INDEX('Lookup Tables'!$C$5:$C$84,MATCH(C97,'Lookup Tables'!$A$5:$A$84,0)),"Unknown")</x:f>
        <x:v>Consumer</x:v>
      </x:c>
      <x:c r="F97" s="8" t="str">
        <x:v>Hyderabad</x:v>
      </x:c>
      <x:c r="G97" s="8" t="str">
        <x:f>IFERROR(INDEX('Lookup Tables'!$N$5:$N$14,MATCH(F97,'Lookup Tables'!$M$5:$M$14,0)),"Unknown")</x:f>
        <x:v>South</x:v>
      </x:c>
      <x:c r="H97" s="8" t="str">
        <x:v>PRD-001</x:v>
      </x:c>
      <x:c r="I97" s="8" t="str">
        <x:f>IFERROR(INDEX('Lookup Tables'!$G$5:$G$16,MATCH(H97,'Lookup Tables'!$F$5:$F$16,0)),"Unknown Product")</x:f>
        <x:v>Wireless Mouse</x:v>
      </x:c>
      <x:c r="J97" s="8" t="str">
        <x:f>IFERROR(INDEX('Lookup Tables'!$H$5:$H$16,MATCH(H97,'Lookup Tables'!$F$5:$F$16,0)),"Unknown")</x:f>
        <x:v>Electronics</x:v>
      </x:c>
      <x:c r="K97" s="8" t="n">
        <x:v>2</x:v>
      </x:c>
      <x:c r="L97" s="9" t="n">
        <x:f>IFERROR(INDEX('Lookup Tables'!$I$5:$I$16,MATCH(H97,'Lookup Tables'!$F$5:$F$16,0)),0)</x:f>
        <x:v>899</x:v>
      </x:c>
      <x:c r="M97" s="23" t="n">
        <x:f>IF('Raw Data'!M97="",0,'Raw Data'!M97)</x:f>
        <x:v>0.15</x:v>
      </x:c>
      <x:c r="N97" s="9" t="n">
        <x:f>IF(S97="Completed",K97*L97*(1-M97),0)</x:f>
        <x:v>1528.3</x:v>
      </x:c>
      <x:c r="O97" s="9" t="n">
        <x:f>IFERROR(INDEX('Lookup Tables'!$J$5:$J$16,MATCH(H97,'Lookup Tables'!$F$5:$F$16,0)),0)</x:f>
        <x:v>540</x:v>
      </x:c>
      <x:c r="P97" s="9" t="n">
        <x:f>IF(S97="Completed",K97*O97,0)</x:f>
        <x:v>1080</x:v>
      </x:c>
      <x:c r="Q97" s="9" t="n">
        <x:f>N97-P97</x:f>
        <x:v>448.29999999999995</x:v>
      </x:c>
      <x:c r="R97" s="8" t="str">
        <x:f>IF(LOWER('Raw Data'!N97)="upi","UPI",'Raw Data'!N97)</x:f>
        <x:v>Cash on Delivery</x:v>
      </x:c>
      <x:c r="S97" s="8" t="str">
        <x:v>Completed</x:v>
      </x:c>
      <x:c r="T97" s="8" t="str">
        <x:f>TEXT(B97,"mmm yyyy")</x:f>
        <x:v>Jan 2025</x:v>
      </x:c>
      <x:c r="U97" s="8" t="n">
        <x:f>YEAR(B97)</x:f>
        <x:v>2025</x:v>
      </x:c>
    </x:row>
    <x:row r="98">
      <x:c r="A98" s="8" t="str">
        <x:v>ORD-0094</x:v>
      </x:c>
      <x:c r="B98" s="22" t="n">
        <x:v>45947.56822965278</x:v>
      </x:c>
      <x:c r="C98" s="8" t="str">
        <x:v>CUS-064</x:v>
      </x:c>
      <x:c r="D98" s="8" t="str">
        <x:f>IFERROR(INDEX('Lookup Tables'!$B$5:$B$84,MATCH(C98,'Lookup Tables'!$A$5:$A$84,0)),"Unknown Customer")</x:f>
        <x:v>Ananya Gupta 4</x:v>
      </x:c>
      <x:c r="E98" s="8" t="str">
        <x:f>IFERROR(INDEX('Lookup Tables'!$C$5:$C$84,MATCH(C98,'Lookup Tables'!$A$5:$A$84,0)),"Unknown")</x:f>
        <x:v>Consumer</x:v>
      </x:c>
      <x:c r="F98" s="8" t="str">
        <x:v>Lucknow</x:v>
      </x:c>
      <x:c r="G98" s="8" t="str">
        <x:f>IFERROR(INDEX('Lookup Tables'!$N$5:$N$14,MATCH(F98,'Lookup Tables'!$M$5:$M$14,0)),"Unknown")</x:f>
        <x:v>North</x:v>
      </x:c>
      <x:c r="H98" s="8" t="str">
        <x:v>PRD-004</x:v>
      </x:c>
      <x:c r="I98" s="8" t="str">
        <x:f>IFERROR(INDEX('Lookup Tables'!$G$5:$G$16,MATCH(H98,'Lookup Tables'!$F$5:$F$16,0)),"Unknown Product")</x:f>
        <x:v>Laptop Stand</x:v>
      </x:c>
      <x:c r="J98" s="8" t="str">
        <x:f>IFERROR(INDEX('Lookup Tables'!$H$5:$H$16,MATCH(H98,'Lookup Tables'!$F$5:$F$16,0)),"Unknown")</x:f>
        <x:v>Office Supplies</x:v>
      </x:c>
      <x:c r="K98" s="8" t="n">
        <x:v>1</x:v>
      </x:c>
      <x:c r="L98" s="9" t="n">
        <x:f>IFERROR(INDEX('Lookup Tables'!$I$5:$I$16,MATCH(H98,'Lookup Tables'!$F$5:$F$16,0)),0)</x:f>
        <x:v>1299</x:v>
      </x:c>
      <x:c r="M98" s="23" t="n">
        <x:f>IF('Raw Data'!M98="",0,'Raw Data'!M98)</x:f>
        <x:v>0</x:v>
      </x:c>
      <x:c r="N98" s="9" t="n">
        <x:f>IF(S98="Completed",K98*L98*(1-M98),0)</x:f>
        <x:v>0</x:v>
      </x:c>
      <x:c r="O98" s="9" t="n">
        <x:f>IFERROR(INDEX('Lookup Tables'!$J$5:$J$16,MATCH(H98,'Lookup Tables'!$F$5:$F$16,0)),0)</x:f>
        <x:v>760</x:v>
      </x:c>
      <x:c r="P98" s="9" t="n">
        <x:f>IF(S98="Completed",K98*O98,0)</x:f>
        <x:v>0</x:v>
      </x:c>
      <x:c r="Q98" s="9" t="n">
        <x:f>N98-P98</x:f>
        <x:v>0</x:v>
      </x:c>
      <x:c r="R98" s="8" t="str">
        <x:f>IF(LOWER('Raw Data'!N98)="upi","UPI",'Raw Data'!N98)</x:f>
        <x:v>Cash on Delivery</x:v>
      </x:c>
      <x:c r="S98" s="8" t="str">
        <x:v>Cancelled</x:v>
      </x:c>
      <x:c r="T98" s="8" t="str">
        <x:f>TEXT(B98,"mmm yyyy")</x:f>
        <x:v>Oct 2025</x:v>
      </x:c>
      <x:c r="U98" s="8" t="n">
        <x:f>YEAR(B98)</x:f>
        <x:v>2025</x:v>
      </x:c>
    </x:row>
    <x:row r="99">
      <x:c r="A99" s="8" t="str">
        <x:v>ORD-0095</x:v>
      </x:c>
      <x:c r="B99" s="22" t="n">
        <x:v>45693.76054377315</x:v>
      </x:c>
      <x:c r="C99" s="8" t="str">
        <x:v>CUS-051</x:v>
      </x:c>
      <x:c r="D99" s="8" t="str">
        <x:f>IFERROR(INDEX('Lookup Tables'!$B$5:$B$84,MATCH(C99,'Lookup Tables'!$A$5:$A$84,0)),"Unknown Customer")</x:f>
        <x:v>Aditya Joshi 3</x:v>
      </x:c>
      <x:c r="E99" s="8" t="str">
        <x:f>IFERROR(INDEX('Lookup Tables'!$C$5:$C$84,MATCH(C99,'Lookup Tables'!$A$5:$A$84,0)),"Unknown")</x:f>
        <x:v>Small Business</x:v>
      </x:c>
      <x:c r="F99" s="8" t="str">
        <x:v>Mumbai</x:v>
      </x:c>
      <x:c r="G99" s="8" t="str">
        <x:f>IFERROR(INDEX('Lookup Tables'!$N$5:$N$14,MATCH(F99,'Lookup Tables'!$M$5:$M$14,0)),"Unknown")</x:f>
        <x:v>West</x:v>
      </x:c>
      <x:c r="H99" s="8" t="str">
        <x:v>PRD-006</x:v>
      </x:c>
      <x:c r="I99" s="8" t="str">
        <x:f>IFERROR(INDEX('Lookup Tables'!$G$5:$G$16,MATCH(H99,'Lookup Tables'!$F$5:$F$16,0)),"Unknown Product")</x:f>
        <x:v>Desk Organiser</x:v>
      </x:c>
      <x:c r="J99" s="8" t="str">
        <x:f>IFERROR(INDEX('Lookup Tables'!$H$5:$H$16,MATCH(H99,'Lookup Tables'!$F$5:$F$16,0)),"Unknown")</x:f>
        <x:v>Office Supplies</x:v>
      </x:c>
      <x:c r="K99" s="8" t="n">
        <x:v>1</x:v>
      </x:c>
      <x:c r="L99" s="9" t="n">
        <x:f>IFERROR(INDEX('Lookup Tables'!$I$5:$I$16,MATCH(H99,'Lookup Tables'!$F$5:$F$16,0)),0)</x:f>
        <x:v>699</x:v>
      </x:c>
      <x:c r="M99" s="23" t="n">
        <x:f>IF('Raw Data'!M99="",0,'Raw Data'!M99)</x:f>
        <x:v>0.05</x:v>
      </x:c>
      <x:c r="N99" s="9" t="n">
        <x:f>IF(S99="Completed",K99*L99*(1-M99),0)</x:f>
        <x:v>0</x:v>
      </x:c>
      <x:c r="O99" s="9" t="n">
        <x:f>IFERROR(INDEX('Lookup Tables'!$J$5:$J$16,MATCH(H99,'Lookup Tables'!$F$5:$F$16,0)),0)</x:f>
        <x:v>390</x:v>
      </x:c>
      <x:c r="P99" s="9" t="n">
        <x:f>IF(S99="Completed",K99*O99,0)</x:f>
        <x:v>0</x:v>
      </x:c>
      <x:c r="Q99" s="9" t="n">
        <x:f>N99-P99</x:f>
        <x:v>0</x:v>
      </x:c>
      <x:c r="R99" s="8" t="str">
        <x:f>IF(LOWER('Raw Data'!N99)="upi","UPI",'Raw Data'!N99)</x:f>
        <x:v>Net Banking</x:v>
      </x:c>
      <x:c r="S99" s="8" t="str">
        <x:v>Cancelled</x:v>
      </x:c>
      <x:c r="T99" s="8" t="str">
        <x:f>TEXT(B99,"mmm yyyy")</x:f>
        <x:v>Feb 2025</x:v>
      </x:c>
      <x:c r="U99" s="8" t="n">
        <x:f>YEAR(B99)</x:f>
        <x:v>2025</x:v>
      </x:c>
    </x:row>
    <x:row r="100">
      <x:c r="A100" s="8" t="str">
        <x:v>ORD-0096</x:v>
      </x:c>
      <x:c r="B100" s="22" t="n">
        <x:v>45909.0724503125</x:v>
      </x:c>
      <x:c r="C100" s="8" t="str">
        <x:v>CUS-074</x:v>
      </x:c>
      <x:c r="D100" s="8" t="str">
        <x:f>IFERROR(INDEX('Lookup Tables'!$B$5:$B$84,MATCH(C100,'Lookup Tables'!$A$5:$A$84,0)),"Unknown Customer")</x:f>
        <x:v>Neha Rao 4</x:v>
      </x:c>
      <x:c r="E100" s="8" t="str">
        <x:f>IFERROR(INDEX('Lookup Tables'!$C$5:$C$84,MATCH(C100,'Lookup Tables'!$A$5:$A$84,0)),"Unknown")</x:f>
        <x:v>Corporate</x:v>
      </x:c>
      <x:c r="F100" s="8" t="str">
        <x:v>Lucknow</x:v>
      </x:c>
      <x:c r="G100" s="8" t="str">
        <x:f>IFERROR(INDEX('Lookup Tables'!$N$5:$N$14,MATCH(F100,'Lookup Tables'!$M$5:$M$14,0)),"Unknown")</x:f>
        <x:v>North</x:v>
      </x:c>
      <x:c r="H100" s="8" t="str">
        <x:v>PRD-003</x:v>
      </x:c>
      <x:c r="I100" s="8" t="str">
        <x:f>IFERROR(INDEX('Lookup Tables'!$G$5:$G$16,MATCH(H100,'Lookup Tables'!$F$5:$F$16,0)),"Unknown Product")</x:f>
        <x:v>USB-C Hub</x:v>
      </x:c>
      <x:c r="J100" s="8" t="str">
        <x:f>IFERROR(INDEX('Lookup Tables'!$H$5:$H$16,MATCH(H100,'Lookup Tables'!$F$5:$F$16,0)),"Unknown")</x:f>
        <x:v>Electronics</x:v>
      </x:c>
      <x:c r="K100" s="8" t="n">
        <x:v>4</x:v>
      </x:c>
      <x:c r="L100" s="9" t="n">
        <x:f>IFERROR(INDEX('Lookup Tables'!$I$5:$I$16,MATCH(H100,'Lookup Tables'!$F$5:$F$16,0)),0)</x:f>
        <x:v>1899</x:v>
      </x:c>
      <x:c r="M100" s="23" t="n">
        <x:f>IF('Raw Data'!M100="",0,'Raw Data'!M100)</x:f>
        <x:v>0.2</x:v>
      </x:c>
      <x:c r="N100" s="9" t="n">
        <x:f>IF(S100="Completed",K100*L100*(1-M100),0)</x:f>
        <x:v>6076.8</x:v>
      </x:c>
      <x:c r="O100" s="9" t="n">
        <x:f>IFERROR(INDEX('Lookup Tables'!$J$5:$J$16,MATCH(H100,'Lookup Tables'!$F$5:$F$16,0)),0)</x:f>
        <x:v>1180</x:v>
      </x:c>
      <x:c r="P100" s="9" t="n">
        <x:f>IF(S100="Completed",K100*O100,0)</x:f>
        <x:v>4720</x:v>
      </x:c>
      <x:c r="Q100" s="9" t="n">
        <x:f>N100-P100</x:f>
        <x:v>1356.8000000000002</x:v>
      </x:c>
      <x:c r="R100" s="8" t="str">
        <x:f>IF(LOWER('Raw Data'!N100)="upi","UPI",'Raw Data'!N100)</x:f>
        <x:v>Net Banking</x:v>
      </x:c>
      <x:c r="S100" s="8" t="str">
        <x:v>Completed</x:v>
      </x:c>
      <x:c r="T100" s="8" t="str">
        <x:f>TEXT(B100,"mmm yyyy")</x:f>
        <x:v>Sep 2025</x:v>
      </x:c>
      <x:c r="U100" s="8" t="n">
        <x:f>YEAR(B100)</x:f>
        <x:v>2025</x:v>
      </x:c>
    </x:row>
    <x:row r="101">
      <x:c r="A101" s="8" t="str">
        <x:v>ORD-0097</x:v>
      </x:c>
      <x:c r="B101" s="22" t="n">
        <x:v>45664.648258483794</x:v>
      </x:c>
      <x:c r="C101" s="8" t="str">
        <x:v>CUS-058</x:v>
      </x:c>
      <x:c r="D101" s="8" t="str">
        <x:f>IFERROR(INDEX('Lookup Tables'!$B$5:$B$84,MATCH(C101,'Lookup Tables'!$A$5:$A$84,0)),"Unknown Customer")</x:f>
        <x:v>Nisha Bansal 3</x:v>
      </x:c>
      <x:c r="E101" s="8" t="str">
        <x:f>IFERROR(INDEX('Lookup Tables'!$C$5:$C$84,MATCH(C101,'Lookup Tables'!$A$5:$A$84,0)),"Unknown")</x:f>
        <x:v>Consumer</x:v>
      </x:c>
      <x:c r="F101" s="8" t="str">
        <x:v>Jaipur</x:v>
      </x:c>
      <x:c r="G101" s="8" t="str">
        <x:f>IFERROR(INDEX('Lookup Tables'!$N$5:$N$14,MATCH(F101,'Lookup Tables'!$M$5:$M$14,0)),"Unknown")</x:f>
        <x:v>North</x:v>
      </x:c>
      <x:c r="H101" s="8" t="str">
        <x:v>PRD-002</x:v>
      </x:c>
      <x:c r="I101" s="8" t="str">
        <x:f>IFERROR(INDEX('Lookup Tables'!$G$5:$G$16,MATCH(H101,'Lookup Tables'!$F$5:$F$16,0)),"Unknown Product")</x:f>
        <x:v>Bluetooth Headphones</x:v>
      </x:c>
      <x:c r="J101" s="8" t="str">
        <x:f>IFERROR(INDEX('Lookup Tables'!$H$5:$H$16,MATCH(H101,'Lookup Tables'!$F$5:$F$16,0)),"Unknown")</x:f>
        <x:v>Electronics</x:v>
      </x:c>
      <x:c r="K101" s="8" t="n">
        <x:v>1</x:v>
      </x:c>
      <x:c r="L101" s="9" t="n">
        <x:f>IFERROR(INDEX('Lookup Tables'!$I$5:$I$16,MATCH(H101,'Lookup Tables'!$F$5:$F$16,0)),0)</x:f>
        <x:v>2499</x:v>
      </x:c>
      <x:c r="M101" s="23" t="n">
        <x:f>IF('Raw Data'!M101="",0,'Raw Data'!M101)</x:f>
        <x:v>0.05</x:v>
      </x:c>
      <x:c r="N101" s="9" t="n">
        <x:f>IF(S101="Completed",K101*L101*(1-M101),0)</x:f>
        <x:v>2374.0499999999997</x:v>
      </x:c>
      <x:c r="O101" s="9" t="n">
        <x:f>IFERROR(INDEX('Lookup Tables'!$J$5:$J$16,MATCH(H101,'Lookup Tables'!$F$5:$F$16,0)),0)</x:f>
        <x:v>1620</x:v>
      </x:c>
      <x:c r="P101" s="9" t="n">
        <x:f>IF(S101="Completed",K101*O101,0)</x:f>
        <x:v>1620</x:v>
      </x:c>
      <x:c r="Q101" s="9" t="n">
        <x:f>N101-P101</x:f>
        <x:v>754.0499999999997</x:v>
      </x:c>
      <x:c r="R101" s="8" t="str">
        <x:f>IF(LOWER('Raw Data'!N101)="upi","UPI",'Raw Data'!N101)</x:f>
        <x:v>Cash on Delivery</x:v>
      </x:c>
      <x:c r="S101" s="8" t="str">
        <x:v>Completed</x:v>
      </x:c>
      <x:c r="T101" s="8" t="str">
        <x:f>TEXT(B101,"mmm yyyy")</x:f>
        <x:v>Jan 2025</x:v>
      </x:c>
      <x:c r="U101" s="8" t="n">
        <x:f>YEAR(B101)</x:f>
        <x:v>2025</x:v>
      </x:c>
    </x:row>
    <x:row r="102">
      <x:c r="A102" s="8" t="str">
        <x:v>ORD-0098</x:v>
      </x:c>
      <x:c r="B102" s="22" t="n">
        <x:v>45859.604930960646</x:v>
      </x:c>
      <x:c r="C102" s="8" t="str">
        <x:v>CUS-019</x:v>
      </x:c>
      <x:c r="D102" s="8" t="str">
        <x:f>IFERROR(INDEX('Lookup Tables'!$B$5:$B$84,MATCH(C102,'Lookup Tables'!$A$5:$A$84,0)),"Unknown Customer")</x:f>
        <x:v>Siddharth Jain</x:v>
      </x:c>
      <x:c r="E102" s="8" t="str">
        <x:f>IFERROR(INDEX('Lookup Tables'!$C$5:$C$84,MATCH(C102,'Lookup Tables'!$A$5:$A$84,0)),"Unknown")</x:f>
        <x:v>Consumer</x:v>
      </x:c>
      <x:c r="F102" s="8" t="str">
        <x:v>Kolkata</x:v>
      </x:c>
      <x:c r="G102" s="8" t="str">
        <x:f>IFERROR(INDEX('Lookup Tables'!$N$5:$N$14,MATCH(F102,'Lookup Tables'!$M$5:$M$14,0)),"Unknown")</x:f>
        <x:v>East</x:v>
      </x:c>
      <x:c r="H102" s="8" t="str">
        <x:v>PRD-007</x:v>
      </x:c>
      <x:c r="I102" s="8" t="str">
        <x:f>IFERROR(INDEX('Lookup Tables'!$G$5:$G$16,MATCH(H102,'Lookup Tables'!$F$5:$F$16,0)),"Unknown Product")</x:f>
        <x:v>Electric Kettle</x:v>
      </x:c>
      <x:c r="J102" s="8" t="str">
        <x:f>IFERROR(INDEX('Lookup Tables'!$H$5:$H$16,MATCH(H102,'Lookup Tables'!$F$5:$F$16,0)),"Unknown")</x:f>
        <x:v>Home &amp; Kitchen</x:v>
      </x:c>
      <x:c r="K102" s="8" t="n">
        <x:v>1</x:v>
      </x:c>
      <x:c r="L102" s="9" t="n">
        <x:f>IFERROR(INDEX('Lookup Tables'!$I$5:$I$16,MATCH(H102,'Lookup Tables'!$F$5:$F$16,0)),0)</x:f>
        <x:v>1699</x:v>
      </x:c>
      <x:c r="M102" s="23" t="n">
        <x:f>IF('Raw Data'!M102="",0,'Raw Data'!M102)</x:f>
        <x:v>0.1</x:v>
      </x:c>
      <x:c r="N102" s="9" t="n">
        <x:f>IF(S102="Completed",K102*L102*(1-M102),0)</x:f>
        <x:v>1529.1000000000001</x:v>
      </x:c>
      <x:c r="O102" s="9" t="n">
        <x:f>IFERROR(INDEX('Lookup Tables'!$J$5:$J$16,MATCH(H102,'Lookup Tables'!$F$5:$F$16,0)),0)</x:f>
        <x:v>1040</x:v>
      </x:c>
      <x:c r="P102" s="9" t="n">
        <x:f>IF(S102="Completed",K102*O102,0)</x:f>
        <x:v>1040</x:v>
      </x:c>
      <x:c r="Q102" s="9" t="n">
        <x:f>N102-P102</x:f>
        <x:v>489.10000000000014</x:v>
      </x:c>
      <x:c r="R102" s="8" t="str">
        <x:f>IF(LOWER('Raw Data'!N102)="upi","UPI",'Raw Data'!N102)</x:f>
        <x:v>Debit Card</x:v>
      </x:c>
      <x:c r="S102" s="8" t="str">
        <x:v>Completed</x:v>
      </x:c>
      <x:c r="T102" s="8" t="str">
        <x:f>TEXT(B102,"mmm yyyy")</x:f>
        <x:v>Jul 2025</x:v>
      </x:c>
      <x:c r="U102" s="8" t="n">
        <x:f>YEAR(B102)</x:f>
        <x:v>2025</x:v>
      </x:c>
    </x:row>
    <x:row r="103">
      <x:c r="A103" s="8" t="str">
        <x:v>ORD-0099</x:v>
      </x:c>
      <x:c r="B103" s="22" t="n">
        <x:v>45851.49475071759</x:v>
      </x:c>
      <x:c r="C103" s="8" t="str">
        <x:v>CUS-015</x:v>
      </x:c>
      <x:c r="D103" s="8" t="str">
        <x:f>IFERROR(INDEX('Lookup Tables'!$B$5:$B$84,MATCH(C103,'Lookup Tables'!$A$5:$A$84,0)),"Unknown Customer")</x:f>
        <x:v>Karan Malhotra</x:v>
      </x:c>
      <x:c r="E103" s="8" t="str">
        <x:f>IFERROR(INDEX('Lookup Tables'!$C$5:$C$84,MATCH(C103,'Lookup Tables'!$A$5:$A$84,0)),"Unknown")</x:f>
        <x:v>Small Business</x:v>
      </x:c>
      <x:c r="F103" s="8" t="str">
        <x:v>Jaipur</x:v>
      </x:c>
      <x:c r="G103" s="8" t="str">
        <x:f>IFERROR(INDEX('Lookup Tables'!$N$5:$N$14,MATCH(F103,'Lookup Tables'!$M$5:$M$14,0)),"Unknown")</x:f>
        <x:v>North</x:v>
      </x:c>
      <x:c r="H103" s="8" t="str">
        <x:v>PRD-009</x:v>
      </x:c>
      <x:c r="I103" s="8" t="str">
        <x:f>IFERROR(INDEX('Lookup Tables'!$G$5:$G$16,MATCH(H103,'Lookup Tables'!$F$5:$F$16,0)),"Unknown Product")</x:f>
        <x:v>Table Lamp</x:v>
      </x:c>
      <x:c r="J103" s="8" t="str">
        <x:f>IFERROR(INDEX('Lookup Tables'!$H$5:$H$16,MATCH(H103,'Lookup Tables'!$F$5:$F$16,0)),"Unknown")</x:f>
        <x:v>Home &amp; Kitchen</x:v>
      </x:c>
      <x:c r="K103" s="8" t="n">
        <x:v>2</x:v>
      </x:c>
      <x:c r="L103" s="9" t="n">
        <x:f>IFERROR(INDEX('Lookup Tables'!$I$5:$I$16,MATCH(H103,'Lookup Tables'!$F$5:$F$16,0)),0)</x:f>
        <x:v>1499</x:v>
      </x:c>
      <x:c r="M103" s="23" t="n">
        <x:f>IF('Raw Data'!M103="",0,'Raw Data'!M103)</x:f>
        <x:v>0.2</x:v>
      </x:c>
      <x:c r="N103" s="9" t="n">
        <x:f>IF(S103="Completed",K103*L103*(1-M103),0)</x:f>
        <x:v>2398.4</x:v>
      </x:c>
      <x:c r="O103" s="9" t="n">
        <x:f>IFERROR(INDEX('Lookup Tables'!$J$5:$J$16,MATCH(H103,'Lookup Tables'!$F$5:$F$16,0)),0)</x:f>
        <x:v>920</x:v>
      </x:c>
      <x:c r="P103" s="9" t="n">
        <x:f>IF(S103="Completed",K103*O103,0)</x:f>
        <x:v>1840</x:v>
      </x:c>
      <x:c r="Q103" s="9" t="n">
        <x:f>N103-P103</x:f>
        <x:v>558.4000000000001</x:v>
      </x:c>
      <x:c r="R103" s="8" t="str">
        <x:f>IF(LOWER('Raw Data'!N103)="upi","UPI",'Raw Data'!N103)</x:f>
        <x:v>Cash on Delivery</x:v>
      </x:c>
      <x:c r="S103" s="8" t="str">
        <x:v>Completed</x:v>
      </x:c>
      <x:c r="T103" s="8" t="str">
        <x:f>TEXT(B103,"mmm yyyy")</x:f>
        <x:v>Jul 2025</x:v>
      </x:c>
      <x:c r="U103" s="8" t="n">
        <x:f>YEAR(B103)</x:f>
        <x:v>2025</x:v>
      </x:c>
    </x:row>
    <x:row r="104">
      <x:c r="A104" s="8" t="str">
        <x:v>ORD-0100</x:v>
      </x:c>
      <x:c r="B104" s="22" t="n">
        <x:v>45883.79994399306</x:v>
      </x:c>
      <x:c r="C104" s="8" t="str">
        <x:v>CUS-023</x:v>
      </x:c>
      <x:c r="D104" s="8" t="str">
        <x:f>IFERROR(INDEX('Lookup Tables'!$B$5:$B$84,MATCH(C104,'Lookup Tables'!$A$5:$A$84,0)),"Unknown Customer")</x:f>
        <x:v>Vihaan Singh 2</x:v>
      </x:c>
      <x:c r="E104" s="8" t="str">
        <x:f>IFERROR(INDEX('Lookup Tables'!$C$5:$C$84,MATCH(C104,'Lookup Tables'!$A$5:$A$84,0)),"Unknown")</x:f>
        <x:v>Corporate</x:v>
      </x:c>
      <x:c r="F104" s="8" t="str">
        <x:v>Bengaluru</x:v>
      </x:c>
      <x:c r="G104" s="8" t="str">
        <x:f>IFERROR(INDEX('Lookup Tables'!$N$5:$N$14,MATCH(F104,'Lookup Tables'!$M$5:$M$14,0)),"Unknown")</x:f>
        <x:v>South</x:v>
      </x:c>
      <x:c r="H104" s="8" t="str">
        <x:v>PRD-003</x:v>
      </x:c>
      <x:c r="I104" s="8" t="str">
        <x:f>IFERROR(INDEX('Lookup Tables'!$G$5:$G$16,MATCH(H104,'Lookup Tables'!$F$5:$F$16,0)),"Unknown Product")</x:f>
        <x:v>USB-C Hub</x:v>
      </x:c>
      <x:c r="J104" s="8" t="str">
        <x:f>IFERROR(INDEX('Lookup Tables'!$H$5:$H$16,MATCH(H104,'Lookup Tables'!$F$5:$F$16,0)),"Unknown")</x:f>
        <x:v>Electronics</x:v>
      </x:c>
      <x:c r="K104" s="8" t="n">
        <x:v>3</x:v>
      </x:c>
      <x:c r="L104" s="9" t="n">
        <x:f>IFERROR(INDEX('Lookup Tables'!$I$5:$I$16,MATCH(H104,'Lookup Tables'!$F$5:$F$16,0)),0)</x:f>
        <x:v>1899</x:v>
      </x:c>
      <x:c r="M104" s="23" t="n">
        <x:f>IF('Raw Data'!M104="",0,'Raw Data'!M104)</x:f>
        <x:v>0.05</x:v>
      </x:c>
      <x:c r="N104" s="9" t="n">
        <x:f>IF(S104="Completed",K104*L104*(1-M104),0)</x:f>
        <x:v>0</x:v>
      </x:c>
      <x:c r="O104" s="9" t="n">
        <x:f>IFERROR(INDEX('Lookup Tables'!$J$5:$J$16,MATCH(H104,'Lookup Tables'!$F$5:$F$16,0)),0)</x:f>
        <x:v>1180</x:v>
      </x:c>
      <x:c r="P104" s="9" t="n">
        <x:f>IF(S104="Completed",K104*O104,0)</x:f>
        <x:v>0</x:v>
      </x:c>
      <x:c r="Q104" s="9" t="n">
        <x:f>N104-P104</x:f>
        <x:v>0</x:v>
      </x:c>
      <x:c r="R104" s="8" t="str">
        <x:f>IF(LOWER('Raw Data'!N104)="upi","UPI",'Raw Data'!N104)</x:f>
        <x:v>Net Banking</x:v>
      </x:c>
      <x:c r="S104" s="8" t="str">
        <x:v>Cancelled</x:v>
      </x:c>
      <x:c r="T104" s="8" t="str">
        <x:f>TEXT(B104,"mmm yyyy")</x:f>
        <x:v>Aug 2025</x:v>
      </x:c>
      <x:c r="U104" s="8" t="n">
        <x:f>YEAR(B104)</x:f>
        <x:v>2025</x:v>
      </x:c>
    </x:row>
    <x:row r="105">
      <x:c r="A105" s="8" t="str">
        <x:v>ORD-0101</x:v>
      </x:c>
      <x:c r="B105" s="22" t="n">
        <x:v>45706.78830789352</x:v>
      </x:c>
      <x:c r="C105" s="8" t="str">
        <x:v>CUS-033</x:v>
      </x:c>
      <x:c r="D105" s="8" t="str">
        <x:f>IFERROR(INDEX('Lookup Tables'!$B$5:$B$84,MATCH(C105,'Lookup Tables'!$A$5:$A$84,0)),"Unknown Customer")</x:f>
        <x:v>Rahul Mishra 2</x:v>
      </x:c>
      <x:c r="E105" s="8" t="str">
        <x:f>IFERROR(INDEX('Lookup Tables'!$C$5:$C$84,MATCH(C105,'Lookup Tables'!$A$5:$A$84,0)),"Unknown")</x:f>
        <x:v>Small Business</x:v>
      </x:c>
      <x:c r="F105" s="8" t="str">
        <x:v>Chennai</x:v>
      </x:c>
      <x:c r="G105" s="8" t="str">
        <x:f>IFERROR(INDEX('Lookup Tables'!$N$5:$N$14,MATCH(F105,'Lookup Tables'!$M$5:$M$14,0)),"Unknown")</x:f>
        <x:v>South</x:v>
      </x:c>
      <x:c r="H105" s="8" t="str">
        <x:v>PRD-009</x:v>
      </x:c>
      <x:c r="I105" s="8" t="str">
        <x:f>IFERROR(INDEX('Lookup Tables'!$G$5:$G$16,MATCH(H105,'Lookup Tables'!$F$5:$F$16,0)),"Unknown Product")</x:f>
        <x:v>Table Lamp</x:v>
      </x:c>
      <x:c r="J105" s="8" t="str">
        <x:f>IFERROR(INDEX('Lookup Tables'!$H$5:$H$16,MATCH(H105,'Lookup Tables'!$F$5:$F$16,0)),"Unknown")</x:f>
        <x:v>Home &amp; Kitchen</x:v>
      </x:c>
      <x:c r="K105" s="8" t="n">
        <x:v>1</x:v>
      </x:c>
      <x:c r="L105" s="9" t="n">
        <x:f>IFERROR(INDEX('Lookup Tables'!$I$5:$I$16,MATCH(H105,'Lookup Tables'!$F$5:$F$16,0)),0)</x:f>
        <x:v>1499</x:v>
      </x:c>
      <x:c r="M105" s="23" t="n">
        <x:f>IF('Raw Data'!M105="",0,'Raw Data'!M105)</x:f>
        <x:v>0.15</x:v>
      </x:c>
      <x:c r="N105" s="9" t="n">
        <x:f>IF(S105="Completed",K105*L105*(1-M105),0)</x:f>
        <x:v>0</x:v>
      </x:c>
      <x:c r="O105" s="9" t="n">
        <x:f>IFERROR(INDEX('Lookup Tables'!$J$5:$J$16,MATCH(H105,'Lookup Tables'!$F$5:$F$16,0)),0)</x:f>
        <x:v>920</x:v>
      </x:c>
      <x:c r="P105" s="9" t="n">
        <x:f>IF(S105="Completed",K105*O105,0)</x:f>
        <x:v>0</x:v>
      </x:c>
      <x:c r="Q105" s="9" t="n">
        <x:f>N105-P105</x:f>
        <x:v>0</x:v>
      </x:c>
      <x:c r="R105" s="8" t="str">
        <x:f>IF(LOWER('Raw Data'!N105)="upi","UPI",'Raw Data'!N105)</x:f>
        <x:v>UPI</x:v>
      </x:c>
      <x:c r="S105" s="8" t="str">
        <x:v>Cancelled</x:v>
      </x:c>
      <x:c r="T105" s="8" t="str">
        <x:f>TEXT(B105,"mmm yyyy")</x:f>
        <x:v>Feb 2025</x:v>
      </x:c>
      <x:c r="U105" s="8" t="n">
        <x:f>YEAR(B105)</x:f>
        <x:v>2025</x:v>
      </x:c>
    </x:row>
    <x:row r="106">
      <x:c r="A106" s="8" t="str">
        <x:v>ORD-0102</x:v>
      </x:c>
      <x:c r="B106" s="22" t="n">
        <x:v>45719.01152799768</x:v>
      </x:c>
      <x:c r="C106" s="8" t="str">
        <x:v>CUS-017</x:v>
      </x:c>
      <x:c r="D106" s="8" t="str">
        <x:f>IFERROR(INDEX('Lookup Tables'!$B$5:$B$84,MATCH(C106,'Lookup Tables'!$A$5:$A$84,0)),"Unknown Customer")</x:f>
        <x:v>Vikram Yadav</x:v>
      </x:c>
      <x:c r="E106" s="8" t="str">
        <x:f>IFERROR(INDEX('Lookup Tables'!$C$5:$C$84,MATCH(C106,'Lookup Tables'!$A$5:$A$84,0)),"Unknown")</x:f>
        <x:v>Corporate</x:v>
      </x:c>
      <x:c r="F106" s="8" t="str">
        <x:v>Jaipur</x:v>
      </x:c>
      <x:c r="G106" s="8" t="str">
        <x:f>IFERROR(INDEX('Lookup Tables'!$N$5:$N$14,MATCH(F106,'Lookup Tables'!$M$5:$M$14,0)),"Unknown")</x:f>
        <x:v>North</x:v>
      </x:c>
      <x:c r="H106" s="8" t="str">
        <x:v>PRD-007</x:v>
      </x:c>
      <x:c r="I106" s="8" t="str">
        <x:f>IFERROR(INDEX('Lookup Tables'!$G$5:$G$16,MATCH(H106,'Lookup Tables'!$F$5:$F$16,0)),"Unknown Product")</x:f>
        <x:v>Electric Kettle</x:v>
      </x:c>
      <x:c r="J106" s="8" t="str">
        <x:f>IFERROR(INDEX('Lookup Tables'!$H$5:$H$16,MATCH(H106,'Lookup Tables'!$F$5:$F$16,0)),"Unknown")</x:f>
        <x:v>Home &amp; Kitchen</x:v>
      </x:c>
      <x:c r="K106" s="8" t="n">
        <x:v>1</x:v>
      </x:c>
      <x:c r="L106" s="9" t="n">
        <x:f>IFERROR(INDEX('Lookup Tables'!$I$5:$I$16,MATCH(H106,'Lookup Tables'!$F$5:$F$16,0)),0)</x:f>
        <x:v>1699</x:v>
      </x:c>
      <x:c r="M106" s="23" t="n">
        <x:f>IF('Raw Data'!M106="",0,'Raw Data'!M106)</x:f>
        <x:v>0.15</x:v>
      </x:c>
      <x:c r="N106" s="9" t="n">
        <x:f>IF(S106="Completed",K106*L106*(1-M106),0)</x:f>
        <x:v>0</x:v>
      </x:c>
      <x:c r="O106" s="9" t="n">
        <x:f>IFERROR(INDEX('Lookup Tables'!$J$5:$J$16,MATCH(H106,'Lookup Tables'!$F$5:$F$16,0)),0)</x:f>
        <x:v>1040</x:v>
      </x:c>
      <x:c r="P106" s="9" t="n">
        <x:f>IF(S106="Completed",K106*O106,0)</x:f>
        <x:v>0</x:v>
      </x:c>
      <x:c r="Q106" s="9" t="n">
        <x:f>N106-P106</x:f>
        <x:v>0</x:v>
      </x:c>
      <x:c r="R106" s="8" t="str">
        <x:f>IF(LOWER('Raw Data'!N106)="upi","UPI",'Raw Data'!N106)</x:f>
        <x:v>UPI</x:v>
      </x:c>
      <x:c r="S106" s="8" t="str">
        <x:v>Returned</x:v>
      </x:c>
      <x:c r="T106" s="8" t="str">
        <x:f>TEXT(B106,"mmm yyyy")</x:f>
        <x:v>Mar 2025</x:v>
      </x:c>
      <x:c r="U106" s="8" t="n">
        <x:f>YEAR(B106)</x:f>
        <x:v>2025</x:v>
      </x:c>
    </x:row>
    <x:row r="107">
      <x:c r="A107" s="8" t="str">
        <x:v>ORD-0103</x:v>
      </x:c>
      <x:c r="B107" s="22" t="n">
        <x:v>45667.29455863426</x:v>
      </x:c>
      <x:c r="C107" s="8" t="str">
        <x:v>CUS-048</x:v>
      </x:c>
      <x:c r="D107" s="8" t="str">
        <x:f>IFERROR(INDEX('Lookup Tables'!$B$5:$B$84,MATCH(C107,'Lookup Tables'!$A$5:$A$84,0)),"Unknown Customer")</x:f>
        <x:v>Meera Nair 3</x:v>
      </x:c>
      <x:c r="E107" s="8" t="str">
        <x:f>IFERROR(INDEX('Lookup Tables'!$C$5:$C$84,MATCH(C107,'Lookup Tables'!$A$5:$A$84,0)),"Unknown")</x:f>
        <x:v>Small Business</x:v>
      </x:c>
      <x:c r="F107" s="8" t="str">
        <x:v>Jaipur</x:v>
      </x:c>
      <x:c r="G107" s="8" t="str">
        <x:f>IFERROR(INDEX('Lookup Tables'!$N$5:$N$14,MATCH(F107,'Lookup Tables'!$M$5:$M$14,0)),"Unknown")</x:f>
        <x:v>North</x:v>
      </x:c>
      <x:c r="H107" s="8" t="str">
        <x:v>PRD-011</x:v>
      </x:c>
      <x:c r="I107" s="8" t="str">
        <x:f>IFERROR(INDEX('Lookup Tables'!$G$5:$G$16,MATCH(H107,'Lookup Tables'!$F$5:$F$16,0)),"Unknown Product")</x:f>
        <x:v>Classic Wallet</x:v>
      </x:c>
      <x:c r="J107" s="8" t="str">
        <x:f>IFERROR(INDEX('Lookup Tables'!$H$5:$H$16,MATCH(H107,'Lookup Tables'!$F$5:$F$16,0)),"Unknown")</x:f>
        <x:v>Fashion</x:v>
      </x:c>
      <x:c r="K107" s="8" t="n">
        <x:v>3</x:v>
      </x:c>
      <x:c r="L107" s="9" t="n">
        <x:f>IFERROR(INDEX('Lookup Tables'!$I$5:$I$16,MATCH(H107,'Lookup Tables'!$F$5:$F$16,0)),0)</x:f>
        <x:v>1199</x:v>
      </x:c>
      <x:c r="M107" s="23" t="n">
        <x:f>IF('Raw Data'!M107="",0,'Raw Data'!M107)</x:f>
        <x:v>0.15</x:v>
      </x:c>
      <x:c r="N107" s="9" t="n">
        <x:f>IF(S107="Completed",K107*L107*(1-M107),0)</x:f>
        <x:v>3057.45</x:v>
      </x:c>
      <x:c r="O107" s="9" t="n">
        <x:f>IFERROR(INDEX('Lookup Tables'!$J$5:$J$16,MATCH(H107,'Lookup Tables'!$F$5:$F$16,0)),0)</x:f>
        <x:v>690</x:v>
      </x:c>
      <x:c r="P107" s="9" t="n">
        <x:f>IF(S107="Completed",K107*O107,0)</x:f>
        <x:v>2070</x:v>
      </x:c>
      <x:c r="Q107" s="9" t="n">
        <x:f>N107-P107</x:f>
        <x:v>987.4499999999998</x:v>
      </x:c>
      <x:c r="R107" s="8" t="str">
        <x:f>IF(LOWER('Raw Data'!N107)="upi","UPI",'Raw Data'!N107)</x:f>
        <x:v>Cash on Delivery</x:v>
      </x:c>
      <x:c r="S107" s="8" t="str">
        <x:v>Completed</x:v>
      </x:c>
      <x:c r="T107" s="8" t="str">
        <x:f>TEXT(B107,"mmm yyyy")</x:f>
        <x:v>Jan 2025</x:v>
      </x:c>
      <x:c r="U107" s="8" t="n">
        <x:f>YEAR(B107)</x:f>
        <x:v>2025</x:v>
      </x:c>
    </x:row>
    <x:row r="108">
      <x:c r="A108" s="8" t="str">
        <x:v>ORD-0104</x:v>
      </x:c>
      <x:c r="B108" s="22" t="n">
        <x:v>45780.526894236114</x:v>
      </x:c>
      <x:c r="C108" s="8" t="str">
        <x:v>CUS-076</x:v>
      </x:c>
      <x:c r="D108" s="8" t="str">
        <x:f>IFERROR(INDEX('Lookup Tables'!$B$5:$B$84,MATCH(C108,'Lookup Tables'!$A$5:$A$84,0)),"Unknown Customer")</x:f>
        <x:v>Pooja Saxena 4</x:v>
      </x:c>
      <x:c r="E108" s="8" t="str">
        <x:f>IFERROR(INDEX('Lookup Tables'!$C$5:$C$84,MATCH(C108,'Lookup Tables'!$A$5:$A$84,0)),"Unknown")</x:f>
        <x:v>Consumer</x:v>
      </x:c>
      <x:c r="F108" s="8" t="str">
        <x:v>Ahmedabad</x:v>
      </x:c>
      <x:c r="G108" s="8" t="str">
        <x:f>IFERROR(INDEX('Lookup Tables'!$N$5:$N$14,MATCH(F108,'Lookup Tables'!$M$5:$M$14,0)),"Unknown")</x:f>
        <x:v>West</x:v>
      </x:c>
      <x:c r="H108" s="8" t="str">
        <x:v>PRD-011</x:v>
      </x:c>
      <x:c r="I108" s="8" t="str">
        <x:f>IFERROR(INDEX('Lookup Tables'!$G$5:$G$16,MATCH(H108,'Lookup Tables'!$F$5:$F$16,0)),"Unknown Product")</x:f>
        <x:v>Classic Wallet</x:v>
      </x:c>
      <x:c r="J108" s="8" t="str">
        <x:f>IFERROR(INDEX('Lookup Tables'!$H$5:$H$16,MATCH(H108,'Lookup Tables'!$F$5:$F$16,0)),"Unknown")</x:f>
        <x:v>Fashion</x:v>
      </x:c>
      <x:c r="K108" s="8" t="n">
        <x:v>5</x:v>
      </x:c>
      <x:c r="L108" s="9" t="n">
        <x:f>IFERROR(INDEX('Lookup Tables'!$I$5:$I$16,MATCH(H108,'Lookup Tables'!$F$5:$F$16,0)),0)</x:f>
        <x:v>1199</x:v>
      </x:c>
      <x:c r="M108" s="23" t="n">
        <x:f>IF('Raw Data'!M108="",0,'Raw Data'!M108)</x:f>
        <x:v>0</x:v>
      </x:c>
      <x:c r="N108" s="9" t="n">
        <x:f>IF(S108="Completed",K108*L108*(1-M108),0)</x:f>
        <x:v>0</x:v>
      </x:c>
      <x:c r="O108" s="9" t="n">
        <x:f>IFERROR(INDEX('Lookup Tables'!$J$5:$J$16,MATCH(H108,'Lookup Tables'!$F$5:$F$16,0)),0)</x:f>
        <x:v>690</x:v>
      </x:c>
      <x:c r="P108" s="9" t="n">
        <x:f>IF(S108="Completed",K108*O108,0)</x:f>
        <x:v>0</x:v>
      </x:c>
      <x:c r="Q108" s="9" t="n">
        <x:f>N108-P108</x:f>
        <x:v>0</x:v>
      </x:c>
      <x:c r="R108" s="8" t="str">
        <x:f>IF(LOWER('Raw Data'!N108)="upi","UPI",'Raw Data'!N108)</x:f>
        <x:v>UPI</x:v>
      </x:c>
      <x:c r="S108" s="8" t="str">
        <x:v>Returned</x:v>
      </x:c>
      <x:c r="T108" s="8" t="str">
        <x:f>TEXT(B108,"mmm yyyy")</x:f>
        <x:v>May 2025</x:v>
      </x:c>
      <x:c r="U108" s="8" t="n">
        <x:f>YEAR(B108)</x:f>
        <x:v>2025</x:v>
      </x:c>
    </x:row>
    <x:row r="109">
      <x:c r="A109" s="8" t="str">
        <x:v>ORD-0105</x:v>
      </x:c>
      <x:c r="B109" s="22" t="n">
        <x:v>45741.21443141204</x:v>
      </x:c>
      <x:c r="C109" s="8" t="str">
        <x:v>CUS-025</x:v>
      </x:c>
      <x:c r="D109" s="8" t="str">
        <x:f>IFERROR(INDEX('Lookup Tables'!$B$5:$B$84,MATCH(C109,'Lookup Tables'!$A$5:$A$84,0)),"Unknown Customer")</x:f>
        <x:v>Arjun Verma 2</x:v>
      </x:c>
      <x:c r="E109" s="8" t="str">
        <x:f>IFERROR(INDEX('Lookup Tables'!$C$5:$C$84,MATCH(C109,'Lookup Tables'!$A$5:$A$84,0)),"Unknown")</x:f>
        <x:v>Consumer</x:v>
      </x:c>
      <x:c r="F109" s="8" t="str">
        <x:v>Delhi</x:v>
      </x:c>
      <x:c r="G109" s="8" t="str">
        <x:f>IFERROR(INDEX('Lookup Tables'!$N$5:$N$14,MATCH(F109,'Lookup Tables'!$M$5:$M$14,0)),"Unknown")</x:f>
        <x:v>North</x:v>
      </x:c>
      <x:c r="H109" s="8" t="str">
        <x:v>PRD-008</x:v>
      </x:c>
      <x:c r="I109" s="8" t="str">
        <x:f>IFERROR(INDEX('Lookup Tables'!$G$5:$G$16,MATCH(H109,'Lookup Tables'!$F$5:$F$16,0)),"Unknown Product")</x:f>
        <x:v>Storage Container Set</x:v>
      </x:c>
      <x:c r="J109" s="8" t="str">
        <x:f>IFERROR(INDEX('Lookup Tables'!$H$5:$H$16,MATCH(H109,'Lookup Tables'!$F$5:$F$16,0)),"Unknown")</x:f>
        <x:v>Home &amp; Kitchen</x:v>
      </x:c>
      <x:c r="K109" s="8" t="n">
        <x:v>2</x:v>
      </x:c>
      <x:c r="L109" s="9" t="n">
        <x:f>IFERROR(INDEX('Lookup Tables'!$I$5:$I$16,MATCH(H109,'Lookup Tables'!$F$5:$F$16,0)),0)</x:f>
        <x:v>999</x:v>
      </x:c>
      <x:c r="M109" s="23" t="n">
        <x:f>IF('Raw Data'!M109="",0,'Raw Data'!M109)</x:f>
        <x:v>0.05</x:v>
      </x:c>
      <x:c r="N109" s="9" t="n">
        <x:f>IF(S109="Completed",K109*L109*(1-M109),0)</x:f>
        <x:v>1898.1</x:v>
      </x:c>
      <x:c r="O109" s="9" t="n">
        <x:f>IFERROR(INDEX('Lookup Tables'!$J$5:$J$16,MATCH(H109,'Lookup Tables'!$F$5:$F$16,0)),0)</x:f>
        <x:v>580</x:v>
      </x:c>
      <x:c r="P109" s="9" t="n">
        <x:f>IF(S109="Completed",K109*O109,0)</x:f>
        <x:v>1160</x:v>
      </x:c>
      <x:c r="Q109" s="9" t="n">
        <x:f>N109-P109</x:f>
        <x:v>738.0999999999999</x:v>
      </x:c>
      <x:c r="R109" s="8" t="str">
        <x:f>IF(LOWER('Raw Data'!N109)="upi","UPI",'Raw Data'!N109)</x:f>
        <x:v>Debit Card</x:v>
      </x:c>
      <x:c r="S109" s="8" t="str">
        <x:v>Completed</x:v>
      </x:c>
      <x:c r="T109" s="8" t="str">
        <x:f>TEXT(B109,"mmm yyyy")</x:f>
        <x:v>Mar 2025</x:v>
      </x:c>
      <x:c r="U109" s="8" t="n">
        <x:f>YEAR(B109)</x:f>
        <x:v>2025</x:v>
      </x:c>
    </x:row>
    <x:row r="110">
      <x:c r="A110" s="8" t="str">
        <x:v>ORD-0106</x:v>
      </x:c>
      <x:c r="B110" s="22" t="n">
        <x:v>45852.97033167824</x:v>
      </x:c>
      <x:c r="C110" s="8" t="str">
        <x:v>CUS-074</x:v>
      </x:c>
      <x:c r="D110" s="8" t="str">
        <x:f>IFERROR(INDEX('Lookup Tables'!$B$5:$B$84,MATCH(C110,'Lookup Tables'!$A$5:$A$84,0)),"Unknown Customer")</x:f>
        <x:v>Neha Rao 4</x:v>
      </x:c>
      <x:c r="E110" s="8" t="str">
        <x:f>IFERROR(INDEX('Lookup Tables'!$C$5:$C$84,MATCH(C110,'Lookup Tables'!$A$5:$A$84,0)),"Unknown")</x:f>
        <x:v>Corporate</x:v>
      </x:c>
      <x:c r="F110" s="8" t="str">
        <x:v>Delhi</x:v>
      </x:c>
      <x:c r="G110" s="8" t="str">
        <x:f>IFERROR(INDEX('Lookup Tables'!$N$5:$N$14,MATCH(F110,'Lookup Tables'!$M$5:$M$14,0)),"Unknown")</x:f>
        <x:v>North</x:v>
      </x:c>
      <x:c r="H110" s="8" t="str">
        <x:v>PRD-005</x:v>
      </x:c>
      <x:c r="I110" s="8" t="str">
        <x:f>IFERROR(INDEX('Lookup Tables'!$G$5:$G$16,MATCH(H110,'Lookup Tables'!$F$5:$F$16,0)),"Unknown Product")</x:f>
        <x:v>Executive Notebook</x:v>
      </x:c>
      <x:c r="J110" s="8" t="str">
        <x:f>IFERROR(INDEX('Lookup Tables'!$H$5:$H$16,MATCH(H110,'Lookup Tables'!$F$5:$F$16,0)),"Unknown")</x:f>
        <x:v>Office Supplies</x:v>
      </x:c>
      <x:c r="K110" s="8" t="n">
        <x:v>5</x:v>
      </x:c>
      <x:c r="L110" s="9" t="n">
        <x:f>IFERROR(INDEX('Lookup Tables'!$I$5:$I$16,MATCH(H110,'Lookup Tables'!$F$5:$F$16,0)),0)</x:f>
        <x:v>349</x:v>
      </x:c>
      <x:c r="M110" s="23" t="n">
        <x:f>IF('Raw Data'!M110="",0,'Raw Data'!M110)</x:f>
        <x:v>0</x:v>
      </x:c>
      <x:c r="N110" s="9" t="n">
        <x:f>IF(S110="Completed",K110*L110*(1-M110),0)</x:f>
        <x:v>1745</x:v>
      </x:c>
      <x:c r="O110" s="9" t="n">
        <x:f>IFERROR(INDEX('Lookup Tables'!$J$5:$J$16,MATCH(H110,'Lookup Tables'!$F$5:$F$16,0)),0)</x:f>
        <x:v>170</x:v>
      </x:c>
      <x:c r="P110" s="9" t="n">
        <x:f>IF(S110="Completed",K110*O110,0)</x:f>
        <x:v>850</x:v>
      </x:c>
      <x:c r="Q110" s="9" t="n">
        <x:f>N110-P110</x:f>
        <x:v>895</x:v>
      </x:c>
      <x:c r="R110" s="8" t="str">
        <x:f>IF(LOWER('Raw Data'!N110)="upi","UPI",'Raw Data'!N110)</x:f>
        <x:v>Credit Card</x:v>
      </x:c>
      <x:c r="S110" s="8" t="str">
        <x:v>Completed</x:v>
      </x:c>
      <x:c r="T110" s="8" t="str">
        <x:f>TEXT(B110,"mmm yyyy")</x:f>
        <x:v>Jul 2025</x:v>
      </x:c>
      <x:c r="U110" s="8" t="n">
        <x:f>YEAR(B110)</x:f>
        <x:v>2025</x:v>
      </x:c>
    </x:row>
    <x:row r="111">
      <x:c r="A111" s="8" t="str">
        <x:v>ORD-0107</x:v>
      </x:c>
      <x:c r="B111" s="22" t="n">
        <x:v>45864.146043252316</x:v>
      </x:c>
      <x:c r="C111" s="8" t="str">
        <x:v>CUS-061</x:v>
      </x:c>
      <x:c r="D111" s="8" t="str">
        <x:f>IFERROR(INDEX('Lookup Tables'!$B$5:$B$84,MATCH(C111,'Lookup Tables'!$A$5:$A$84,0)),"Unknown Customer")</x:f>
        <x:v>Aarav Sharma 4</x:v>
      </x:c>
      <x:c r="E111" s="8" t="str">
        <x:f>IFERROR(INDEX('Lookup Tables'!$C$5:$C$84,MATCH(C111,'Lookup Tables'!$A$5:$A$84,0)),"Unknown")</x:f>
        <x:v>Consumer</x:v>
      </x:c>
      <x:c r="F111" s="8" t="str">
        <x:v>Delhi</x:v>
      </x:c>
      <x:c r="G111" s="8" t="str">
        <x:f>IFERROR(INDEX('Lookup Tables'!$N$5:$N$14,MATCH(F111,'Lookup Tables'!$M$5:$M$14,0)),"Unknown")</x:f>
        <x:v>North</x:v>
      </x:c>
      <x:c r="H111" s="8" t="str">
        <x:v>PRD-002</x:v>
      </x:c>
      <x:c r="I111" s="8" t="str">
        <x:f>IFERROR(INDEX('Lookup Tables'!$G$5:$G$16,MATCH(H111,'Lookup Tables'!$F$5:$F$16,0)),"Unknown Product")</x:f>
        <x:v>Bluetooth Headphones</x:v>
      </x:c>
      <x:c r="J111" s="8" t="str">
        <x:f>IFERROR(INDEX('Lookup Tables'!$H$5:$H$16,MATCH(H111,'Lookup Tables'!$F$5:$F$16,0)),"Unknown")</x:f>
        <x:v>Electronics</x:v>
      </x:c>
      <x:c r="K111" s="8" t="n">
        <x:v>4</x:v>
      </x:c>
      <x:c r="L111" s="9" t="n">
        <x:f>IFERROR(INDEX('Lookup Tables'!$I$5:$I$16,MATCH(H111,'Lookup Tables'!$F$5:$F$16,0)),0)</x:f>
        <x:v>2499</x:v>
      </x:c>
      <x:c r="M111" s="23" t="n">
        <x:f>IF('Raw Data'!M111="",0,'Raw Data'!M111)</x:f>
        <x:v>0.15</x:v>
      </x:c>
      <x:c r="N111" s="9" t="n">
        <x:f>IF(S111="Completed",K111*L111*(1-M111),0)</x:f>
        <x:v>8496.6</x:v>
      </x:c>
      <x:c r="O111" s="9" t="n">
        <x:f>IFERROR(INDEX('Lookup Tables'!$J$5:$J$16,MATCH(H111,'Lookup Tables'!$F$5:$F$16,0)),0)</x:f>
        <x:v>1620</x:v>
      </x:c>
      <x:c r="P111" s="9" t="n">
        <x:f>IF(S111="Completed",K111*O111,0)</x:f>
        <x:v>6480</x:v>
      </x:c>
      <x:c r="Q111" s="9" t="n">
        <x:f>N111-P111</x:f>
        <x:v>2016.6000000000004</x:v>
      </x:c>
      <x:c r="R111" s="8" t="str">
        <x:f>IF(LOWER('Raw Data'!N111)="upi","UPI",'Raw Data'!N111)</x:f>
        <x:v>Debit Card</x:v>
      </x:c>
      <x:c r="S111" s="8" t="str">
        <x:v>Completed</x:v>
      </x:c>
      <x:c r="T111" s="8" t="str">
        <x:f>TEXT(B111,"mmm yyyy")</x:f>
        <x:v>Jul 2025</x:v>
      </x:c>
      <x:c r="U111" s="8" t="n">
        <x:f>YEAR(B111)</x:f>
        <x:v>2025</x:v>
      </x:c>
    </x:row>
    <x:row r="112">
      <x:c r="A112" s="8" t="str">
        <x:v>ORD-0108</x:v>
      </x:c>
      <x:c r="B112" s="22" t="n">
        <x:v>45823.80334546296</x:v>
      </x:c>
      <x:c r="C112" s="8" t="str">
        <x:v>CUS-060</x:v>
      </x:c>
      <x:c r="D112" s="8" t="str">
        <x:f>IFERROR(INDEX('Lookup Tables'!$B$5:$B$84,MATCH(C112,'Lookup Tables'!$A$5:$A$84,0)),"Unknown Customer")</x:f>
        <x:v>Kavya Reddy 3</x:v>
      </x:c>
      <x:c r="E112" s="8" t="str">
        <x:f>IFERROR(INDEX('Lookup Tables'!$C$5:$C$84,MATCH(C112,'Lookup Tables'!$A$5:$A$84,0)),"Unknown")</x:f>
        <x:v>Small Business</x:v>
      </x:c>
      <x:c r="F112" s="8" t="str">
        <x:v>Jaipur</x:v>
      </x:c>
      <x:c r="G112" s="8" t="str">
        <x:f>IFERROR(INDEX('Lookup Tables'!$N$5:$N$14,MATCH(F112,'Lookup Tables'!$M$5:$M$14,0)),"Unknown")</x:f>
        <x:v>North</x:v>
      </x:c>
      <x:c r="H112" s="8" t="str">
        <x:v>PRD-012</x:v>
      </x:c>
      <x:c r="I112" s="8" t="str">
        <x:f>IFERROR(INDEX('Lookup Tables'!$G$5:$G$16,MATCH(H112,'Lookup Tables'!$F$5:$F$16,0)),"Unknown Product")</x:f>
        <x:v>Stainless Water Bottle</x:v>
      </x:c>
      <x:c r="J112" s="8" t="str">
        <x:f>IFERROR(INDEX('Lookup Tables'!$H$5:$H$16,MATCH(H112,'Lookup Tables'!$F$5:$F$16,0)),"Unknown")</x:f>
        <x:v>Lifestyle</x:v>
      </x:c>
      <x:c r="K112" s="8" t="n">
        <x:v>3</x:v>
      </x:c>
      <x:c r="L112" s="9" t="n">
        <x:f>IFERROR(INDEX('Lookup Tables'!$I$5:$I$16,MATCH(H112,'Lookup Tables'!$F$5:$F$16,0)),0)</x:f>
        <x:v>799</x:v>
      </x:c>
      <x:c r="M112" s="23" t="n">
        <x:f>IF('Raw Data'!M112="",0,'Raw Data'!M112)</x:f>
        <x:v>0.05</x:v>
      </x:c>
      <x:c r="N112" s="9" t="n">
        <x:f>IF(S112="Completed",K112*L112*(1-M112),0)</x:f>
        <x:v>2277.15</x:v>
      </x:c>
      <x:c r="O112" s="9" t="n">
        <x:f>IFERROR(INDEX('Lookup Tables'!$J$5:$J$16,MATCH(H112,'Lookup Tables'!$F$5:$F$16,0)),0)</x:f>
        <x:v>410</x:v>
      </x:c>
      <x:c r="P112" s="9" t="n">
        <x:f>IF(S112="Completed",K112*O112,0)</x:f>
        <x:v>1230</x:v>
      </x:c>
      <x:c r="Q112" s="9" t="n">
        <x:f>N112-P112</x:f>
        <x:v>1047.15</x:v>
      </x:c>
      <x:c r="R112" s="8" t="str">
        <x:f>IF(LOWER('Raw Data'!N112)="upi","UPI",'Raw Data'!N112)</x:f>
        <x:v>Credit Card</x:v>
      </x:c>
      <x:c r="S112" s="8" t="str">
        <x:v>Completed</x:v>
      </x:c>
      <x:c r="T112" s="8" t="str">
        <x:f>TEXT(B112,"mmm yyyy")</x:f>
        <x:v>Jun 2025</x:v>
      </x:c>
      <x:c r="U112" s="8" t="n">
        <x:f>YEAR(B112)</x:f>
        <x:v>2025</x:v>
      </x:c>
    </x:row>
    <x:row r="113">
      <x:c r="A113" s="8" t="str">
        <x:v>ORD-0109</x:v>
      </x:c>
      <x:c r="B113" s="22" t="n">
        <x:v>45840.97029680556</x:v>
      </x:c>
      <x:c r="C113" s="8" t="str">
        <x:v>CUS-047</x:v>
      </x:c>
      <x:c r="D113" s="8" t="str">
        <x:f>IFERROR(INDEX('Lookup Tables'!$B$5:$B$84,MATCH(C113,'Lookup Tables'!$A$5:$A$84,0)),"Unknown Customer")</x:f>
        <x:v>Kabir Khan 3</x:v>
      </x:c>
      <x:c r="E113" s="8" t="str">
        <x:f>IFERROR(INDEX('Lookup Tables'!$C$5:$C$84,MATCH(C113,'Lookup Tables'!$A$5:$A$84,0)),"Unknown")</x:f>
        <x:v>Corporate</x:v>
      </x:c>
      <x:c r="F113" s="8" t="str">
        <x:v>Bengaluru</x:v>
      </x:c>
      <x:c r="G113" s="8" t="str">
        <x:f>IFERROR(INDEX('Lookup Tables'!$N$5:$N$14,MATCH(F113,'Lookup Tables'!$M$5:$M$14,0)),"Unknown")</x:f>
        <x:v>South</x:v>
      </x:c>
      <x:c r="H113" s="8" t="str">
        <x:v>PRD-002</x:v>
      </x:c>
      <x:c r="I113" s="8" t="str">
        <x:f>IFERROR(INDEX('Lookup Tables'!$G$5:$G$16,MATCH(H113,'Lookup Tables'!$F$5:$F$16,0)),"Unknown Product")</x:f>
        <x:v>Bluetooth Headphones</x:v>
      </x:c>
      <x:c r="J113" s="8" t="str">
        <x:f>IFERROR(INDEX('Lookup Tables'!$H$5:$H$16,MATCH(H113,'Lookup Tables'!$F$5:$F$16,0)),"Unknown")</x:f>
        <x:v>Electronics</x:v>
      </x:c>
      <x:c r="K113" s="8" t="n">
        <x:v>1</x:v>
      </x:c>
      <x:c r="L113" s="9" t="n">
        <x:f>IFERROR(INDEX('Lookup Tables'!$I$5:$I$16,MATCH(H113,'Lookup Tables'!$F$5:$F$16,0)),0)</x:f>
        <x:v>2499</x:v>
      </x:c>
      <x:c r="M113" s="23" t="n">
        <x:f>IF('Raw Data'!M113="",0,'Raw Data'!M113)</x:f>
        <x:v>0.05</x:v>
      </x:c>
      <x:c r="N113" s="9" t="n">
        <x:f>IF(S113="Completed",K113*L113*(1-M113),0)</x:f>
        <x:v>2374.0499999999997</x:v>
      </x:c>
      <x:c r="O113" s="9" t="n">
        <x:f>IFERROR(INDEX('Lookup Tables'!$J$5:$J$16,MATCH(H113,'Lookup Tables'!$F$5:$F$16,0)),0)</x:f>
        <x:v>1620</x:v>
      </x:c>
      <x:c r="P113" s="9" t="n">
        <x:f>IF(S113="Completed",K113*O113,0)</x:f>
        <x:v>1620</x:v>
      </x:c>
      <x:c r="Q113" s="9" t="n">
        <x:f>N113-P113</x:f>
        <x:v>754.0499999999997</x:v>
      </x:c>
      <x:c r="R113" s="8" t="str">
        <x:f>IF(LOWER('Raw Data'!N113)="upi","UPI",'Raw Data'!N113)</x:f>
        <x:v>Cash on Delivery</x:v>
      </x:c>
      <x:c r="S113" s="8" t="str">
        <x:v>Completed</x:v>
      </x:c>
      <x:c r="T113" s="8" t="str">
        <x:f>TEXT(B113,"mmm yyyy")</x:f>
        <x:v>Jul 2025</x:v>
      </x:c>
      <x:c r="U113" s="8" t="n">
        <x:f>YEAR(B113)</x:f>
        <x:v>2025</x:v>
      </x:c>
    </x:row>
    <x:row r="114">
      <x:c r="A114" s="8" t="str">
        <x:v>ORD-0110</x:v>
      </x:c>
      <x:c r="B114" s="22" t="n">
        <x:v>45977.391680925924</x:v>
      </x:c>
      <x:c r="C114" s="8" t="str">
        <x:v>CUS-032</x:v>
      </x:c>
      <x:c r="D114" s="8" t="str">
        <x:f>IFERROR(INDEX('Lookup Tables'!$B$5:$B$84,MATCH(C114,'Lookup Tables'!$A$5:$A$84,0)),"Unknown Customer")</x:f>
        <x:v>Priya Kapoor 2</x:v>
      </x:c>
      <x:c r="E114" s="8" t="str">
        <x:f>IFERROR(INDEX('Lookup Tables'!$C$5:$C$84,MATCH(C114,'Lookup Tables'!$A$5:$A$84,0)),"Unknown")</x:f>
        <x:v>Corporate</x:v>
      </x:c>
      <x:c r="F114" s="8" t="str">
        <x:v>Jaipur</x:v>
      </x:c>
      <x:c r="G114" s="8" t="str">
        <x:f>IFERROR(INDEX('Lookup Tables'!$N$5:$N$14,MATCH(F114,'Lookup Tables'!$M$5:$M$14,0)),"Unknown")</x:f>
        <x:v>North</x:v>
      </x:c>
      <x:c r="H114" s="8" t="str">
        <x:v>PRD-012</x:v>
      </x:c>
      <x:c r="I114" s="8" t="str">
        <x:f>IFERROR(INDEX('Lookup Tables'!$G$5:$G$16,MATCH(H114,'Lookup Tables'!$F$5:$F$16,0)),"Unknown Product")</x:f>
        <x:v>Stainless Water Bottle</x:v>
      </x:c>
      <x:c r="J114" s="8" t="str">
        <x:f>IFERROR(INDEX('Lookup Tables'!$H$5:$H$16,MATCH(H114,'Lookup Tables'!$F$5:$F$16,0)),"Unknown")</x:f>
        <x:v>Lifestyle</x:v>
      </x:c>
      <x:c r="K114" s="8" t="n">
        <x:v>1</x:v>
      </x:c>
      <x:c r="L114" s="9" t="n">
        <x:f>IFERROR(INDEX('Lookup Tables'!$I$5:$I$16,MATCH(H114,'Lookup Tables'!$F$5:$F$16,0)),0)</x:f>
        <x:v>799</x:v>
      </x:c>
      <x:c r="M114" s="23" t="n">
        <x:f>IF('Raw Data'!M114="",0,'Raw Data'!M114)</x:f>
        <x:v>0</x:v>
      </x:c>
      <x:c r="N114" s="9" t="n">
        <x:f>IF(S114="Completed",K114*L114*(1-M114),0)</x:f>
        <x:v>0</x:v>
      </x:c>
      <x:c r="O114" s="9" t="n">
        <x:f>IFERROR(INDEX('Lookup Tables'!$J$5:$J$16,MATCH(H114,'Lookup Tables'!$F$5:$F$16,0)),0)</x:f>
        <x:v>410</x:v>
      </x:c>
      <x:c r="P114" s="9" t="n">
        <x:f>IF(S114="Completed",K114*O114,0)</x:f>
        <x:v>0</x:v>
      </x:c>
      <x:c r="Q114" s="9" t="n">
        <x:f>N114-P114</x:f>
        <x:v>0</x:v>
      </x:c>
      <x:c r="R114" s="8" t="str">
        <x:f>IF(LOWER('Raw Data'!N114)="upi","UPI",'Raw Data'!N114)</x:f>
        <x:v>Net Banking</x:v>
      </x:c>
      <x:c r="S114" s="8" t="str">
        <x:v>Returned</x:v>
      </x:c>
      <x:c r="T114" s="8" t="str">
        <x:f>TEXT(B114,"mmm yyyy")</x:f>
        <x:v>Nov 2025</x:v>
      </x:c>
      <x:c r="U114" s="8" t="n">
        <x:f>YEAR(B114)</x:f>
        <x:v>2025</x:v>
      </x:c>
    </x:row>
    <x:row r="115">
      <x:c r="A115" s="8" t="str">
        <x:v>ORD-0111</x:v>
      </x:c>
      <x:c r="B115" s="22" t="n">
        <x:v>45880.503703877315</x:v>
      </x:c>
      <x:c r="C115" s="8" t="str">
        <x:v>CUS-021</x:v>
      </x:c>
      <x:c r="D115" s="8" t="str">
        <x:f>IFERROR(INDEX('Lookup Tables'!$B$5:$B$84,MATCH(C115,'Lookup Tables'!$A$5:$A$84,0)),"Unknown Customer")</x:f>
        <x:v>Aarav Sharma 2</x:v>
      </x:c>
      <x:c r="E115" s="8" t="str">
        <x:f>IFERROR(INDEX('Lookup Tables'!$C$5:$C$84,MATCH(C115,'Lookup Tables'!$A$5:$A$84,0)),"Unknown")</x:f>
        <x:v>Small Business</x:v>
      </x:c>
      <x:c r="F115" s="8" t="str">
        <x:v>Mumbai</x:v>
      </x:c>
      <x:c r="G115" s="8" t="str">
        <x:f>IFERROR(INDEX('Lookup Tables'!$N$5:$N$14,MATCH(F115,'Lookup Tables'!$M$5:$M$14,0)),"Unknown")</x:f>
        <x:v>West</x:v>
      </x:c>
      <x:c r="H115" s="8" t="str">
        <x:v>PRD-007</x:v>
      </x:c>
      <x:c r="I115" s="8" t="str">
        <x:f>IFERROR(INDEX('Lookup Tables'!$G$5:$G$16,MATCH(H115,'Lookup Tables'!$F$5:$F$16,0)),"Unknown Product")</x:f>
        <x:v>Electric Kettle</x:v>
      </x:c>
      <x:c r="J115" s="8" t="str">
        <x:f>IFERROR(INDEX('Lookup Tables'!$H$5:$H$16,MATCH(H115,'Lookup Tables'!$F$5:$F$16,0)),"Unknown")</x:f>
        <x:v>Home &amp; Kitchen</x:v>
      </x:c>
      <x:c r="K115" s="8" t="n">
        <x:v>2</x:v>
      </x:c>
      <x:c r="L115" s="9" t="n">
        <x:f>IFERROR(INDEX('Lookup Tables'!$I$5:$I$16,MATCH(H115,'Lookup Tables'!$F$5:$F$16,0)),0)</x:f>
        <x:v>1699</x:v>
      </x:c>
      <x:c r="M115" s="23" t="n">
        <x:f>IF('Raw Data'!M115="",0,'Raw Data'!M115)</x:f>
        <x:v>0.15</x:v>
      </x:c>
      <x:c r="N115" s="9" t="n">
        <x:f>IF(S115="Completed",K115*L115*(1-M115),0)</x:f>
        <x:v>2888.2999999999997</x:v>
      </x:c>
      <x:c r="O115" s="9" t="n">
        <x:f>IFERROR(INDEX('Lookup Tables'!$J$5:$J$16,MATCH(H115,'Lookup Tables'!$F$5:$F$16,0)),0)</x:f>
        <x:v>1040</x:v>
      </x:c>
      <x:c r="P115" s="9" t="n">
        <x:f>IF(S115="Completed",K115*O115,0)</x:f>
        <x:v>2080</x:v>
      </x:c>
      <x:c r="Q115" s="9" t="n">
        <x:f>N115-P115</x:f>
        <x:v>808.2999999999997</x:v>
      </x:c>
      <x:c r="R115" s="8" t="str">
        <x:f>IF(LOWER('Raw Data'!N115)="upi","UPI",'Raw Data'!N115)</x:f>
        <x:v>Cash on Delivery</x:v>
      </x:c>
      <x:c r="S115" s="8" t="str">
        <x:v>Completed</x:v>
      </x:c>
      <x:c r="T115" s="8" t="str">
        <x:f>TEXT(B115,"mmm yyyy")</x:f>
        <x:v>Aug 2025</x:v>
      </x:c>
      <x:c r="U115" s="8" t="n">
        <x:f>YEAR(B115)</x:f>
        <x:v>2025</x:v>
      </x:c>
    </x:row>
    <x:row r="116">
      <x:c r="A116" s="8" t="str">
        <x:v>ORD-0112</x:v>
      </x:c>
      <x:c r="B116" s="22" t="n">
        <x:v>45682.26666851852</x:v>
      </x:c>
      <x:c r="C116" s="8" t="str">
        <x:v>CUS-029</x:v>
      </x:c>
      <x:c r="D116" s="8" t="str">
        <x:f>IFERROR(INDEX('Lookup Tables'!$B$5:$B$84,MATCH(C116,'Lookup Tables'!$A$5:$A$84,0)),"Unknown Customer")</x:f>
        <x:v>Rohan Das 2</x:v>
      </x:c>
      <x:c r="E116" s="8" t="str">
        <x:f>IFERROR(INDEX('Lookup Tables'!$C$5:$C$84,MATCH(C116,'Lookup Tables'!$A$5:$A$84,0)),"Unknown")</x:f>
        <x:v>Corporate</x:v>
      </x:c>
      <x:c r="F116" s="8" t="str">
        <x:v>Ahmedabad</x:v>
      </x:c>
      <x:c r="G116" s="8" t="str">
        <x:f>IFERROR(INDEX('Lookup Tables'!$N$5:$N$14,MATCH(F116,'Lookup Tables'!$M$5:$M$14,0)),"Unknown")</x:f>
        <x:v>West</x:v>
      </x:c>
      <x:c r="H116" s="8" t="str">
        <x:v>PRD-002</x:v>
      </x:c>
      <x:c r="I116" s="8" t="str">
        <x:f>IFERROR(INDEX('Lookup Tables'!$G$5:$G$16,MATCH(H116,'Lookup Tables'!$F$5:$F$16,0)),"Unknown Product")</x:f>
        <x:v>Bluetooth Headphones</x:v>
      </x:c>
      <x:c r="J116" s="8" t="str">
        <x:f>IFERROR(INDEX('Lookup Tables'!$H$5:$H$16,MATCH(H116,'Lookup Tables'!$F$5:$F$16,0)),"Unknown")</x:f>
        <x:v>Electronics</x:v>
      </x:c>
      <x:c r="K116" s="8" t="n">
        <x:v>2</x:v>
      </x:c>
      <x:c r="L116" s="9" t="n">
        <x:f>IFERROR(INDEX('Lookup Tables'!$I$5:$I$16,MATCH(H116,'Lookup Tables'!$F$5:$F$16,0)),0)</x:f>
        <x:v>2499</x:v>
      </x:c>
      <x:c r="M116" s="23" t="n">
        <x:f>IF('Raw Data'!M116="",0,'Raw Data'!M116)</x:f>
        <x:v>0</x:v>
      </x:c>
      <x:c r="N116" s="9" t="n">
        <x:f>IF(S116="Completed",K116*L116*(1-M116),0)</x:f>
        <x:v>4998</x:v>
      </x:c>
      <x:c r="O116" s="9" t="n">
        <x:f>IFERROR(INDEX('Lookup Tables'!$J$5:$J$16,MATCH(H116,'Lookup Tables'!$F$5:$F$16,0)),0)</x:f>
        <x:v>1620</x:v>
      </x:c>
      <x:c r="P116" s="9" t="n">
        <x:f>IF(S116="Completed",K116*O116,0)</x:f>
        <x:v>3240</x:v>
      </x:c>
      <x:c r="Q116" s="9" t="n">
        <x:f>N116-P116</x:f>
        <x:v>1758</x:v>
      </x:c>
      <x:c r="R116" s="8" t="str">
        <x:f>IF(LOWER('Raw Data'!N116)="upi","UPI",'Raw Data'!N116)</x:f>
        <x:v>Net Banking</x:v>
      </x:c>
      <x:c r="S116" s="8" t="str">
        <x:v>Completed</x:v>
      </x:c>
      <x:c r="T116" s="8" t="str">
        <x:f>TEXT(B116,"mmm yyyy")</x:f>
        <x:v>Jan 2025</x:v>
      </x:c>
      <x:c r="U116" s="8" t="n">
        <x:f>YEAR(B116)</x:f>
        <x:v>2025</x:v>
      </x:c>
    </x:row>
    <x:row r="117">
      <x:c r="A117" s="8" t="str">
        <x:v>ORD-0113</x:v>
      </x:c>
      <x:c r="B117" s="22" t="n">
        <x:v>45684.72861478009</x:v>
      </x:c>
      <x:c r="C117" s="8" t="str">
        <x:v>CUS-043</x:v>
      </x:c>
      <x:c r="D117" s="8" t="str">
        <x:f>IFERROR(INDEX('Lookup Tables'!$B$5:$B$84,MATCH(C117,'Lookup Tables'!$A$5:$A$84,0)),"Unknown Customer")</x:f>
        <x:v>Vihaan Singh 3</x:v>
      </x:c>
      <x:c r="E117" s="8" t="str">
        <x:f>IFERROR(INDEX('Lookup Tables'!$C$5:$C$84,MATCH(C117,'Lookup Tables'!$A$5:$A$84,0)),"Unknown")</x:f>
        <x:v>Consumer</x:v>
      </x:c>
      <x:c r="F117" s="8" t="str">
        <x:v>Kolkata</x:v>
      </x:c>
      <x:c r="G117" s="8" t="str">
        <x:f>IFERROR(INDEX('Lookup Tables'!$N$5:$N$14,MATCH(F117,'Lookup Tables'!$M$5:$M$14,0)),"Unknown")</x:f>
        <x:v>East</x:v>
      </x:c>
      <x:c r="H117" s="8" t="str">
        <x:v>PRD-001</x:v>
      </x:c>
      <x:c r="I117" s="8" t="str">
        <x:f>IFERROR(INDEX('Lookup Tables'!$G$5:$G$16,MATCH(H117,'Lookup Tables'!$F$5:$F$16,0)),"Unknown Product")</x:f>
        <x:v>Wireless Mouse</x:v>
      </x:c>
      <x:c r="J117" s="8" t="str">
        <x:f>IFERROR(INDEX('Lookup Tables'!$H$5:$H$16,MATCH(H117,'Lookup Tables'!$F$5:$F$16,0)),"Unknown")</x:f>
        <x:v>Electronics</x:v>
      </x:c>
      <x:c r="K117" s="8" t="n">
        <x:v>3</x:v>
      </x:c>
      <x:c r="L117" s="9" t="n">
        <x:f>IFERROR(INDEX('Lookup Tables'!$I$5:$I$16,MATCH(H117,'Lookup Tables'!$F$5:$F$16,0)),0)</x:f>
        <x:v>899</x:v>
      </x:c>
      <x:c r="M117" s="23" t="n">
        <x:f>IF('Raw Data'!M117="",0,'Raw Data'!M117)</x:f>
        <x:v>0.15</x:v>
      </x:c>
      <x:c r="N117" s="9" t="n">
        <x:f>IF(S117="Completed",K117*L117*(1-M117),0)</x:f>
        <x:v>0</x:v>
      </x:c>
      <x:c r="O117" s="9" t="n">
        <x:f>IFERROR(INDEX('Lookup Tables'!$J$5:$J$16,MATCH(H117,'Lookup Tables'!$F$5:$F$16,0)),0)</x:f>
        <x:v>540</x:v>
      </x:c>
      <x:c r="P117" s="9" t="n">
        <x:f>IF(S117="Completed",K117*O117,0)</x:f>
        <x:v>0</x:v>
      </x:c>
      <x:c r="Q117" s="9" t="n">
        <x:f>N117-P117</x:f>
        <x:v>0</x:v>
      </x:c>
      <x:c r="R117" s="8" t="str">
        <x:f>IF(LOWER('Raw Data'!N117)="upi","UPI",'Raw Data'!N117)</x:f>
        <x:v>Net Banking</x:v>
      </x:c>
      <x:c r="S117" s="8" t="str">
        <x:v>Returned</x:v>
      </x:c>
      <x:c r="T117" s="8" t="str">
        <x:f>TEXT(B117,"mmm yyyy")</x:f>
        <x:v>Jan 2025</x:v>
      </x:c>
      <x:c r="U117" s="8" t="n">
        <x:f>YEAR(B117)</x:f>
        <x:v>2025</x:v>
      </x:c>
    </x:row>
    <x:row r="118">
      <x:c r="A118" s="8" t="str">
        <x:v>ORD-0114</x:v>
      </x:c>
      <x:c r="B118" s="22" t="n">
        <x:v>45915.60238002315</x:v>
      </x:c>
      <x:c r="C118" s="8" t="str">
        <x:v>CUS-061</x:v>
      </x:c>
      <x:c r="D118" s="8" t="str">
        <x:f>IFERROR(INDEX('Lookup Tables'!$B$5:$B$84,MATCH(C118,'Lookup Tables'!$A$5:$A$84,0)),"Unknown Customer")</x:f>
        <x:v>Aarav Sharma 4</x:v>
      </x:c>
      <x:c r="E118" s="8" t="str">
        <x:f>IFERROR(INDEX('Lookup Tables'!$C$5:$C$84,MATCH(C118,'Lookup Tables'!$A$5:$A$84,0)),"Unknown")</x:f>
        <x:v>Consumer</x:v>
      </x:c>
      <x:c r="F118" s="8" t="str">
        <x:v>Mumbai</x:v>
      </x:c>
      <x:c r="G118" s="8" t="str">
        <x:f>IFERROR(INDEX('Lookup Tables'!$N$5:$N$14,MATCH(F118,'Lookup Tables'!$M$5:$M$14,0)),"Unknown")</x:f>
        <x:v>West</x:v>
      </x:c>
      <x:c r="H118" s="8" t="str">
        <x:v>PRD-006</x:v>
      </x:c>
      <x:c r="I118" s="8" t="str">
        <x:f>IFERROR(INDEX('Lookup Tables'!$G$5:$G$16,MATCH(H118,'Lookup Tables'!$F$5:$F$16,0)),"Unknown Product")</x:f>
        <x:v>Desk Organiser</x:v>
      </x:c>
      <x:c r="J118" s="8" t="str">
        <x:f>IFERROR(INDEX('Lookup Tables'!$H$5:$H$16,MATCH(H118,'Lookup Tables'!$F$5:$F$16,0)),"Unknown")</x:f>
        <x:v>Office Supplies</x:v>
      </x:c>
      <x:c r="K118" s="8" t="n">
        <x:v>4</x:v>
      </x:c>
      <x:c r="L118" s="9" t="n">
        <x:f>IFERROR(INDEX('Lookup Tables'!$I$5:$I$16,MATCH(H118,'Lookup Tables'!$F$5:$F$16,0)),0)</x:f>
        <x:v>699</x:v>
      </x:c>
      <x:c r="M118" s="23" t="n">
        <x:f>IF('Raw Data'!M118="",0,'Raw Data'!M118)</x:f>
        <x:v>0</x:v>
      </x:c>
      <x:c r="N118" s="9" t="n">
        <x:f>IF(S118="Completed",K118*L118*(1-M118),0)</x:f>
        <x:v>2796</x:v>
      </x:c>
      <x:c r="O118" s="9" t="n">
        <x:f>IFERROR(INDEX('Lookup Tables'!$J$5:$J$16,MATCH(H118,'Lookup Tables'!$F$5:$F$16,0)),0)</x:f>
        <x:v>390</x:v>
      </x:c>
      <x:c r="P118" s="9" t="n">
        <x:f>IF(S118="Completed",K118*O118,0)</x:f>
        <x:v>1560</x:v>
      </x:c>
      <x:c r="Q118" s="9" t="n">
        <x:f>N118-P118</x:f>
        <x:v>1236</x:v>
      </x:c>
      <x:c r="R118" s="8" t="str">
        <x:f>IF(LOWER('Raw Data'!N118)="upi","UPI",'Raw Data'!N118)</x:f>
        <x:v>Cash on Delivery</x:v>
      </x:c>
      <x:c r="S118" s="8" t="str">
        <x:v>Completed</x:v>
      </x:c>
      <x:c r="T118" s="8" t="str">
        <x:f>TEXT(B118,"mmm yyyy")</x:f>
        <x:v>Sep 2025</x:v>
      </x:c>
      <x:c r="U118" s="8" t="n">
        <x:f>YEAR(B118)</x:f>
        <x:v>2025</x:v>
      </x:c>
    </x:row>
    <x:row r="119">
      <x:c r="A119" s="8" t="str">
        <x:v>ORD-0115</x:v>
      </x:c>
      <x:c r="B119" s="22" t="n">
        <x:v>45890.45274204861</x:v>
      </x:c>
      <x:c r="C119" s="8" t="str">
        <x:v>CUS-068</x:v>
      </x:c>
      <x:c r="D119" s="8" t="str">
        <x:f>IFERROR(INDEX('Lookup Tables'!$B$5:$B$84,MATCH(C119,'Lookup Tables'!$A$5:$A$84,0)),"Unknown Customer")</x:f>
        <x:v>Meera Nair 4</x:v>
      </x:c>
      <x:c r="E119" s="8" t="str">
        <x:f>IFERROR(INDEX('Lookup Tables'!$C$5:$C$84,MATCH(C119,'Lookup Tables'!$A$5:$A$84,0)),"Unknown")</x:f>
        <x:v>Corporate</x:v>
      </x:c>
      <x:c r="F119" s="8" t="str">
        <x:v>Bengaluru</x:v>
      </x:c>
      <x:c r="G119" s="8" t="str">
        <x:f>IFERROR(INDEX('Lookup Tables'!$N$5:$N$14,MATCH(F119,'Lookup Tables'!$M$5:$M$14,0)),"Unknown")</x:f>
        <x:v>South</x:v>
      </x:c>
      <x:c r="H119" s="8" t="str">
        <x:v>PRD-004</x:v>
      </x:c>
      <x:c r="I119" s="8" t="str">
        <x:f>IFERROR(INDEX('Lookup Tables'!$G$5:$G$16,MATCH(H119,'Lookup Tables'!$F$5:$F$16,0)),"Unknown Product")</x:f>
        <x:v>Laptop Stand</x:v>
      </x:c>
      <x:c r="J119" s="8" t="str">
        <x:f>IFERROR(INDEX('Lookup Tables'!$H$5:$H$16,MATCH(H119,'Lookup Tables'!$F$5:$F$16,0)),"Unknown")</x:f>
        <x:v>Office Supplies</x:v>
      </x:c>
      <x:c r="K119" s="8" t="n">
        <x:v>3</x:v>
      </x:c>
      <x:c r="L119" s="9" t="n">
        <x:f>IFERROR(INDEX('Lookup Tables'!$I$5:$I$16,MATCH(H119,'Lookup Tables'!$F$5:$F$16,0)),0)</x:f>
        <x:v>1299</x:v>
      </x:c>
      <x:c r="M119" s="23" t="n">
        <x:f>IF('Raw Data'!M119="",0,'Raw Data'!M119)</x:f>
        <x:v>0.2</x:v>
      </x:c>
      <x:c r="N119" s="9" t="n">
        <x:f>IF(S119="Completed",K119*L119*(1-M119),0)</x:f>
        <x:v>3117.6000000000004</x:v>
      </x:c>
      <x:c r="O119" s="9" t="n">
        <x:f>IFERROR(INDEX('Lookup Tables'!$J$5:$J$16,MATCH(H119,'Lookup Tables'!$F$5:$F$16,0)),0)</x:f>
        <x:v>760</x:v>
      </x:c>
      <x:c r="P119" s="9" t="n">
        <x:f>IF(S119="Completed",K119*O119,0)</x:f>
        <x:v>2280</x:v>
      </x:c>
      <x:c r="Q119" s="9" t="n">
        <x:f>N119-P119</x:f>
        <x:v>837.6000000000004</x:v>
      </x:c>
      <x:c r="R119" s="8" t="str">
        <x:f>IF(LOWER('Raw Data'!N119)="upi","UPI",'Raw Data'!N119)</x:f>
        <x:v>Net Banking</x:v>
      </x:c>
      <x:c r="S119" s="8" t="str">
        <x:v>Completed</x:v>
      </x:c>
      <x:c r="T119" s="8" t="str">
        <x:f>TEXT(B119,"mmm yyyy")</x:f>
        <x:v>Aug 2025</x:v>
      </x:c>
      <x:c r="U119" s="8" t="n">
        <x:f>YEAR(B119)</x:f>
        <x:v>2025</x:v>
      </x:c>
    </x:row>
    <x:row r="120">
      <x:c r="A120" s="8" t="str">
        <x:v>ORD-0116</x:v>
      </x:c>
      <x:c r="B120" s="22" t="n">
        <x:v>45735.648614363425</x:v>
      </x:c>
      <x:c r="C120" s="8" t="str">
        <x:v>CUS-071</x:v>
      </x:c>
      <x:c r="D120" s="8" t="str">
        <x:f>IFERROR(INDEX('Lookup Tables'!$B$5:$B$84,MATCH(C120,'Lookup Tables'!$A$5:$A$84,0)),"Unknown Customer")</x:f>
        <x:v>Aditya Joshi 4</x:v>
      </x:c>
      <x:c r="E120" s="8" t="str">
        <x:f>IFERROR(INDEX('Lookup Tables'!$C$5:$C$84,MATCH(C120,'Lookup Tables'!$A$5:$A$84,0)),"Unknown")</x:f>
        <x:v>Corporate</x:v>
      </x:c>
      <x:c r="F120" s="8" t="str">
        <x:v>Ahmedabad</x:v>
      </x:c>
      <x:c r="G120" s="8" t="str">
        <x:f>IFERROR(INDEX('Lookup Tables'!$N$5:$N$14,MATCH(F120,'Lookup Tables'!$M$5:$M$14,0)),"Unknown")</x:f>
        <x:v>West</x:v>
      </x:c>
      <x:c r="H120" s="8" t="str">
        <x:v>PRD-007</x:v>
      </x:c>
      <x:c r="I120" s="8" t="str">
        <x:f>IFERROR(INDEX('Lookup Tables'!$G$5:$G$16,MATCH(H120,'Lookup Tables'!$F$5:$F$16,0)),"Unknown Product")</x:f>
        <x:v>Electric Kettle</x:v>
      </x:c>
      <x:c r="J120" s="8" t="str">
        <x:f>IFERROR(INDEX('Lookup Tables'!$H$5:$H$16,MATCH(H120,'Lookup Tables'!$F$5:$F$16,0)),"Unknown")</x:f>
        <x:v>Home &amp; Kitchen</x:v>
      </x:c>
      <x:c r="K120" s="8" t="n">
        <x:v>4</x:v>
      </x:c>
      <x:c r="L120" s="9" t="n">
        <x:f>IFERROR(INDEX('Lookup Tables'!$I$5:$I$16,MATCH(H120,'Lookup Tables'!$F$5:$F$16,0)),0)</x:f>
        <x:v>1699</x:v>
      </x:c>
      <x:c r="M120" s="23" t="n">
        <x:f>IF('Raw Data'!M120="",0,'Raw Data'!M120)</x:f>
        <x:v>0</x:v>
      </x:c>
      <x:c r="N120" s="9" t="n">
        <x:f>IF(S120="Completed",K120*L120*(1-M120),0)</x:f>
        <x:v>6796</x:v>
      </x:c>
      <x:c r="O120" s="9" t="n">
        <x:f>IFERROR(INDEX('Lookup Tables'!$J$5:$J$16,MATCH(H120,'Lookup Tables'!$F$5:$F$16,0)),0)</x:f>
        <x:v>1040</x:v>
      </x:c>
      <x:c r="P120" s="9" t="n">
        <x:f>IF(S120="Completed",K120*O120,0)</x:f>
        <x:v>4160</x:v>
      </x:c>
      <x:c r="Q120" s="9" t="n">
        <x:f>N120-P120</x:f>
        <x:v>2636</x:v>
      </x:c>
      <x:c r="R120" s="8" t="str">
        <x:f>IF(LOWER('Raw Data'!N120)="upi","UPI",'Raw Data'!N120)</x:f>
        <x:v>Debit Card</x:v>
      </x:c>
      <x:c r="S120" s="8" t="str">
        <x:v>Completed</x:v>
      </x:c>
      <x:c r="T120" s="8" t="str">
        <x:f>TEXT(B120,"mmm yyyy")</x:f>
        <x:v>Mar 2025</x:v>
      </x:c>
      <x:c r="U120" s="8" t="n">
        <x:f>YEAR(B120)</x:f>
        <x:v>2025</x:v>
      </x:c>
    </x:row>
    <x:row r="121">
      <x:c r="A121" s="8" t="str">
        <x:v>ORD-0117</x:v>
      </x:c>
      <x:c r="B121" s="22" t="n">
        <x:v>45785.1043646875</x:v>
      </x:c>
      <x:c r="C121" s="8" t="str">
        <x:v>CUS-019</x:v>
      </x:c>
      <x:c r="D121" s="8" t="str">
        <x:f>IFERROR(INDEX('Lookup Tables'!$B$5:$B$84,MATCH(C121,'Lookup Tables'!$A$5:$A$84,0)),"Unknown Customer")</x:f>
        <x:v>Siddharth Jain</x:v>
      </x:c>
      <x:c r="E121" s="8" t="str">
        <x:f>IFERROR(INDEX('Lookup Tables'!$C$5:$C$84,MATCH(C121,'Lookup Tables'!$A$5:$A$84,0)),"Unknown")</x:f>
        <x:v>Consumer</x:v>
      </x:c>
      <x:c r="F121" s="8" t="str">
        <x:v>Bengaluru</x:v>
      </x:c>
      <x:c r="G121" s="8" t="str">
        <x:f>IFERROR(INDEX('Lookup Tables'!$N$5:$N$14,MATCH(F121,'Lookup Tables'!$M$5:$M$14,0)),"Unknown")</x:f>
        <x:v>South</x:v>
      </x:c>
      <x:c r="H121" s="8" t="str">
        <x:v>PRD-010</x:v>
      </x:c>
      <x:c r="I121" s="8" t="str">
        <x:f>IFERROR(INDEX('Lookup Tables'!$G$5:$G$16,MATCH(H121,'Lookup Tables'!$F$5:$F$16,0)),"Unknown Product")</x:f>
        <x:v>Travel Backpack</x:v>
      </x:c>
      <x:c r="J121" s="8" t="str">
        <x:f>IFERROR(INDEX('Lookup Tables'!$H$5:$H$16,MATCH(H121,'Lookup Tables'!$F$5:$F$16,0)),"Unknown")</x:f>
        <x:v>Fashion</x:v>
      </x:c>
      <x:c r="K121" s="8" t="n">
        <x:v>3</x:v>
      </x:c>
      <x:c r="L121" s="9" t="n">
        <x:f>IFERROR(INDEX('Lookup Tables'!$I$5:$I$16,MATCH(H121,'Lookup Tables'!$F$5:$F$16,0)),0)</x:f>
        <x:v>2199</x:v>
      </x:c>
      <x:c r="M121" s="23" t="n">
        <x:f>IF('Raw Data'!M121="",0,'Raw Data'!M121)</x:f>
        <x:v>0</x:v>
      </x:c>
      <x:c r="N121" s="9" t="n">
        <x:f>IF(S121="Completed",K121*L121*(1-M121),0)</x:f>
        <x:v>6597</x:v>
      </x:c>
      <x:c r="O121" s="9" t="n">
        <x:f>IFERROR(INDEX('Lookup Tables'!$J$5:$J$16,MATCH(H121,'Lookup Tables'!$F$5:$F$16,0)),0)</x:f>
        <x:v>1380</x:v>
      </x:c>
      <x:c r="P121" s="9" t="n">
        <x:f>IF(S121="Completed",K121*O121,0)</x:f>
        <x:v>4140</x:v>
      </x:c>
      <x:c r="Q121" s="9" t="n">
        <x:f>N121-P121</x:f>
        <x:v>2457</x:v>
      </x:c>
      <x:c r="R121" s="8" t="str">
        <x:f>IF(LOWER('Raw Data'!N121)="upi","UPI",'Raw Data'!N121)</x:f>
        <x:v>UPI</x:v>
      </x:c>
      <x:c r="S121" s="8" t="str">
        <x:v>Completed</x:v>
      </x:c>
      <x:c r="T121" s="8" t="str">
        <x:f>TEXT(B121,"mmm yyyy")</x:f>
        <x:v>May 2025</x:v>
      </x:c>
      <x:c r="U121" s="8" t="n">
        <x:f>YEAR(B121)</x:f>
        <x:v>2025</x:v>
      </x:c>
    </x:row>
    <x:row r="122">
      <x:c r="A122" s="8" t="str">
        <x:v>ORD-0118</x:v>
      </x:c>
      <x:c r="B122" s="22" t="n">
        <x:v>46002.342177858794</x:v>
      </x:c>
      <x:c r="C122" s="8" t="str">
        <x:v>CUS-063</x:v>
      </x:c>
      <x:c r="D122" s="8" t="str">
        <x:f>IFERROR(INDEX('Lookup Tables'!$B$5:$B$84,MATCH(C122,'Lookup Tables'!$A$5:$A$84,0)),"Unknown Customer")</x:f>
        <x:v>Vihaan Singh 4</x:v>
      </x:c>
      <x:c r="E122" s="8" t="str">
        <x:f>IFERROR(INDEX('Lookup Tables'!$C$5:$C$84,MATCH(C122,'Lookup Tables'!$A$5:$A$84,0)),"Unknown")</x:f>
        <x:v>Small Business</x:v>
      </x:c>
      <x:c r="F122" s="8" t="str">
        <x:v>Pune</x:v>
      </x:c>
      <x:c r="G122" s="8" t="str">
        <x:f>IFERROR(INDEX('Lookup Tables'!$N$5:$N$14,MATCH(F122,'Lookup Tables'!$M$5:$M$14,0)),"Unknown")</x:f>
        <x:v>West</x:v>
      </x:c>
      <x:c r="H122" s="8" t="str">
        <x:v>PRD-008</x:v>
      </x:c>
      <x:c r="I122" s="8" t="str">
        <x:f>IFERROR(INDEX('Lookup Tables'!$G$5:$G$16,MATCH(H122,'Lookup Tables'!$F$5:$F$16,0)),"Unknown Product")</x:f>
        <x:v>Storage Container Set</x:v>
      </x:c>
      <x:c r="J122" s="8" t="str">
        <x:f>IFERROR(INDEX('Lookup Tables'!$H$5:$H$16,MATCH(H122,'Lookup Tables'!$F$5:$F$16,0)),"Unknown")</x:f>
        <x:v>Home &amp; Kitchen</x:v>
      </x:c>
      <x:c r="K122" s="8" t="n">
        <x:v>4</x:v>
      </x:c>
      <x:c r="L122" s="9" t="n">
        <x:f>IFERROR(INDEX('Lookup Tables'!$I$5:$I$16,MATCH(H122,'Lookup Tables'!$F$5:$F$16,0)),0)</x:f>
        <x:v>999</x:v>
      </x:c>
      <x:c r="M122" s="23" t="n">
        <x:f>IF('Raw Data'!M122="",0,'Raw Data'!M122)</x:f>
        <x:v>0.05</x:v>
      </x:c>
      <x:c r="N122" s="9" t="n">
        <x:f>IF(S122="Completed",K122*L122*(1-M122),0)</x:f>
        <x:v>0</x:v>
      </x:c>
      <x:c r="O122" s="9" t="n">
        <x:f>IFERROR(INDEX('Lookup Tables'!$J$5:$J$16,MATCH(H122,'Lookup Tables'!$F$5:$F$16,0)),0)</x:f>
        <x:v>580</x:v>
      </x:c>
      <x:c r="P122" s="9" t="n">
        <x:f>IF(S122="Completed",K122*O122,0)</x:f>
        <x:v>0</x:v>
      </x:c>
      <x:c r="Q122" s="9" t="n">
        <x:f>N122-P122</x:f>
        <x:v>0</x:v>
      </x:c>
      <x:c r="R122" s="8" t="str">
        <x:f>IF(LOWER('Raw Data'!N122)="upi","UPI",'Raw Data'!N122)</x:f>
        <x:v>Credit Card</x:v>
      </x:c>
      <x:c r="S122" s="8" t="str">
        <x:v>Returned</x:v>
      </x:c>
      <x:c r="T122" s="8" t="str">
        <x:f>TEXT(B122,"mmm yyyy")</x:f>
        <x:v>Dec 2025</x:v>
      </x:c>
      <x:c r="U122" s="8" t="n">
        <x:f>YEAR(B122)</x:f>
        <x:v>2025</x:v>
      </x:c>
    </x:row>
    <x:row r="123">
      <x:c r="A123" s="8" t="str">
        <x:v>ORD-0119</x:v>
      </x:c>
      <x:c r="B123" s="22" t="n">
        <x:v>45955.642791018516</x:v>
      </x:c>
      <x:c r="C123" s="8" t="str">
        <x:v>CUS-058</x:v>
      </x:c>
      <x:c r="D123" s="8" t="str">
        <x:f>IFERROR(INDEX('Lookup Tables'!$B$5:$B$84,MATCH(C123,'Lookup Tables'!$A$5:$A$84,0)),"Unknown Customer")</x:f>
        <x:v>Nisha Bansal 3</x:v>
      </x:c>
      <x:c r="E123" s="8" t="str">
        <x:f>IFERROR(INDEX('Lookup Tables'!$C$5:$C$84,MATCH(C123,'Lookup Tables'!$A$5:$A$84,0)),"Unknown")</x:f>
        <x:v>Consumer</x:v>
      </x:c>
      <x:c r="F123" s="8" t="str">
        <x:v>Bengaluru</x:v>
      </x:c>
      <x:c r="G123" s="8" t="str">
        <x:f>IFERROR(INDEX('Lookup Tables'!$N$5:$N$14,MATCH(F123,'Lookup Tables'!$M$5:$M$14,0)),"Unknown")</x:f>
        <x:v>South</x:v>
      </x:c>
      <x:c r="H123" s="8" t="str">
        <x:v>PRD-009</x:v>
      </x:c>
      <x:c r="I123" s="8" t="str">
        <x:f>IFERROR(INDEX('Lookup Tables'!$G$5:$G$16,MATCH(H123,'Lookup Tables'!$F$5:$F$16,0)),"Unknown Product")</x:f>
        <x:v>Table Lamp</x:v>
      </x:c>
      <x:c r="J123" s="8" t="str">
        <x:f>IFERROR(INDEX('Lookup Tables'!$H$5:$H$16,MATCH(H123,'Lookup Tables'!$F$5:$F$16,0)),"Unknown")</x:f>
        <x:v>Home &amp; Kitchen</x:v>
      </x:c>
      <x:c r="K123" s="8" t="n">
        <x:v>2</x:v>
      </x:c>
      <x:c r="L123" s="9" t="n">
        <x:f>IFERROR(INDEX('Lookup Tables'!$I$5:$I$16,MATCH(H123,'Lookup Tables'!$F$5:$F$16,0)),0)</x:f>
        <x:v>1499</x:v>
      </x:c>
      <x:c r="M123" s="23" t="n">
        <x:f>IF('Raw Data'!M123="",0,'Raw Data'!M123)</x:f>
        <x:v>0</x:v>
      </x:c>
      <x:c r="N123" s="9" t="n">
        <x:f>IF(S123="Completed",K123*L123*(1-M123),0)</x:f>
        <x:v>2998</x:v>
      </x:c>
      <x:c r="O123" s="9" t="n">
        <x:f>IFERROR(INDEX('Lookup Tables'!$J$5:$J$16,MATCH(H123,'Lookup Tables'!$F$5:$F$16,0)),0)</x:f>
        <x:v>920</x:v>
      </x:c>
      <x:c r="P123" s="9" t="n">
        <x:f>IF(S123="Completed",K123*O123,0)</x:f>
        <x:v>1840</x:v>
      </x:c>
      <x:c r="Q123" s="9" t="n">
        <x:f>N123-P123</x:f>
        <x:v>1158</x:v>
      </x:c>
      <x:c r="R123" s="8" t="str">
        <x:f>IF(LOWER('Raw Data'!N123)="upi","UPI",'Raw Data'!N123)</x:f>
        <x:v>Cash on Delivery</x:v>
      </x:c>
      <x:c r="S123" s="8" t="str">
        <x:v>Completed</x:v>
      </x:c>
      <x:c r="T123" s="8" t="str">
        <x:f>TEXT(B123,"mmm yyyy")</x:f>
        <x:v>Oct 2025</x:v>
      </x:c>
      <x:c r="U123" s="8" t="n">
        <x:f>YEAR(B123)</x:f>
        <x:v>2025</x:v>
      </x:c>
    </x:row>
    <x:row r="124">
      <x:c r="A124" s="8" t="str">
        <x:v>ORD-0120</x:v>
      </x:c>
      <x:c r="B124" s="22" t="n">
        <x:v>45804.28838386574</x:v>
      </x:c>
      <x:c r="C124" s="8" t="str">
        <x:v>CUS-060</x:v>
      </x:c>
      <x:c r="D124" s="8" t="str">
        <x:f>IFERROR(INDEX('Lookup Tables'!$B$5:$B$84,MATCH(C124,'Lookup Tables'!$A$5:$A$84,0)),"Unknown Customer")</x:f>
        <x:v>Kavya Reddy 3</x:v>
      </x:c>
      <x:c r="E124" s="8" t="str">
        <x:f>IFERROR(INDEX('Lookup Tables'!$C$5:$C$84,MATCH(C124,'Lookup Tables'!$A$5:$A$84,0)),"Unknown")</x:f>
        <x:v>Small Business</x:v>
      </x:c>
      <x:c r="F124" s="8" t="str">
        <x:v>Bengaluru</x:v>
      </x:c>
      <x:c r="G124" s="8" t="str">
        <x:f>IFERROR(INDEX('Lookup Tables'!$N$5:$N$14,MATCH(F124,'Lookup Tables'!$M$5:$M$14,0)),"Unknown")</x:f>
        <x:v>South</x:v>
      </x:c>
      <x:c r="H124" s="8" t="str">
        <x:v>PRD-005</x:v>
      </x:c>
      <x:c r="I124" s="8" t="str">
        <x:f>IFERROR(INDEX('Lookup Tables'!$G$5:$G$16,MATCH(H124,'Lookup Tables'!$F$5:$F$16,0)),"Unknown Product")</x:f>
        <x:v>Executive Notebook</x:v>
      </x:c>
      <x:c r="J124" s="8" t="str">
        <x:f>IFERROR(INDEX('Lookup Tables'!$H$5:$H$16,MATCH(H124,'Lookup Tables'!$F$5:$F$16,0)),"Unknown")</x:f>
        <x:v>Office Supplies</x:v>
      </x:c>
      <x:c r="K124" s="8" t="n">
        <x:v>2</x:v>
      </x:c>
      <x:c r="L124" s="9" t="n">
        <x:f>IFERROR(INDEX('Lookup Tables'!$I$5:$I$16,MATCH(H124,'Lookup Tables'!$F$5:$F$16,0)),0)</x:f>
        <x:v>349</x:v>
      </x:c>
      <x:c r="M124" s="23" t="n">
        <x:f>IF('Raw Data'!M124="",0,'Raw Data'!M124)</x:f>
        <x:v>0.1</x:v>
      </x:c>
      <x:c r="N124" s="9" t="n">
        <x:f>IF(S124="Completed",K124*L124*(1-M124),0)</x:f>
        <x:v>628.2</x:v>
      </x:c>
      <x:c r="O124" s="9" t="n">
        <x:f>IFERROR(INDEX('Lookup Tables'!$J$5:$J$16,MATCH(H124,'Lookup Tables'!$F$5:$F$16,0)),0)</x:f>
        <x:v>170</x:v>
      </x:c>
      <x:c r="P124" s="9" t="n">
        <x:f>IF(S124="Completed",K124*O124,0)</x:f>
        <x:v>340</x:v>
      </x:c>
      <x:c r="Q124" s="9" t="n">
        <x:f>N124-P124</x:f>
        <x:v>288.20000000000005</x:v>
      </x:c>
      <x:c r="R124" s="8" t="str">
        <x:f>IF(LOWER('Raw Data'!N124)="upi","UPI",'Raw Data'!N124)</x:f>
        <x:v>Credit Card</x:v>
      </x:c>
      <x:c r="S124" s="8" t="str">
        <x:v>Completed</x:v>
      </x:c>
      <x:c r="T124" s="8" t="str">
        <x:f>TEXT(B124,"mmm yyyy")</x:f>
        <x:v>May 2025</x:v>
      </x:c>
      <x:c r="U124" s="8" t="n">
        <x:f>YEAR(B124)</x:f>
        <x:v>2025</x:v>
      </x:c>
    </x:row>
    <x:row r="125">
      <x:c r="A125" s="8" t="str">
        <x:v>ORD-0121</x:v>
      </x:c>
      <x:c r="B125" s="22" t="n">
        <x:v>45703.81213630787</x:v>
      </x:c>
      <x:c r="C125" s="8" t="str">
        <x:v>CUS-016</x:v>
      </x:c>
      <x:c r="D125" s="8" t="str">
        <x:f>IFERROR(INDEX('Lookup Tables'!$B$5:$B$84,MATCH(C125,'Lookup Tables'!$A$5:$A$84,0)),"Unknown Customer")</x:f>
        <x:v>Pooja Saxena</x:v>
      </x:c>
      <x:c r="E125" s="8" t="str">
        <x:f>IFERROR(INDEX('Lookup Tables'!$C$5:$C$84,MATCH(C125,'Lookup Tables'!$A$5:$A$84,0)),"Unknown")</x:f>
        <x:v>Consumer</x:v>
      </x:c>
      <x:c r="F125" s="8" t="str">
        <x:v>Ahmedabad</x:v>
      </x:c>
      <x:c r="G125" s="8" t="str">
        <x:f>IFERROR(INDEX('Lookup Tables'!$N$5:$N$14,MATCH(F125,'Lookup Tables'!$M$5:$M$14,0)),"Unknown")</x:f>
        <x:v>West</x:v>
      </x:c>
      <x:c r="H125" s="8" t="str">
        <x:v>PRD-004</x:v>
      </x:c>
      <x:c r="I125" s="8" t="str">
        <x:f>IFERROR(INDEX('Lookup Tables'!$G$5:$G$16,MATCH(H125,'Lookup Tables'!$F$5:$F$16,0)),"Unknown Product")</x:f>
        <x:v>Laptop Stand</x:v>
      </x:c>
      <x:c r="J125" s="8" t="str">
        <x:f>IFERROR(INDEX('Lookup Tables'!$H$5:$H$16,MATCH(H125,'Lookup Tables'!$F$5:$F$16,0)),"Unknown")</x:f>
        <x:v>Office Supplies</x:v>
      </x:c>
      <x:c r="K125" s="8" t="n">
        <x:v>1</x:v>
      </x:c>
      <x:c r="L125" s="9" t="n">
        <x:f>IFERROR(INDEX('Lookup Tables'!$I$5:$I$16,MATCH(H125,'Lookup Tables'!$F$5:$F$16,0)),0)</x:f>
        <x:v>1299</x:v>
      </x:c>
      <x:c r="M125" s="23" t="n">
        <x:f>IF('Raw Data'!M125="",0,'Raw Data'!M125)</x:f>
        <x:v>0</x:v>
      </x:c>
      <x:c r="N125" s="9" t="n">
        <x:f>IF(S125="Completed",K125*L125*(1-M125),0)</x:f>
        <x:v>1299</x:v>
      </x:c>
      <x:c r="O125" s="9" t="n">
        <x:f>IFERROR(INDEX('Lookup Tables'!$J$5:$J$16,MATCH(H125,'Lookup Tables'!$F$5:$F$16,0)),0)</x:f>
        <x:v>760</x:v>
      </x:c>
      <x:c r="P125" s="9" t="n">
        <x:f>IF(S125="Completed",K125*O125,0)</x:f>
        <x:v>760</x:v>
      </x:c>
      <x:c r="Q125" s="9" t="n">
        <x:f>N125-P125</x:f>
        <x:v>539</x:v>
      </x:c>
      <x:c r="R125" s="8" t="str">
        <x:f>IF(LOWER('Raw Data'!N125)="upi","UPI",'Raw Data'!N125)</x:f>
        <x:v>Debit Card</x:v>
      </x:c>
      <x:c r="S125" s="8" t="str">
        <x:v>Completed</x:v>
      </x:c>
      <x:c r="T125" s="8" t="str">
        <x:f>TEXT(B125,"mmm yyyy")</x:f>
        <x:v>Feb 2025</x:v>
      </x:c>
      <x:c r="U125" s="8" t="n">
        <x:f>YEAR(B125)</x:f>
        <x:v>2025</x:v>
      </x:c>
    </x:row>
    <x:row r="126">
      <x:c r="A126" s="8" t="str">
        <x:v>ORD-0122</x:v>
      </x:c>
      <x:c r="B126" s="22" t="n">
        <x:v>45792.418633587964</x:v>
      </x:c>
      <x:c r="C126" s="8" t="str">
        <x:v>CUS-044</x:v>
      </x:c>
      <x:c r="D126" s="8" t="str">
        <x:f>IFERROR(INDEX('Lookup Tables'!$B$5:$B$84,MATCH(C126,'Lookup Tables'!$A$5:$A$84,0)),"Unknown Customer")</x:f>
        <x:v>Ananya Gupta 3</x:v>
      </x:c>
      <x:c r="E126" s="8" t="str">
        <x:f>IFERROR(INDEX('Lookup Tables'!$C$5:$C$84,MATCH(C126,'Lookup Tables'!$A$5:$A$84,0)),"Unknown")</x:f>
        <x:v>Corporate</x:v>
      </x:c>
      <x:c r="F126" s="8" t="str">
        <x:v>Chennai</x:v>
      </x:c>
      <x:c r="G126" s="8" t="str">
        <x:f>IFERROR(INDEX('Lookup Tables'!$N$5:$N$14,MATCH(F126,'Lookup Tables'!$M$5:$M$14,0)),"Unknown")</x:f>
        <x:v>South</x:v>
      </x:c>
      <x:c r="H126" s="8" t="str">
        <x:v>PRD-003</x:v>
      </x:c>
      <x:c r="I126" s="8" t="str">
        <x:f>IFERROR(INDEX('Lookup Tables'!$G$5:$G$16,MATCH(H126,'Lookup Tables'!$F$5:$F$16,0)),"Unknown Product")</x:f>
        <x:v>USB-C Hub</x:v>
      </x:c>
      <x:c r="J126" s="8" t="str">
        <x:f>IFERROR(INDEX('Lookup Tables'!$H$5:$H$16,MATCH(H126,'Lookup Tables'!$F$5:$F$16,0)),"Unknown")</x:f>
        <x:v>Electronics</x:v>
      </x:c>
      <x:c r="K126" s="8" t="n">
        <x:v>4</x:v>
      </x:c>
      <x:c r="L126" s="9" t="n">
        <x:f>IFERROR(INDEX('Lookup Tables'!$I$5:$I$16,MATCH(H126,'Lookup Tables'!$F$5:$F$16,0)),0)</x:f>
        <x:v>1899</x:v>
      </x:c>
      <x:c r="M126" s="23" t="n">
        <x:f>IF('Raw Data'!M126="",0,'Raw Data'!M126)</x:f>
        <x:v>0.2</x:v>
      </x:c>
      <x:c r="N126" s="9" t="n">
        <x:f>IF(S126="Completed",K126*L126*(1-M126),0)</x:f>
        <x:v>6076.8</x:v>
      </x:c>
      <x:c r="O126" s="9" t="n">
        <x:f>IFERROR(INDEX('Lookup Tables'!$J$5:$J$16,MATCH(H126,'Lookup Tables'!$F$5:$F$16,0)),0)</x:f>
        <x:v>1180</x:v>
      </x:c>
      <x:c r="P126" s="9" t="n">
        <x:f>IF(S126="Completed",K126*O126,0)</x:f>
        <x:v>4720</x:v>
      </x:c>
      <x:c r="Q126" s="9" t="n">
        <x:f>N126-P126</x:f>
        <x:v>1356.8000000000002</x:v>
      </x:c>
      <x:c r="R126" s="8" t="str">
        <x:f>IF(LOWER('Raw Data'!N126)="upi","UPI",'Raw Data'!N126)</x:f>
        <x:v>Credit Card</x:v>
      </x:c>
      <x:c r="S126" s="8" t="str">
        <x:v>Completed</x:v>
      </x:c>
      <x:c r="T126" s="8" t="str">
        <x:f>TEXT(B126,"mmm yyyy")</x:f>
        <x:v>May 2025</x:v>
      </x:c>
      <x:c r="U126" s="8" t="n">
        <x:f>YEAR(B126)</x:f>
        <x:v>2025</x:v>
      </x:c>
    </x:row>
    <x:row r="127">
      <x:c r="A127" s="8" t="str">
        <x:v>ORD-0123</x:v>
      </x:c>
      <x:c r="B127" s="22" t="n">
        <x:v>45948.1365846875</x:v>
      </x:c>
      <x:c r="C127" s="8" t="str">
        <x:v>CUS-015</x:v>
      </x:c>
      <x:c r="D127" s="8" t="str">
        <x:f>IFERROR(INDEX('Lookup Tables'!$B$5:$B$84,MATCH(C127,'Lookup Tables'!$A$5:$A$84,0)),"Unknown Customer")</x:f>
        <x:v>Karan Malhotra</x:v>
      </x:c>
      <x:c r="E127" s="8" t="str">
        <x:f>IFERROR(INDEX('Lookup Tables'!$C$5:$C$84,MATCH(C127,'Lookup Tables'!$A$5:$A$84,0)),"Unknown")</x:f>
        <x:v>Small Business</x:v>
      </x:c>
      <x:c r="F127" s="8" t="str">
        <x:v>Lucknow</x:v>
      </x:c>
      <x:c r="G127" s="8" t="str">
        <x:f>IFERROR(INDEX('Lookup Tables'!$N$5:$N$14,MATCH(F127,'Lookup Tables'!$M$5:$M$14,0)),"Unknown")</x:f>
        <x:v>North</x:v>
      </x:c>
      <x:c r="H127" s="8" t="str">
        <x:v>PRD-002</x:v>
      </x:c>
      <x:c r="I127" s="8" t="str">
        <x:f>IFERROR(INDEX('Lookup Tables'!$G$5:$G$16,MATCH(H127,'Lookup Tables'!$F$5:$F$16,0)),"Unknown Product")</x:f>
        <x:v>Bluetooth Headphones</x:v>
      </x:c>
      <x:c r="J127" s="8" t="str">
        <x:f>IFERROR(INDEX('Lookup Tables'!$H$5:$H$16,MATCH(H127,'Lookup Tables'!$F$5:$F$16,0)),"Unknown")</x:f>
        <x:v>Electronics</x:v>
      </x:c>
      <x:c r="K127" s="8" t="n">
        <x:v>1</x:v>
      </x:c>
      <x:c r="L127" s="9" t="n">
        <x:f>IFERROR(INDEX('Lookup Tables'!$I$5:$I$16,MATCH(H127,'Lookup Tables'!$F$5:$F$16,0)),0)</x:f>
        <x:v>2499</x:v>
      </x:c>
      <x:c r="M127" s="23" t="n">
        <x:f>IF('Raw Data'!M127="",0,'Raw Data'!M127)</x:f>
        <x:v>0.05</x:v>
      </x:c>
      <x:c r="N127" s="9" t="n">
        <x:f>IF(S127="Completed",K127*L127*(1-M127),0)</x:f>
        <x:v>2374.0499999999997</x:v>
      </x:c>
      <x:c r="O127" s="9" t="n">
        <x:f>IFERROR(INDEX('Lookup Tables'!$J$5:$J$16,MATCH(H127,'Lookup Tables'!$F$5:$F$16,0)),0)</x:f>
        <x:v>1620</x:v>
      </x:c>
      <x:c r="P127" s="9" t="n">
        <x:f>IF(S127="Completed",K127*O127,0)</x:f>
        <x:v>1620</x:v>
      </x:c>
      <x:c r="Q127" s="9" t="n">
        <x:f>N127-P127</x:f>
        <x:v>754.0499999999997</x:v>
      </x:c>
      <x:c r="R127" s="8" t="str">
        <x:f>IF(LOWER('Raw Data'!N127)="upi","UPI",'Raw Data'!N127)</x:f>
        <x:v>UPI</x:v>
      </x:c>
      <x:c r="S127" s="8" t="str">
        <x:v>Completed</x:v>
      </x:c>
      <x:c r="T127" s="8" t="str">
        <x:f>TEXT(B127,"mmm yyyy")</x:f>
        <x:v>Oct 2025</x:v>
      </x:c>
      <x:c r="U127" s="8" t="n">
        <x:f>YEAR(B127)</x:f>
        <x:v>2025</x:v>
      </x:c>
    </x:row>
    <x:row r="128">
      <x:c r="A128" s="8" t="str">
        <x:v>ORD-0124</x:v>
      </x:c>
      <x:c r="B128" s="22" t="n">
        <x:v>46001.663266076386</x:v>
      </x:c>
      <x:c r="C128" s="8" t="str">
        <x:v>CUS-005</x:v>
      </x:c>
      <x:c r="D128" s="8" t="str">
        <x:f>IFERROR(INDEX('Lookup Tables'!$B$5:$B$84,MATCH(C128,'Lookup Tables'!$A$5:$A$84,0)),"Unknown Customer")</x:f>
        <x:v>Arjun Verma</x:v>
      </x:c>
      <x:c r="E128" s="8" t="str">
        <x:f>IFERROR(INDEX('Lookup Tables'!$C$5:$C$84,MATCH(C128,'Lookup Tables'!$A$5:$A$84,0)),"Unknown")</x:f>
        <x:v>Corporate</x:v>
      </x:c>
      <x:c r="F128" s="8" t="str">
        <x:v>Hyderabad</x:v>
      </x:c>
      <x:c r="G128" s="8" t="str">
        <x:f>IFERROR(INDEX('Lookup Tables'!$N$5:$N$14,MATCH(F128,'Lookup Tables'!$M$5:$M$14,0)),"Unknown")</x:f>
        <x:v>South</x:v>
      </x:c>
      <x:c r="H128" s="8" t="str">
        <x:v>PRD-010</x:v>
      </x:c>
      <x:c r="I128" s="8" t="str">
        <x:f>IFERROR(INDEX('Lookup Tables'!$G$5:$G$16,MATCH(H128,'Lookup Tables'!$F$5:$F$16,0)),"Unknown Product")</x:f>
        <x:v>Travel Backpack</x:v>
      </x:c>
      <x:c r="J128" s="8" t="str">
        <x:f>IFERROR(INDEX('Lookup Tables'!$H$5:$H$16,MATCH(H128,'Lookup Tables'!$F$5:$F$16,0)),"Unknown")</x:f>
        <x:v>Fashion</x:v>
      </x:c>
      <x:c r="K128" s="8" t="n">
        <x:v>4</x:v>
      </x:c>
      <x:c r="L128" s="9" t="n">
        <x:f>IFERROR(INDEX('Lookup Tables'!$I$5:$I$16,MATCH(H128,'Lookup Tables'!$F$5:$F$16,0)),0)</x:f>
        <x:v>2199</x:v>
      </x:c>
      <x:c r="M128" s="23" t="n">
        <x:f>IF('Raw Data'!M128="",0,'Raw Data'!M128)</x:f>
        <x:v>0.05</x:v>
      </x:c>
      <x:c r="N128" s="9" t="n">
        <x:f>IF(S128="Completed",K128*L128*(1-M128),0)</x:f>
        <x:v>0</x:v>
      </x:c>
      <x:c r="O128" s="9" t="n">
        <x:f>IFERROR(INDEX('Lookup Tables'!$J$5:$J$16,MATCH(H128,'Lookup Tables'!$F$5:$F$16,0)),0)</x:f>
        <x:v>1380</x:v>
      </x:c>
      <x:c r="P128" s="9" t="n">
        <x:f>IF(S128="Completed",K128*O128,0)</x:f>
        <x:v>0</x:v>
      </x:c>
      <x:c r="Q128" s="9" t="n">
        <x:f>N128-P128</x:f>
        <x:v>0</x:v>
      </x:c>
      <x:c r="R128" s="8" t="str">
        <x:f>IF(LOWER('Raw Data'!N128)="upi","UPI",'Raw Data'!N128)</x:f>
        <x:v>Debit Card</x:v>
      </x:c>
      <x:c r="S128" s="8" t="str">
        <x:v>Cancelled</x:v>
      </x:c>
      <x:c r="T128" s="8" t="str">
        <x:f>TEXT(B128,"mmm yyyy")</x:f>
        <x:v>Dec 2025</x:v>
      </x:c>
      <x:c r="U128" s="8" t="n">
        <x:f>YEAR(B128)</x:f>
        <x:v>2025</x:v>
      </x:c>
    </x:row>
    <x:row r="129">
      <x:c r="A129" s="8" t="str">
        <x:v>ORD-0125</x:v>
      </x:c>
      <x:c r="B129" s="22" t="n">
        <x:v>45801.02493612269</x:v>
      </x:c>
      <x:c r="C129" s="8" t="str">
        <x:v>CUS-024</x:v>
      </x:c>
      <x:c r="D129" s="8" t="str">
        <x:f>IFERROR(INDEX('Lookup Tables'!$B$5:$B$84,MATCH(C129,'Lookup Tables'!$A$5:$A$84,0)),"Unknown Customer")</x:f>
        <x:v>Ananya Gupta 2</x:v>
      </x:c>
      <x:c r="E129" s="8" t="str">
        <x:f>IFERROR(INDEX('Lookup Tables'!$C$5:$C$84,MATCH(C129,'Lookup Tables'!$A$5:$A$84,0)),"Unknown")</x:f>
        <x:v>Small Business</x:v>
      </x:c>
      <x:c r="F129" s="8" t="str">
        <x:v>Jaipur</x:v>
      </x:c>
      <x:c r="G129" s="8" t="str">
        <x:f>IFERROR(INDEX('Lookup Tables'!$N$5:$N$14,MATCH(F129,'Lookup Tables'!$M$5:$M$14,0)),"Unknown")</x:f>
        <x:v>North</x:v>
      </x:c>
      <x:c r="H129" s="8" t="str">
        <x:v>PRD-008</x:v>
      </x:c>
      <x:c r="I129" s="8" t="str">
        <x:f>IFERROR(INDEX('Lookup Tables'!$G$5:$G$16,MATCH(H129,'Lookup Tables'!$F$5:$F$16,0)),"Unknown Product")</x:f>
        <x:v>Storage Container Set</x:v>
      </x:c>
      <x:c r="J129" s="8" t="str">
        <x:f>IFERROR(INDEX('Lookup Tables'!$H$5:$H$16,MATCH(H129,'Lookup Tables'!$F$5:$F$16,0)),"Unknown")</x:f>
        <x:v>Home &amp; Kitchen</x:v>
      </x:c>
      <x:c r="K129" s="8" t="n">
        <x:v>3</x:v>
      </x:c>
      <x:c r="L129" s="9" t="n">
        <x:f>IFERROR(INDEX('Lookup Tables'!$I$5:$I$16,MATCH(H129,'Lookup Tables'!$F$5:$F$16,0)),0)</x:f>
        <x:v>999</x:v>
      </x:c>
      <x:c r="M129" s="23" t="n">
        <x:f>IF('Raw Data'!M129="",0,'Raw Data'!M129)</x:f>
        <x:v>0.15</x:v>
      </x:c>
      <x:c r="N129" s="9" t="n">
        <x:f>IF(S129="Completed",K129*L129*(1-M129),0)</x:f>
        <x:v>2547.45</x:v>
      </x:c>
      <x:c r="O129" s="9" t="n">
        <x:f>IFERROR(INDEX('Lookup Tables'!$J$5:$J$16,MATCH(H129,'Lookup Tables'!$F$5:$F$16,0)),0)</x:f>
        <x:v>580</x:v>
      </x:c>
      <x:c r="P129" s="9" t="n">
        <x:f>IF(S129="Completed",K129*O129,0)</x:f>
        <x:v>1740</x:v>
      </x:c>
      <x:c r="Q129" s="9" t="n">
        <x:f>N129-P129</x:f>
        <x:v>807.4499999999998</x:v>
      </x:c>
      <x:c r="R129" s="8" t="str">
        <x:f>IF(LOWER('Raw Data'!N129)="upi","UPI",'Raw Data'!N129)</x:f>
        <x:v>Cash on Delivery</x:v>
      </x:c>
      <x:c r="S129" s="8" t="str">
        <x:v>Completed</x:v>
      </x:c>
      <x:c r="T129" s="8" t="str">
        <x:f>TEXT(B129,"mmm yyyy")</x:f>
        <x:v>May 2025</x:v>
      </x:c>
      <x:c r="U129" s="8" t="n">
        <x:f>YEAR(B129)</x:f>
        <x:v>2025</x:v>
      </x:c>
    </x:row>
    <x:row r="130">
      <x:c r="A130" s="8" t="str">
        <x:v>ORD-0126</x:v>
      </x:c>
      <x:c r="B130" s="22" t="n">
        <x:v>45970.67033246528</x:v>
      </x:c>
      <x:c r="C130" s="8" t="str">
        <x:v>CUS-074</x:v>
      </x:c>
      <x:c r="D130" s="8" t="str">
        <x:f>IFERROR(INDEX('Lookup Tables'!$B$5:$B$84,MATCH(C130,'Lookup Tables'!$A$5:$A$84,0)),"Unknown Customer")</x:f>
        <x:v>Neha Rao 4</x:v>
      </x:c>
      <x:c r="E130" s="8" t="str">
        <x:f>IFERROR(INDEX('Lookup Tables'!$C$5:$C$84,MATCH(C130,'Lookup Tables'!$A$5:$A$84,0)),"Unknown")</x:f>
        <x:v>Corporate</x:v>
      </x:c>
      <x:c r="F130" s="8" t="str">
        <x:v>Mumbai</x:v>
      </x:c>
      <x:c r="G130" s="8" t="str">
        <x:f>IFERROR(INDEX('Lookup Tables'!$N$5:$N$14,MATCH(F130,'Lookup Tables'!$M$5:$M$14,0)),"Unknown")</x:f>
        <x:v>West</x:v>
      </x:c>
      <x:c r="H130" s="8" t="str">
        <x:v>PRD-011</x:v>
      </x:c>
      <x:c r="I130" s="8" t="str">
        <x:f>IFERROR(INDEX('Lookup Tables'!$G$5:$G$16,MATCH(H130,'Lookup Tables'!$F$5:$F$16,0)),"Unknown Product")</x:f>
        <x:v>Classic Wallet</x:v>
      </x:c>
      <x:c r="J130" s="8" t="str">
        <x:f>IFERROR(INDEX('Lookup Tables'!$H$5:$H$16,MATCH(H130,'Lookup Tables'!$F$5:$F$16,0)),"Unknown")</x:f>
        <x:v>Fashion</x:v>
      </x:c>
      <x:c r="K130" s="8" t="n">
        <x:v>5</x:v>
      </x:c>
      <x:c r="L130" s="9" t="n">
        <x:f>IFERROR(INDEX('Lookup Tables'!$I$5:$I$16,MATCH(H130,'Lookup Tables'!$F$5:$F$16,0)),0)</x:f>
        <x:v>1199</x:v>
      </x:c>
      <x:c r="M130" s="23" t="n">
        <x:f>IF('Raw Data'!M130="",0,'Raw Data'!M130)</x:f>
        <x:v>0.2</x:v>
      </x:c>
      <x:c r="N130" s="9" t="n">
        <x:f>IF(S130="Completed",K130*L130*(1-M130),0)</x:f>
        <x:v>0</x:v>
      </x:c>
      <x:c r="O130" s="9" t="n">
        <x:f>IFERROR(INDEX('Lookup Tables'!$J$5:$J$16,MATCH(H130,'Lookup Tables'!$F$5:$F$16,0)),0)</x:f>
        <x:v>690</x:v>
      </x:c>
      <x:c r="P130" s="9" t="n">
        <x:f>IF(S130="Completed",K130*O130,0)</x:f>
        <x:v>0</x:v>
      </x:c>
      <x:c r="Q130" s="9" t="n">
        <x:f>N130-P130</x:f>
        <x:v>0</x:v>
      </x:c>
      <x:c r="R130" s="8" t="str">
        <x:f>IF(LOWER('Raw Data'!N130)="upi","UPI",'Raw Data'!N130)</x:f>
        <x:v>Credit Card</x:v>
      </x:c>
      <x:c r="S130" s="8" t="str">
        <x:v>Cancelled</x:v>
      </x:c>
      <x:c r="T130" s="8" t="str">
        <x:f>TEXT(B130,"mmm yyyy")</x:f>
        <x:v>Nov 2025</x:v>
      </x:c>
      <x:c r="U130" s="8" t="n">
        <x:f>YEAR(B130)</x:f>
        <x:v>2025</x:v>
      </x:c>
    </x:row>
    <x:row r="131">
      <x:c r="A131" s="8" t="str">
        <x:v>ORD-0127</x:v>
      </x:c>
      <x:c r="B131" s="22" t="n">
        <x:v>45706.827036180555</x:v>
      </x:c>
      <x:c r="C131" s="8" t="str">
        <x:v>CUS-077</x:v>
      </x:c>
      <x:c r="D131" s="8" t="str">
        <x:f>IFERROR(INDEX('Lookup Tables'!$B$5:$B$84,MATCH(C131,'Lookup Tables'!$A$5:$A$84,0)),"Unknown Customer")</x:f>
        <x:v>Vikram Yadav 4</x:v>
      </x:c>
      <x:c r="E131" s="8" t="str">
        <x:f>IFERROR(INDEX('Lookup Tables'!$C$5:$C$84,MATCH(C131,'Lookup Tables'!$A$5:$A$84,0)),"Unknown")</x:f>
        <x:v>Corporate</x:v>
      </x:c>
      <x:c r="F131" s="8" t="str">
        <x:v>Mumbai</x:v>
      </x:c>
      <x:c r="G131" s="8" t="str">
        <x:f>IFERROR(INDEX('Lookup Tables'!$N$5:$N$14,MATCH(F131,'Lookup Tables'!$M$5:$M$14,0)),"Unknown")</x:f>
        <x:v>West</x:v>
      </x:c>
      <x:c r="H131" s="8" t="str">
        <x:v>PRD-003</x:v>
      </x:c>
      <x:c r="I131" s="8" t="str">
        <x:f>IFERROR(INDEX('Lookup Tables'!$G$5:$G$16,MATCH(H131,'Lookup Tables'!$F$5:$F$16,0)),"Unknown Product")</x:f>
        <x:v>USB-C Hub</x:v>
      </x:c>
      <x:c r="J131" s="8" t="str">
        <x:f>IFERROR(INDEX('Lookup Tables'!$H$5:$H$16,MATCH(H131,'Lookup Tables'!$F$5:$F$16,0)),"Unknown")</x:f>
        <x:v>Electronics</x:v>
      </x:c>
      <x:c r="K131" s="8" t="n">
        <x:v>1</x:v>
      </x:c>
      <x:c r="L131" s="9" t="n">
        <x:f>IFERROR(INDEX('Lookup Tables'!$I$5:$I$16,MATCH(H131,'Lookup Tables'!$F$5:$F$16,0)),0)</x:f>
        <x:v>1899</x:v>
      </x:c>
      <x:c r="M131" s="23" t="n">
        <x:f>IF('Raw Data'!M131="",0,'Raw Data'!M131)</x:f>
        <x:v>0.15</x:v>
      </x:c>
      <x:c r="N131" s="9" t="n">
        <x:f>IF(S131="Completed",K131*L131*(1-M131),0)</x:f>
        <x:v>1614.1499999999999</x:v>
      </x:c>
      <x:c r="O131" s="9" t="n">
        <x:f>IFERROR(INDEX('Lookup Tables'!$J$5:$J$16,MATCH(H131,'Lookup Tables'!$F$5:$F$16,0)),0)</x:f>
        <x:v>1180</x:v>
      </x:c>
      <x:c r="P131" s="9" t="n">
        <x:f>IF(S131="Completed",K131*O131,0)</x:f>
        <x:v>1180</x:v>
      </x:c>
      <x:c r="Q131" s="9" t="n">
        <x:f>N131-P131</x:f>
        <x:v>434.14999999999986</x:v>
      </x:c>
      <x:c r="R131" s="8" t="str">
        <x:f>IF(LOWER('Raw Data'!N131)="upi","UPI",'Raw Data'!N131)</x:f>
        <x:v>Cash on Delivery</x:v>
      </x:c>
      <x:c r="S131" s="8" t="str">
        <x:v>Completed</x:v>
      </x:c>
      <x:c r="T131" s="8" t="str">
        <x:f>TEXT(B131,"mmm yyyy")</x:f>
        <x:v>Feb 2025</x:v>
      </x:c>
      <x:c r="U131" s="8" t="n">
        <x:f>YEAR(B131)</x:f>
        <x:v>2025</x:v>
      </x:c>
    </x:row>
    <x:row r="132">
      <x:c r="A132" s="8" t="str">
        <x:v>ORD-0128</x:v>
      </x:c>
      <x:c r="B132" s="22" t="n">
        <x:v>45895.16981685185</x:v>
      </x:c>
      <x:c r="C132" s="8" t="str">
        <x:v>CUS-014</x:v>
      </x:c>
      <x:c r="D132" s="8" t="str">
        <x:f>IFERROR(INDEX('Lookup Tables'!$B$5:$B$84,MATCH(C132,'Lookup Tables'!$A$5:$A$84,0)),"Unknown Customer")</x:f>
        <x:v>Neha Rao</x:v>
      </x:c>
      <x:c r="E132" s="8" t="str">
        <x:f>IFERROR(INDEX('Lookup Tables'!$C$5:$C$84,MATCH(C132,'Lookup Tables'!$A$5:$A$84,0)),"Unknown")</x:f>
        <x:v>Corporate</x:v>
      </x:c>
      <x:c r="F132" s="8" t="str">
        <x:v>Bengaluru</x:v>
      </x:c>
      <x:c r="G132" s="8" t="str">
        <x:f>IFERROR(INDEX('Lookup Tables'!$N$5:$N$14,MATCH(F132,'Lookup Tables'!$M$5:$M$14,0)),"Unknown")</x:f>
        <x:v>South</x:v>
      </x:c>
      <x:c r="H132" s="8" t="str">
        <x:v>PRD-010</x:v>
      </x:c>
      <x:c r="I132" s="8" t="str">
        <x:f>IFERROR(INDEX('Lookup Tables'!$G$5:$G$16,MATCH(H132,'Lookup Tables'!$F$5:$F$16,0)),"Unknown Product")</x:f>
        <x:v>Travel Backpack</x:v>
      </x:c>
      <x:c r="J132" s="8" t="str">
        <x:f>IFERROR(INDEX('Lookup Tables'!$H$5:$H$16,MATCH(H132,'Lookup Tables'!$F$5:$F$16,0)),"Unknown")</x:f>
        <x:v>Fashion</x:v>
      </x:c>
      <x:c r="K132" s="8" t="n">
        <x:v>5</x:v>
      </x:c>
      <x:c r="L132" s="9" t="n">
        <x:f>IFERROR(INDEX('Lookup Tables'!$I$5:$I$16,MATCH(H132,'Lookup Tables'!$F$5:$F$16,0)),0)</x:f>
        <x:v>2199</x:v>
      </x:c>
      <x:c r="M132" s="23" t="n">
        <x:f>IF('Raw Data'!M132="",0,'Raw Data'!M132)</x:f>
        <x:v>0.1</x:v>
      </x:c>
      <x:c r="N132" s="9" t="n">
        <x:f>IF(S132="Completed",K132*L132*(1-M132),0)</x:f>
        <x:v>9895.5</x:v>
      </x:c>
      <x:c r="O132" s="9" t="n">
        <x:f>IFERROR(INDEX('Lookup Tables'!$J$5:$J$16,MATCH(H132,'Lookup Tables'!$F$5:$F$16,0)),0)</x:f>
        <x:v>1380</x:v>
      </x:c>
      <x:c r="P132" s="9" t="n">
        <x:f>IF(S132="Completed",K132*O132,0)</x:f>
        <x:v>6900</x:v>
      </x:c>
      <x:c r="Q132" s="9" t="n">
        <x:f>N132-P132</x:f>
        <x:v>2995.5</x:v>
      </x:c>
      <x:c r="R132" s="8" t="str">
        <x:f>IF(LOWER('Raw Data'!N132)="upi","UPI",'Raw Data'!N132)</x:f>
        <x:v>Cash on Delivery</x:v>
      </x:c>
      <x:c r="S132" s="8" t="str">
        <x:v>Completed</x:v>
      </x:c>
      <x:c r="T132" s="8" t="str">
        <x:f>TEXT(B132,"mmm yyyy")</x:f>
        <x:v>Aug 2025</x:v>
      </x:c>
      <x:c r="U132" s="8" t="n">
        <x:f>YEAR(B132)</x:f>
        <x:v>2025</x:v>
      </x:c>
    </x:row>
    <x:row r="133">
      <x:c r="A133" s="8" t="str">
        <x:v>ORD-0129</x:v>
      </x:c>
      <x:c r="B133" s="22" t="n">
        <x:v>45907.297600763886</x:v>
      </x:c>
      <x:c r="C133" s="8" t="str">
        <x:v>CUS-030</x:v>
      </x:c>
      <x:c r="D133" s="8" t="str">
        <x:f>IFERROR(INDEX('Lookup Tables'!$B$5:$B$84,MATCH(C133,'Lookup Tables'!$A$5:$A$84,0)),"Unknown Customer")</x:f>
        <x:v>Saanvi Iyer 2</x:v>
      </x:c>
      <x:c r="E133" s="8" t="str">
        <x:f>IFERROR(INDEX('Lookup Tables'!$C$5:$C$84,MATCH(C133,'Lookup Tables'!$A$5:$A$84,0)),"Unknown")</x:f>
        <x:v>Small Business</x:v>
      </x:c>
      <x:c r="F133" s="8" t="str">
        <x:v>Kolkata</x:v>
      </x:c>
      <x:c r="G133" s="8" t="str">
        <x:f>IFERROR(INDEX('Lookup Tables'!$N$5:$N$14,MATCH(F133,'Lookup Tables'!$M$5:$M$14,0)),"Unknown")</x:f>
        <x:v>East</x:v>
      </x:c>
      <x:c r="H133" s="8" t="str">
        <x:v>PRD-006</x:v>
      </x:c>
      <x:c r="I133" s="8" t="str">
        <x:f>IFERROR(INDEX('Lookup Tables'!$G$5:$G$16,MATCH(H133,'Lookup Tables'!$F$5:$F$16,0)),"Unknown Product")</x:f>
        <x:v>Desk Organiser</x:v>
      </x:c>
      <x:c r="J133" s="8" t="str">
        <x:f>IFERROR(INDEX('Lookup Tables'!$H$5:$H$16,MATCH(H133,'Lookup Tables'!$F$5:$F$16,0)),"Unknown")</x:f>
        <x:v>Office Supplies</x:v>
      </x:c>
      <x:c r="K133" s="8" t="n">
        <x:v>2</x:v>
      </x:c>
      <x:c r="L133" s="9" t="n">
        <x:f>IFERROR(INDEX('Lookup Tables'!$I$5:$I$16,MATCH(H133,'Lookup Tables'!$F$5:$F$16,0)),0)</x:f>
        <x:v>699</x:v>
      </x:c>
      <x:c r="M133" s="23" t="n">
        <x:f>IF('Raw Data'!M133="",0,'Raw Data'!M133)</x:f>
        <x:v>0.1</x:v>
      </x:c>
      <x:c r="N133" s="9" t="n">
        <x:f>IF(S133="Completed",K133*L133*(1-M133),0)</x:f>
        <x:v>1258.2</x:v>
      </x:c>
      <x:c r="O133" s="9" t="n">
        <x:f>IFERROR(INDEX('Lookup Tables'!$J$5:$J$16,MATCH(H133,'Lookup Tables'!$F$5:$F$16,0)),0)</x:f>
        <x:v>390</x:v>
      </x:c>
      <x:c r="P133" s="9" t="n">
        <x:f>IF(S133="Completed",K133*O133,0)</x:f>
        <x:v>780</x:v>
      </x:c>
      <x:c r="Q133" s="9" t="n">
        <x:f>N133-P133</x:f>
        <x:v>478.20000000000005</x:v>
      </x:c>
      <x:c r="R133" s="8" t="str">
        <x:f>IF(LOWER('Raw Data'!N133)="upi","UPI",'Raw Data'!N133)</x:f>
        <x:v>Cash on Delivery</x:v>
      </x:c>
      <x:c r="S133" s="8" t="str">
        <x:v>Completed</x:v>
      </x:c>
      <x:c r="T133" s="8" t="str">
        <x:f>TEXT(B133,"mmm yyyy")</x:f>
        <x:v>Sep 2025</x:v>
      </x:c>
      <x:c r="U133" s="8" t="n">
        <x:f>YEAR(B133)</x:f>
        <x:v>2025</x:v>
      </x:c>
    </x:row>
    <x:row r="134">
      <x:c r="A134" s="8" t="str">
        <x:v>ORD-0130</x:v>
      </x:c>
      <x:c r="B134" s="22" t="n">
        <x:v>45907.917148148146</x:v>
      </x:c>
      <x:c r="C134" s="8" t="str">
        <x:v>CUS-059</x:v>
      </x:c>
      <x:c r="D134" s="8" t="str">
        <x:f>IFERROR(INDEX('Lookup Tables'!$B$5:$B$84,MATCH(C134,'Lookup Tables'!$A$5:$A$84,0)),"Unknown Customer")</x:f>
        <x:v>Siddharth Jain 3</x:v>
      </x:c>
      <x:c r="E134" s="8" t="str">
        <x:f>IFERROR(INDEX('Lookup Tables'!$C$5:$C$84,MATCH(C134,'Lookup Tables'!$A$5:$A$84,0)),"Unknown")</x:f>
        <x:v>Corporate</x:v>
      </x:c>
      <x:c r="F134" s="8" t="str">
        <x:v>Ahmedabad</x:v>
      </x:c>
      <x:c r="G134" s="8" t="str">
        <x:f>IFERROR(INDEX('Lookup Tables'!$N$5:$N$14,MATCH(F134,'Lookup Tables'!$M$5:$M$14,0)),"Unknown")</x:f>
        <x:v>West</x:v>
      </x:c>
      <x:c r="H134" s="8" t="str">
        <x:v>PRD-001</x:v>
      </x:c>
      <x:c r="I134" s="8" t="str">
        <x:f>IFERROR(INDEX('Lookup Tables'!$G$5:$G$16,MATCH(H134,'Lookup Tables'!$F$5:$F$16,0)),"Unknown Product")</x:f>
        <x:v>Wireless Mouse</x:v>
      </x:c>
      <x:c r="J134" s="8" t="str">
        <x:f>IFERROR(INDEX('Lookup Tables'!$H$5:$H$16,MATCH(H134,'Lookup Tables'!$F$5:$F$16,0)),"Unknown")</x:f>
        <x:v>Electronics</x:v>
      </x:c>
      <x:c r="K134" s="8" t="n">
        <x:v>2</x:v>
      </x:c>
      <x:c r="L134" s="9" t="n">
        <x:f>IFERROR(INDEX('Lookup Tables'!$I$5:$I$16,MATCH(H134,'Lookup Tables'!$F$5:$F$16,0)),0)</x:f>
        <x:v>899</x:v>
      </x:c>
      <x:c r="M134" s="23" t="n">
        <x:f>IF('Raw Data'!M134="",0,'Raw Data'!M134)</x:f>
        <x:v>0</x:v>
      </x:c>
      <x:c r="N134" s="9" t="n">
        <x:f>IF(S134="Completed",K134*L134*(1-M134),0)</x:f>
        <x:v>1798</x:v>
      </x:c>
      <x:c r="O134" s="9" t="n">
        <x:f>IFERROR(INDEX('Lookup Tables'!$J$5:$J$16,MATCH(H134,'Lookup Tables'!$F$5:$F$16,0)),0)</x:f>
        <x:v>540</x:v>
      </x:c>
      <x:c r="P134" s="9" t="n">
        <x:f>IF(S134="Completed",K134*O134,0)</x:f>
        <x:v>1080</x:v>
      </x:c>
      <x:c r="Q134" s="9" t="n">
        <x:f>N134-P134</x:f>
        <x:v>718</x:v>
      </x:c>
      <x:c r="R134" s="8" t="str">
        <x:f>IF(LOWER('Raw Data'!N134)="upi","UPI",'Raw Data'!N134)</x:f>
        <x:v>Net Banking</x:v>
      </x:c>
      <x:c r="S134" s="8" t="str">
        <x:v>Completed</x:v>
      </x:c>
      <x:c r="T134" s="8" t="str">
        <x:f>TEXT(B134,"mmm yyyy")</x:f>
        <x:v>Sep 2025</x:v>
      </x:c>
      <x:c r="U134" s="8" t="n">
        <x:f>YEAR(B134)</x:f>
        <x:v>2025</x:v>
      </x:c>
    </x:row>
    <x:row r="135">
      <x:c r="A135" s="8" t="str">
        <x:v>ORD-0131</x:v>
      </x:c>
      <x:c r="B135" s="22" t="n">
        <x:v>45845.70707173611</x:v>
      </x:c>
      <x:c r="C135" s="8" t="str">
        <x:v>CUS-030</x:v>
      </x:c>
      <x:c r="D135" s="8" t="str">
        <x:f>IFERROR(INDEX('Lookup Tables'!$B$5:$B$84,MATCH(C135,'Lookup Tables'!$A$5:$A$84,0)),"Unknown Customer")</x:f>
        <x:v>Saanvi Iyer 2</x:v>
      </x:c>
      <x:c r="E135" s="8" t="str">
        <x:f>IFERROR(INDEX('Lookup Tables'!$C$5:$C$84,MATCH(C135,'Lookup Tables'!$A$5:$A$84,0)),"Unknown")</x:f>
        <x:v>Small Business</x:v>
      </x:c>
      <x:c r="F135" s="8" t="str">
        <x:v>Hyderabad</x:v>
      </x:c>
      <x:c r="G135" s="8" t="str">
        <x:f>IFERROR(INDEX('Lookup Tables'!$N$5:$N$14,MATCH(F135,'Lookup Tables'!$M$5:$M$14,0)),"Unknown")</x:f>
        <x:v>South</x:v>
      </x:c>
      <x:c r="H135" s="8" t="str">
        <x:v>PRD-010</x:v>
      </x:c>
      <x:c r="I135" s="8" t="str">
        <x:f>IFERROR(INDEX('Lookup Tables'!$G$5:$G$16,MATCH(H135,'Lookup Tables'!$F$5:$F$16,0)),"Unknown Product")</x:f>
        <x:v>Travel Backpack</x:v>
      </x:c>
      <x:c r="J135" s="8" t="str">
        <x:f>IFERROR(INDEX('Lookup Tables'!$H$5:$H$16,MATCH(H135,'Lookup Tables'!$F$5:$F$16,0)),"Unknown")</x:f>
        <x:v>Fashion</x:v>
      </x:c>
      <x:c r="K135" s="8" t="n">
        <x:v>5</x:v>
      </x:c>
      <x:c r="L135" s="9" t="n">
        <x:f>IFERROR(INDEX('Lookup Tables'!$I$5:$I$16,MATCH(H135,'Lookup Tables'!$F$5:$F$16,0)),0)</x:f>
        <x:v>2199</x:v>
      </x:c>
      <x:c r="M135" s="23" t="n">
        <x:f>IF('Raw Data'!M135="",0,'Raw Data'!M135)</x:f>
        <x:v>0.05</x:v>
      </x:c>
      <x:c r="N135" s="9" t="n">
        <x:f>IF(S135="Completed",K135*L135*(1-M135),0)</x:f>
        <x:v>10445.25</x:v>
      </x:c>
      <x:c r="O135" s="9" t="n">
        <x:f>IFERROR(INDEX('Lookup Tables'!$J$5:$J$16,MATCH(H135,'Lookup Tables'!$F$5:$F$16,0)),0)</x:f>
        <x:v>1380</x:v>
      </x:c>
      <x:c r="P135" s="9" t="n">
        <x:f>IF(S135="Completed",K135*O135,0)</x:f>
        <x:v>6900</x:v>
      </x:c>
      <x:c r="Q135" s="9" t="n">
        <x:f>N135-P135</x:f>
        <x:v>3545.25</x:v>
      </x:c>
      <x:c r="R135" s="8" t="str">
        <x:f>IF(LOWER('Raw Data'!N135)="upi","UPI",'Raw Data'!N135)</x:f>
        <x:v>Debit Card</x:v>
      </x:c>
      <x:c r="S135" s="8" t="str">
        <x:v>Completed</x:v>
      </x:c>
      <x:c r="T135" s="8" t="str">
        <x:f>TEXT(B135,"mmm yyyy")</x:f>
        <x:v>Jul 2025</x:v>
      </x:c>
      <x:c r="U135" s="8" t="n">
        <x:f>YEAR(B135)</x:f>
        <x:v>2025</x:v>
      </x:c>
    </x:row>
    <x:row r="136">
      <x:c r="A136" s="8" t="str">
        <x:v>ORD-0132</x:v>
      </x:c>
      <x:c r="B136" s="22" t="n">
        <x:v>45737.8432791088</x:v>
      </x:c>
      <x:c r="C136" s="8" t="str">
        <x:v>CUS-052</x:v>
      </x:c>
      <x:c r="D136" s="8" t="str">
        <x:f>IFERROR(INDEX('Lookup Tables'!$B$5:$B$84,MATCH(C136,'Lookup Tables'!$A$5:$A$84,0)),"Unknown Customer")</x:f>
        <x:v>Priya Kapoor 3</x:v>
      </x:c>
      <x:c r="E136" s="8" t="str">
        <x:f>IFERROR(INDEX('Lookup Tables'!$C$5:$C$84,MATCH(C136,'Lookup Tables'!$A$5:$A$84,0)),"Unknown")</x:f>
        <x:v>Consumer</x:v>
      </x:c>
      <x:c r="F136" s="8" t="str">
        <x:v>Bengaluru</x:v>
      </x:c>
      <x:c r="G136" s="8" t="str">
        <x:f>IFERROR(INDEX('Lookup Tables'!$N$5:$N$14,MATCH(F136,'Lookup Tables'!$M$5:$M$14,0)),"Unknown")</x:f>
        <x:v>South</x:v>
      </x:c>
      <x:c r="H136" s="8" t="str">
        <x:v>PRD-010</x:v>
      </x:c>
      <x:c r="I136" s="8" t="str">
        <x:f>IFERROR(INDEX('Lookup Tables'!$G$5:$G$16,MATCH(H136,'Lookup Tables'!$F$5:$F$16,0)),"Unknown Product")</x:f>
        <x:v>Travel Backpack</x:v>
      </x:c>
      <x:c r="J136" s="8" t="str">
        <x:f>IFERROR(INDEX('Lookup Tables'!$H$5:$H$16,MATCH(H136,'Lookup Tables'!$F$5:$F$16,0)),"Unknown")</x:f>
        <x:v>Fashion</x:v>
      </x:c>
      <x:c r="K136" s="8" t="n">
        <x:v>2</x:v>
      </x:c>
      <x:c r="L136" s="9" t="n">
        <x:f>IFERROR(INDEX('Lookup Tables'!$I$5:$I$16,MATCH(H136,'Lookup Tables'!$F$5:$F$16,0)),0)</x:f>
        <x:v>2199</x:v>
      </x:c>
      <x:c r="M136" s="23" t="n">
        <x:f>IF('Raw Data'!M136="",0,'Raw Data'!M136)</x:f>
        <x:v>0.05</x:v>
      </x:c>
      <x:c r="N136" s="9" t="n">
        <x:f>IF(S136="Completed",K136*L136*(1-M136),0)</x:f>
        <x:v>4178.099999999999</x:v>
      </x:c>
      <x:c r="O136" s="9" t="n">
        <x:f>IFERROR(INDEX('Lookup Tables'!$J$5:$J$16,MATCH(H136,'Lookup Tables'!$F$5:$F$16,0)),0)</x:f>
        <x:v>1380</x:v>
      </x:c>
      <x:c r="P136" s="9" t="n">
        <x:f>IF(S136="Completed",K136*O136,0)</x:f>
        <x:v>2760</x:v>
      </x:c>
      <x:c r="Q136" s="9" t="n">
        <x:f>N136-P136</x:f>
        <x:v>1418.0999999999995</x:v>
      </x:c>
      <x:c r="R136" s="8" t="str">
        <x:f>IF(LOWER('Raw Data'!N136)="upi","UPI",'Raw Data'!N136)</x:f>
        <x:v>Cash on Delivery</x:v>
      </x:c>
      <x:c r="S136" s="8" t="str">
        <x:v>Completed</x:v>
      </x:c>
      <x:c r="T136" s="8" t="str">
        <x:f>TEXT(B136,"mmm yyyy")</x:f>
        <x:v>Mar 2025</x:v>
      </x:c>
      <x:c r="U136" s="8" t="n">
        <x:f>YEAR(B136)</x:f>
        <x:v>2025</x:v>
      </x:c>
    </x:row>
    <x:row r="137">
      <x:c r="A137" s="8" t="str">
        <x:v>ORD-0133</x:v>
      </x:c>
      <x:c r="B137" s="22" t="n">
        <x:v>45809.522971875</x:v>
      </x:c>
      <x:c r="C137" s="8" t="str">
        <x:v>CUS-023</x:v>
      </x:c>
      <x:c r="D137" s="8" t="str">
        <x:f>IFERROR(INDEX('Lookup Tables'!$B$5:$B$84,MATCH(C137,'Lookup Tables'!$A$5:$A$84,0)),"Unknown Customer")</x:f>
        <x:v>Vihaan Singh 2</x:v>
      </x:c>
      <x:c r="E137" s="8" t="str">
        <x:f>IFERROR(INDEX('Lookup Tables'!$C$5:$C$84,MATCH(C137,'Lookup Tables'!$A$5:$A$84,0)),"Unknown")</x:f>
        <x:v>Corporate</x:v>
      </x:c>
      <x:c r="F137" s="8" t="str">
        <x:v>Pune</x:v>
      </x:c>
      <x:c r="G137" s="8" t="str">
        <x:f>IFERROR(INDEX('Lookup Tables'!$N$5:$N$14,MATCH(F137,'Lookup Tables'!$M$5:$M$14,0)),"Unknown")</x:f>
        <x:v>West</x:v>
      </x:c>
      <x:c r="H137" s="8" t="str">
        <x:v>PRD-006</x:v>
      </x:c>
      <x:c r="I137" s="8" t="str">
        <x:f>IFERROR(INDEX('Lookup Tables'!$G$5:$G$16,MATCH(H137,'Lookup Tables'!$F$5:$F$16,0)),"Unknown Product")</x:f>
        <x:v>Desk Organiser</x:v>
      </x:c>
      <x:c r="J137" s="8" t="str">
        <x:f>IFERROR(INDEX('Lookup Tables'!$H$5:$H$16,MATCH(H137,'Lookup Tables'!$F$5:$F$16,0)),"Unknown")</x:f>
        <x:v>Office Supplies</x:v>
      </x:c>
      <x:c r="K137" s="8" t="n">
        <x:v>2</x:v>
      </x:c>
      <x:c r="L137" s="9" t="n">
        <x:f>IFERROR(INDEX('Lookup Tables'!$I$5:$I$16,MATCH(H137,'Lookup Tables'!$F$5:$F$16,0)),0)</x:f>
        <x:v>699</x:v>
      </x:c>
      <x:c r="M137" s="23" t="n">
        <x:f>IF('Raw Data'!M137="",0,'Raw Data'!M137)</x:f>
        <x:v>0.2</x:v>
      </x:c>
      <x:c r="N137" s="9" t="n">
        <x:f>IF(S137="Completed",K137*L137*(1-M137),0)</x:f>
        <x:v>0</x:v>
      </x:c>
      <x:c r="O137" s="9" t="n">
        <x:f>IFERROR(INDEX('Lookup Tables'!$J$5:$J$16,MATCH(H137,'Lookup Tables'!$F$5:$F$16,0)),0)</x:f>
        <x:v>390</x:v>
      </x:c>
      <x:c r="P137" s="9" t="n">
        <x:f>IF(S137="Completed",K137*O137,0)</x:f>
        <x:v>0</x:v>
      </x:c>
      <x:c r="Q137" s="9" t="n">
        <x:f>N137-P137</x:f>
        <x:v>0</x:v>
      </x:c>
      <x:c r="R137" s="8" t="str">
        <x:f>IF(LOWER('Raw Data'!N137)="upi","UPI",'Raw Data'!N137)</x:f>
        <x:v>Net Banking</x:v>
      </x:c>
      <x:c r="S137" s="8" t="str">
        <x:v>Returned</x:v>
      </x:c>
      <x:c r="T137" s="8" t="str">
        <x:f>TEXT(B137,"mmm yyyy")</x:f>
        <x:v>Jun 2025</x:v>
      </x:c>
      <x:c r="U137" s="8" t="n">
        <x:f>YEAR(B137)</x:f>
        <x:v>2025</x:v>
      </x:c>
    </x:row>
    <x:row r="138">
      <x:c r="A138" s="8" t="str">
        <x:v>ORD-0134</x:v>
      </x:c>
      <x:c r="B138" s="22" t="n">
        <x:v>45935.8811481713</x:v>
      </x:c>
      <x:c r="C138" s="8" t="str">
        <x:v>CUS-019</x:v>
      </x:c>
      <x:c r="D138" s="8" t="str">
        <x:f>IFERROR(INDEX('Lookup Tables'!$B$5:$B$84,MATCH(C138,'Lookup Tables'!$A$5:$A$84,0)),"Unknown Customer")</x:f>
        <x:v>Siddharth Jain</x:v>
      </x:c>
      <x:c r="E138" s="8" t="str">
        <x:f>IFERROR(INDEX('Lookup Tables'!$C$5:$C$84,MATCH(C138,'Lookup Tables'!$A$5:$A$84,0)),"Unknown")</x:f>
        <x:v>Consumer</x:v>
      </x:c>
      <x:c r="F138" s="8" t="str">
        <x:v>Jaipur</x:v>
      </x:c>
      <x:c r="G138" s="8" t="str">
        <x:f>IFERROR(INDEX('Lookup Tables'!$N$5:$N$14,MATCH(F138,'Lookup Tables'!$M$5:$M$14,0)),"Unknown")</x:f>
        <x:v>North</x:v>
      </x:c>
      <x:c r="H138" s="8" t="str">
        <x:v>PRD-002</x:v>
      </x:c>
      <x:c r="I138" s="8" t="str">
        <x:f>IFERROR(INDEX('Lookup Tables'!$G$5:$G$16,MATCH(H138,'Lookup Tables'!$F$5:$F$16,0)),"Unknown Product")</x:f>
        <x:v>Bluetooth Headphones</x:v>
      </x:c>
      <x:c r="J138" s="8" t="str">
        <x:f>IFERROR(INDEX('Lookup Tables'!$H$5:$H$16,MATCH(H138,'Lookup Tables'!$F$5:$F$16,0)),"Unknown")</x:f>
        <x:v>Electronics</x:v>
      </x:c>
      <x:c r="K138" s="8" t="n">
        <x:v>1</x:v>
      </x:c>
      <x:c r="L138" s="9" t="n">
        <x:f>IFERROR(INDEX('Lookup Tables'!$I$5:$I$16,MATCH(H138,'Lookup Tables'!$F$5:$F$16,0)),0)</x:f>
        <x:v>2499</x:v>
      </x:c>
      <x:c r="M138" s="23" t="n">
        <x:f>IF('Raw Data'!M138="",0,'Raw Data'!M138)</x:f>
        <x:v>0.1</x:v>
      </x:c>
      <x:c r="N138" s="9" t="n">
        <x:f>IF(S138="Completed",K138*L138*(1-M138),0)</x:f>
        <x:v>0</x:v>
      </x:c>
      <x:c r="O138" s="9" t="n">
        <x:f>IFERROR(INDEX('Lookup Tables'!$J$5:$J$16,MATCH(H138,'Lookup Tables'!$F$5:$F$16,0)),0)</x:f>
        <x:v>1620</x:v>
      </x:c>
      <x:c r="P138" s="9" t="n">
        <x:f>IF(S138="Completed",K138*O138,0)</x:f>
        <x:v>0</x:v>
      </x:c>
      <x:c r="Q138" s="9" t="n">
        <x:f>N138-P138</x:f>
        <x:v>0</x:v>
      </x:c>
      <x:c r="R138" s="8" t="str">
        <x:f>IF(LOWER('Raw Data'!N138)="upi","UPI",'Raw Data'!N138)</x:f>
        <x:v>UPI</x:v>
      </x:c>
      <x:c r="S138" s="8" t="str">
        <x:v>Returned</x:v>
      </x:c>
      <x:c r="T138" s="8" t="str">
        <x:f>TEXT(B138,"mmm yyyy")</x:f>
        <x:v>Oct 2025</x:v>
      </x:c>
      <x:c r="U138" s="8" t="n">
        <x:f>YEAR(B138)</x:f>
        <x:v>2025</x:v>
      </x:c>
    </x:row>
    <x:row r="139">
      <x:c r="A139" s="8" t="str">
        <x:v>ORD-0135</x:v>
      </x:c>
      <x:c r="B139" s="22" t="n">
        <x:v>45922.63170238426</x:v>
      </x:c>
      <x:c r="C139" s="8" t="str">
        <x:v>CUS-032</x:v>
      </x:c>
      <x:c r="D139" s="8" t="str">
        <x:f>IFERROR(INDEX('Lookup Tables'!$B$5:$B$84,MATCH(C139,'Lookup Tables'!$A$5:$A$84,0)),"Unknown Customer")</x:f>
        <x:v>Priya Kapoor 2</x:v>
      </x:c>
      <x:c r="E139" s="8" t="str">
        <x:f>IFERROR(INDEX('Lookup Tables'!$C$5:$C$84,MATCH(C139,'Lookup Tables'!$A$5:$A$84,0)),"Unknown")</x:f>
        <x:v>Corporate</x:v>
      </x:c>
      <x:c r="F139" s="8" t="str">
        <x:v>Mumbai</x:v>
      </x:c>
      <x:c r="G139" s="8" t="str">
        <x:f>IFERROR(INDEX('Lookup Tables'!$N$5:$N$14,MATCH(F139,'Lookup Tables'!$M$5:$M$14,0)),"Unknown")</x:f>
        <x:v>West</x:v>
      </x:c>
      <x:c r="H139" s="8" t="str">
        <x:v>PRD-004</x:v>
      </x:c>
      <x:c r="I139" s="8" t="str">
        <x:f>IFERROR(INDEX('Lookup Tables'!$G$5:$G$16,MATCH(H139,'Lookup Tables'!$F$5:$F$16,0)),"Unknown Product")</x:f>
        <x:v>Laptop Stand</x:v>
      </x:c>
      <x:c r="J139" s="8" t="str">
        <x:f>IFERROR(INDEX('Lookup Tables'!$H$5:$H$16,MATCH(H139,'Lookup Tables'!$F$5:$F$16,0)),"Unknown")</x:f>
        <x:v>Office Supplies</x:v>
      </x:c>
      <x:c r="K139" s="8" t="n">
        <x:v>3</x:v>
      </x:c>
      <x:c r="L139" s="9" t="n">
        <x:f>IFERROR(INDEX('Lookup Tables'!$I$5:$I$16,MATCH(H139,'Lookup Tables'!$F$5:$F$16,0)),0)</x:f>
        <x:v>1299</x:v>
      </x:c>
      <x:c r="M139" s="23" t="n">
        <x:f>IF('Raw Data'!M139="",0,'Raw Data'!M139)</x:f>
        <x:v>0.15</x:v>
      </x:c>
      <x:c r="N139" s="9" t="n">
        <x:f>IF(S139="Completed",K139*L139*(1-M139),0)</x:f>
        <x:v>0</x:v>
      </x:c>
      <x:c r="O139" s="9" t="n">
        <x:f>IFERROR(INDEX('Lookup Tables'!$J$5:$J$16,MATCH(H139,'Lookup Tables'!$F$5:$F$16,0)),0)</x:f>
        <x:v>760</x:v>
      </x:c>
      <x:c r="P139" s="9" t="n">
        <x:f>IF(S139="Completed",K139*O139,0)</x:f>
        <x:v>0</x:v>
      </x:c>
      <x:c r="Q139" s="9" t="n">
        <x:f>N139-P139</x:f>
        <x:v>0</x:v>
      </x:c>
      <x:c r="R139" s="8" t="str">
        <x:f>IF(LOWER('Raw Data'!N139)="upi","UPI",'Raw Data'!N139)</x:f>
        <x:v>UPI</x:v>
      </x:c>
      <x:c r="S139" s="8" t="str">
        <x:v>Cancelled</x:v>
      </x:c>
      <x:c r="T139" s="8" t="str">
        <x:f>TEXT(B139,"mmm yyyy")</x:f>
        <x:v>Sep 2025</x:v>
      </x:c>
      <x:c r="U139" s="8" t="n">
        <x:f>YEAR(B139)</x:f>
        <x:v>2025</x:v>
      </x:c>
    </x:row>
    <x:row r="140">
      <x:c r="A140" s="8" t="str">
        <x:v>ORD-0136</x:v>
      </x:c>
      <x:c r="B140" s="22" t="n">
        <x:v>45914.10853358796</x:v>
      </x:c>
      <x:c r="C140" s="8" t="str">
        <x:v>CUS-040</x:v>
      </x:c>
      <x:c r="D140" s="8" t="str">
        <x:f>IFERROR(INDEX('Lookup Tables'!$B$5:$B$84,MATCH(C140,'Lookup Tables'!$A$5:$A$84,0)),"Unknown Customer")</x:f>
        <x:v>Kavya Reddy 2</x:v>
      </x:c>
      <x:c r="E140" s="8" t="str">
        <x:f>IFERROR(INDEX('Lookup Tables'!$C$5:$C$84,MATCH(C140,'Lookup Tables'!$A$5:$A$84,0)),"Unknown")</x:f>
        <x:v>Consumer</x:v>
      </x:c>
      <x:c r="F140" s="8" t="str">
        <x:v>Lucknow</x:v>
      </x:c>
      <x:c r="G140" s="8" t="str">
        <x:f>IFERROR(INDEX('Lookup Tables'!$N$5:$N$14,MATCH(F140,'Lookup Tables'!$M$5:$M$14,0)),"Unknown")</x:f>
        <x:v>North</x:v>
      </x:c>
      <x:c r="H140" s="8" t="str">
        <x:v>PRD-001</x:v>
      </x:c>
      <x:c r="I140" s="8" t="str">
        <x:f>IFERROR(INDEX('Lookup Tables'!$G$5:$G$16,MATCH(H140,'Lookup Tables'!$F$5:$F$16,0)),"Unknown Product")</x:f>
        <x:v>Wireless Mouse</x:v>
      </x:c>
      <x:c r="J140" s="8" t="str">
        <x:f>IFERROR(INDEX('Lookup Tables'!$H$5:$H$16,MATCH(H140,'Lookup Tables'!$F$5:$F$16,0)),"Unknown")</x:f>
        <x:v>Electronics</x:v>
      </x:c>
      <x:c r="K140" s="8" t="n">
        <x:v>4</x:v>
      </x:c>
      <x:c r="L140" s="9" t="n">
        <x:f>IFERROR(INDEX('Lookup Tables'!$I$5:$I$16,MATCH(H140,'Lookup Tables'!$F$5:$F$16,0)),0)</x:f>
        <x:v>899</x:v>
      </x:c>
      <x:c r="M140" s="23" t="n">
        <x:f>IF('Raw Data'!M140="",0,'Raw Data'!M140)</x:f>
        <x:v>0</x:v>
      </x:c>
      <x:c r="N140" s="9" t="n">
        <x:f>IF(S140="Completed",K140*L140*(1-M140),0)</x:f>
        <x:v>3596</x:v>
      </x:c>
      <x:c r="O140" s="9" t="n">
        <x:f>IFERROR(INDEX('Lookup Tables'!$J$5:$J$16,MATCH(H140,'Lookup Tables'!$F$5:$F$16,0)),0)</x:f>
        <x:v>540</x:v>
      </x:c>
      <x:c r="P140" s="9" t="n">
        <x:f>IF(S140="Completed",K140*O140,0)</x:f>
        <x:v>2160</x:v>
      </x:c>
      <x:c r="Q140" s="9" t="n">
        <x:f>N140-P140</x:f>
        <x:v>1436</x:v>
      </x:c>
      <x:c r="R140" s="8" t="str">
        <x:f>IF(LOWER('Raw Data'!N140)="upi","UPI",'Raw Data'!N140)</x:f>
        <x:v>Debit Card</x:v>
      </x:c>
      <x:c r="S140" s="8" t="str">
        <x:v>Completed</x:v>
      </x:c>
      <x:c r="T140" s="8" t="str">
        <x:f>TEXT(B140,"mmm yyyy")</x:f>
        <x:v>Sep 2025</x:v>
      </x:c>
      <x:c r="U140" s="8" t="n">
        <x:f>YEAR(B140)</x:f>
        <x:v>2025</x:v>
      </x:c>
    </x:row>
    <x:row r="141">
      <x:c r="A141" s="8" t="str">
        <x:v>ORD-0137</x:v>
      </x:c>
      <x:c r="B141" s="22" t="n">
        <x:v>45844.14687491898</x:v>
      </x:c>
      <x:c r="C141" s="8" t="str">
        <x:v>CUS-080</x:v>
      </x:c>
      <x:c r="D141" s="8" t="str">
        <x:f>IFERROR(INDEX('Lookup Tables'!$B$5:$B$84,MATCH(C141,'Lookup Tables'!$A$5:$A$84,0)),"Unknown Customer")</x:f>
        <x:v>Kavya Reddy 4</x:v>
      </x:c>
      <x:c r="E141" s="8" t="str">
        <x:f>IFERROR(INDEX('Lookup Tables'!$C$5:$C$84,MATCH(C141,'Lookup Tables'!$A$5:$A$84,0)),"Unknown")</x:f>
        <x:v>Corporate</x:v>
      </x:c>
      <x:c r="F141" s="8" t="str">
        <x:v>Lucknow</x:v>
      </x:c>
      <x:c r="G141" s="8" t="str">
        <x:f>IFERROR(INDEX('Lookup Tables'!$N$5:$N$14,MATCH(F141,'Lookup Tables'!$M$5:$M$14,0)),"Unknown")</x:f>
        <x:v>North</x:v>
      </x:c>
      <x:c r="H141" s="8" t="str">
        <x:v>PRD-001</x:v>
      </x:c>
      <x:c r="I141" s="8" t="str">
        <x:f>IFERROR(INDEX('Lookup Tables'!$G$5:$G$16,MATCH(H141,'Lookup Tables'!$F$5:$F$16,0)),"Unknown Product")</x:f>
        <x:v>Wireless Mouse</x:v>
      </x:c>
      <x:c r="J141" s="8" t="str">
        <x:f>IFERROR(INDEX('Lookup Tables'!$H$5:$H$16,MATCH(H141,'Lookup Tables'!$F$5:$F$16,0)),"Unknown")</x:f>
        <x:v>Electronics</x:v>
      </x:c>
      <x:c r="K141" s="8" t="n">
        <x:v>1</x:v>
      </x:c>
      <x:c r="L141" s="9" t="n">
        <x:f>IFERROR(INDEX('Lookup Tables'!$I$5:$I$16,MATCH(H141,'Lookup Tables'!$F$5:$F$16,0)),0)</x:f>
        <x:v>899</x:v>
      </x:c>
      <x:c r="M141" s="23" t="n">
        <x:f>IF('Raw Data'!M141="",0,'Raw Data'!M141)</x:f>
        <x:v>0.05</x:v>
      </x:c>
      <x:c r="N141" s="9" t="n">
        <x:f>IF(S141="Completed",K141*L141*(1-M141),0)</x:f>
        <x:v>854.05</x:v>
      </x:c>
      <x:c r="O141" s="9" t="n">
        <x:f>IFERROR(INDEX('Lookup Tables'!$J$5:$J$16,MATCH(H141,'Lookup Tables'!$F$5:$F$16,0)),0)</x:f>
        <x:v>540</x:v>
      </x:c>
      <x:c r="P141" s="9" t="n">
        <x:f>IF(S141="Completed",K141*O141,0)</x:f>
        <x:v>540</x:v>
      </x:c>
      <x:c r="Q141" s="9" t="n">
        <x:f>N141-P141</x:f>
        <x:v>314.04999999999995</x:v>
      </x:c>
      <x:c r="R141" s="8" t="str">
        <x:f>IF(LOWER('Raw Data'!N141)="upi","UPI",'Raw Data'!N141)</x:f>
        <x:v>UPI</x:v>
      </x:c>
      <x:c r="S141" s="8" t="str">
        <x:v>Completed</x:v>
      </x:c>
      <x:c r="T141" s="8" t="str">
        <x:f>TEXT(B141,"mmm yyyy")</x:f>
        <x:v>Jul 2025</x:v>
      </x:c>
      <x:c r="U141" s="8" t="n">
        <x:f>YEAR(B141)</x:f>
        <x:v>2025</x:v>
      </x:c>
    </x:row>
    <x:row r="142">
      <x:c r="A142" s="8" t="str">
        <x:v>ORD-0138</x:v>
      </x:c>
      <x:c r="B142" s="22" t="n">
        <x:v>45781.08647717592</x:v>
      </x:c>
      <x:c r="C142" s="8" t="str">
        <x:v>CUS-063</x:v>
      </x:c>
      <x:c r="D142" s="8" t="str">
        <x:f>IFERROR(INDEX('Lookup Tables'!$B$5:$B$84,MATCH(C142,'Lookup Tables'!$A$5:$A$84,0)),"Unknown Customer")</x:f>
        <x:v>Vihaan Singh 4</x:v>
      </x:c>
      <x:c r="E142" s="8" t="str">
        <x:f>IFERROR(INDEX('Lookup Tables'!$C$5:$C$84,MATCH(C142,'Lookup Tables'!$A$5:$A$84,0)),"Unknown")</x:f>
        <x:v>Small Business</x:v>
      </x:c>
      <x:c r="F142" s="8" t="str">
        <x:v>Lucknow</x:v>
      </x:c>
      <x:c r="G142" s="8" t="str">
        <x:f>IFERROR(INDEX('Lookup Tables'!$N$5:$N$14,MATCH(F142,'Lookup Tables'!$M$5:$M$14,0)),"Unknown")</x:f>
        <x:v>North</x:v>
      </x:c>
      <x:c r="H142" s="8" t="str">
        <x:v>PRD-010</x:v>
      </x:c>
      <x:c r="I142" s="8" t="str">
        <x:f>IFERROR(INDEX('Lookup Tables'!$G$5:$G$16,MATCH(H142,'Lookup Tables'!$F$5:$F$16,0)),"Unknown Product")</x:f>
        <x:v>Travel Backpack</x:v>
      </x:c>
      <x:c r="J142" s="8" t="str">
        <x:f>IFERROR(INDEX('Lookup Tables'!$H$5:$H$16,MATCH(H142,'Lookup Tables'!$F$5:$F$16,0)),"Unknown")</x:f>
        <x:v>Fashion</x:v>
      </x:c>
      <x:c r="K142" s="8" t="n">
        <x:v>1</x:v>
      </x:c>
      <x:c r="L142" s="9" t="n">
        <x:f>IFERROR(INDEX('Lookup Tables'!$I$5:$I$16,MATCH(H142,'Lookup Tables'!$F$5:$F$16,0)),0)</x:f>
        <x:v>2199</x:v>
      </x:c>
      <x:c r="M142" s="23" t="n">
        <x:f>IF('Raw Data'!M142="",0,'Raw Data'!M142)</x:f>
        <x:v>0</x:v>
      </x:c>
      <x:c r="N142" s="9" t="n">
        <x:f>IF(S142="Completed",K142*L142*(1-M142),0)</x:f>
        <x:v>2199</x:v>
      </x:c>
      <x:c r="O142" s="9" t="n">
        <x:f>IFERROR(INDEX('Lookup Tables'!$J$5:$J$16,MATCH(H142,'Lookup Tables'!$F$5:$F$16,0)),0)</x:f>
        <x:v>1380</x:v>
      </x:c>
      <x:c r="P142" s="9" t="n">
        <x:f>IF(S142="Completed",K142*O142,0)</x:f>
        <x:v>1380</x:v>
      </x:c>
      <x:c r="Q142" s="9" t="n">
        <x:f>N142-P142</x:f>
        <x:v>819</x:v>
      </x:c>
      <x:c r="R142" s="8" t="str">
        <x:f>IF(LOWER('Raw Data'!N142)="upi","UPI",'Raw Data'!N142)</x:f>
        <x:v>Credit Card</x:v>
      </x:c>
      <x:c r="S142" s="8" t="str">
        <x:v>Completed</x:v>
      </x:c>
      <x:c r="T142" s="8" t="str">
        <x:f>TEXT(B142,"mmm yyyy")</x:f>
        <x:v>May 2025</x:v>
      </x:c>
      <x:c r="U142" s="8" t="n">
        <x:f>YEAR(B142)</x:f>
        <x:v>2025</x:v>
      </x:c>
    </x:row>
    <x:row r="143">
      <x:c r="A143" s="8" t="str">
        <x:v>ORD-0139</x:v>
      </x:c>
      <x:c r="B143" s="22" t="n">
        <x:v>45998.02714662037</x:v>
      </x:c>
      <x:c r="C143" s="8" t="str">
        <x:v>CUS-011</x:v>
      </x:c>
      <x:c r="D143" s="8" t="str">
        <x:f>IFERROR(INDEX('Lookup Tables'!$B$5:$B$84,MATCH(C143,'Lookup Tables'!$A$5:$A$84,0)),"Unknown Customer")</x:f>
        <x:v>Aditya Joshi</x:v>
      </x:c>
      <x:c r="E143" s="8" t="str">
        <x:f>IFERROR(INDEX('Lookup Tables'!$C$5:$C$84,MATCH(C143,'Lookup Tables'!$A$5:$A$84,0)),"Unknown")</x:f>
        <x:v>Corporate</x:v>
      </x:c>
      <x:c r="F143" s="8" t="str">
        <x:v>Delhi</x:v>
      </x:c>
      <x:c r="G143" s="8" t="str">
        <x:f>IFERROR(INDEX('Lookup Tables'!$N$5:$N$14,MATCH(F143,'Lookup Tables'!$M$5:$M$14,0)),"Unknown")</x:f>
        <x:v>North</x:v>
      </x:c>
      <x:c r="H143" s="8" t="str">
        <x:v>PRD-003</x:v>
      </x:c>
      <x:c r="I143" s="8" t="str">
        <x:f>IFERROR(INDEX('Lookup Tables'!$G$5:$G$16,MATCH(H143,'Lookup Tables'!$F$5:$F$16,0)),"Unknown Product")</x:f>
        <x:v>USB-C Hub</x:v>
      </x:c>
      <x:c r="J143" s="8" t="str">
        <x:f>IFERROR(INDEX('Lookup Tables'!$H$5:$H$16,MATCH(H143,'Lookup Tables'!$F$5:$F$16,0)),"Unknown")</x:f>
        <x:v>Electronics</x:v>
      </x:c>
      <x:c r="K143" s="8" t="n">
        <x:v>3</x:v>
      </x:c>
      <x:c r="L143" s="9" t="n">
        <x:f>IFERROR(INDEX('Lookup Tables'!$I$5:$I$16,MATCH(H143,'Lookup Tables'!$F$5:$F$16,0)),0)</x:f>
        <x:v>1899</x:v>
      </x:c>
      <x:c r="M143" s="23" t="n">
        <x:f>IF('Raw Data'!M143="",0,'Raw Data'!M143)</x:f>
        <x:v>0.05</x:v>
      </x:c>
      <x:c r="N143" s="9" t="n">
        <x:f>IF(S143="Completed",K143*L143*(1-M143),0)</x:f>
        <x:v>0</x:v>
      </x:c>
      <x:c r="O143" s="9" t="n">
        <x:f>IFERROR(INDEX('Lookup Tables'!$J$5:$J$16,MATCH(H143,'Lookup Tables'!$F$5:$F$16,0)),0)</x:f>
        <x:v>1180</x:v>
      </x:c>
      <x:c r="P143" s="9" t="n">
        <x:f>IF(S143="Completed",K143*O143,0)</x:f>
        <x:v>0</x:v>
      </x:c>
      <x:c r="Q143" s="9" t="n">
        <x:f>N143-P143</x:f>
        <x:v>0</x:v>
      </x:c>
      <x:c r="R143" s="8" t="str">
        <x:f>IF(LOWER('Raw Data'!N143)="upi","UPI",'Raw Data'!N143)</x:f>
        <x:v>Debit Card</x:v>
      </x:c>
      <x:c r="S143" s="8" t="str">
        <x:v>Cancelled</x:v>
      </x:c>
      <x:c r="T143" s="8" t="str">
        <x:f>TEXT(B143,"mmm yyyy")</x:f>
        <x:v>Dec 2025</x:v>
      </x:c>
      <x:c r="U143" s="8" t="n">
        <x:f>YEAR(B143)</x:f>
        <x:v>2025</x:v>
      </x:c>
    </x:row>
    <x:row r="144">
      <x:c r="A144" s="8" t="str">
        <x:v>ORD-0140</x:v>
      </x:c>
      <x:c r="B144" s="22" t="n">
        <x:v>45688.92250369213</x:v>
      </x:c>
      <x:c r="C144" s="8" t="str">
        <x:v>CUS-020</x:v>
      </x:c>
      <x:c r="D144" s="8" t="str">
        <x:f>IFERROR(INDEX('Lookup Tables'!$B$5:$B$84,MATCH(C144,'Lookup Tables'!$A$5:$A$84,0)),"Unknown Customer")</x:f>
        <x:v>Kavya Reddy</x:v>
      </x:c>
      <x:c r="E144" s="8" t="str">
        <x:f>IFERROR(INDEX('Lookup Tables'!$C$5:$C$84,MATCH(C144,'Lookup Tables'!$A$5:$A$84,0)),"Unknown")</x:f>
        <x:v>Corporate</x:v>
      </x:c>
      <x:c r="F144" s="8" t="str">
        <x:v>Kolkata</x:v>
      </x:c>
      <x:c r="G144" s="8" t="str">
        <x:f>IFERROR(INDEX('Lookup Tables'!$N$5:$N$14,MATCH(F144,'Lookup Tables'!$M$5:$M$14,0)),"Unknown")</x:f>
        <x:v>East</x:v>
      </x:c>
      <x:c r="H144" s="8" t="str">
        <x:v>PRD-008</x:v>
      </x:c>
      <x:c r="I144" s="8" t="str">
        <x:f>IFERROR(INDEX('Lookup Tables'!$G$5:$G$16,MATCH(H144,'Lookup Tables'!$F$5:$F$16,0)),"Unknown Product")</x:f>
        <x:v>Storage Container Set</x:v>
      </x:c>
      <x:c r="J144" s="8" t="str">
        <x:f>IFERROR(INDEX('Lookup Tables'!$H$5:$H$16,MATCH(H144,'Lookup Tables'!$F$5:$F$16,0)),"Unknown")</x:f>
        <x:v>Home &amp; Kitchen</x:v>
      </x:c>
      <x:c r="K144" s="8" t="n">
        <x:v>3</x:v>
      </x:c>
      <x:c r="L144" s="9" t="n">
        <x:f>IFERROR(INDEX('Lookup Tables'!$I$5:$I$16,MATCH(H144,'Lookup Tables'!$F$5:$F$16,0)),0)</x:f>
        <x:v>999</x:v>
      </x:c>
      <x:c r="M144" s="23" t="n">
        <x:f>IF('Raw Data'!M144="",0,'Raw Data'!M144)</x:f>
        <x:v>0.1</x:v>
      </x:c>
      <x:c r="N144" s="9" t="n">
        <x:f>IF(S144="Completed",K144*L144*(1-M144),0)</x:f>
        <x:v>0</x:v>
      </x:c>
      <x:c r="O144" s="9" t="n">
        <x:f>IFERROR(INDEX('Lookup Tables'!$J$5:$J$16,MATCH(H144,'Lookup Tables'!$F$5:$F$16,0)),0)</x:f>
        <x:v>580</x:v>
      </x:c>
      <x:c r="P144" s="9" t="n">
        <x:f>IF(S144="Completed",K144*O144,0)</x:f>
        <x:v>0</x:v>
      </x:c>
      <x:c r="Q144" s="9" t="n">
        <x:f>N144-P144</x:f>
        <x:v>0</x:v>
      </x:c>
      <x:c r="R144" s="8" t="str">
        <x:f>IF(LOWER('Raw Data'!N144)="upi","UPI",'Raw Data'!N144)</x:f>
        <x:v>Net Banking</x:v>
      </x:c>
      <x:c r="S144" s="8" t="str">
        <x:v>Returned</x:v>
      </x:c>
      <x:c r="T144" s="8" t="str">
        <x:f>TEXT(B144,"mmm yyyy")</x:f>
        <x:v>Jan 2025</x:v>
      </x:c>
      <x:c r="U144" s="8" t="n">
        <x:f>YEAR(B144)</x:f>
        <x:v>2025</x:v>
      </x:c>
    </x:row>
    <x:row r="145">
      <x:c r="A145" s="8" t="str">
        <x:v>ORD-0141</x:v>
      </x:c>
      <x:c r="B145" s="22" t="n">
        <x:v>45771.696678796296</x:v>
      </x:c>
      <x:c r="C145" s="8" t="str">
        <x:v>CUS-039</x:v>
      </x:c>
      <x:c r="D145" s="8" t="str">
        <x:f>IFERROR(INDEX('Lookup Tables'!$B$5:$B$84,MATCH(C145,'Lookup Tables'!$A$5:$A$84,0)),"Unknown Customer")</x:f>
        <x:v>Siddharth Jain 2</x:v>
      </x:c>
      <x:c r="E145" s="8" t="str">
        <x:f>IFERROR(INDEX('Lookup Tables'!$C$5:$C$84,MATCH(C145,'Lookup Tables'!$A$5:$A$84,0)),"Unknown")</x:f>
        <x:v>Small Business</x:v>
      </x:c>
      <x:c r="F145" s="8" t="str">
        <x:v>Delhi</x:v>
      </x:c>
      <x:c r="G145" s="8" t="str">
        <x:f>IFERROR(INDEX('Lookup Tables'!$N$5:$N$14,MATCH(F145,'Lookup Tables'!$M$5:$M$14,0)),"Unknown")</x:f>
        <x:v>North</x:v>
      </x:c>
      <x:c r="H145" s="8" t="str">
        <x:v>PRD-012</x:v>
      </x:c>
      <x:c r="I145" s="8" t="str">
        <x:f>IFERROR(INDEX('Lookup Tables'!$G$5:$G$16,MATCH(H145,'Lookup Tables'!$F$5:$F$16,0)),"Unknown Product")</x:f>
        <x:v>Stainless Water Bottle</x:v>
      </x:c>
      <x:c r="J145" s="8" t="str">
        <x:f>IFERROR(INDEX('Lookup Tables'!$H$5:$H$16,MATCH(H145,'Lookup Tables'!$F$5:$F$16,0)),"Unknown")</x:f>
        <x:v>Lifestyle</x:v>
      </x:c>
      <x:c r="K145" s="8" t="n">
        <x:v>3</x:v>
      </x:c>
      <x:c r="L145" s="9" t="n">
        <x:f>IFERROR(INDEX('Lookup Tables'!$I$5:$I$16,MATCH(H145,'Lookup Tables'!$F$5:$F$16,0)),0)</x:f>
        <x:v>799</x:v>
      </x:c>
      <x:c r="M145" s="23" t="n">
        <x:f>IF('Raw Data'!M145="",0,'Raw Data'!M145)</x:f>
        <x:v>0.1</x:v>
      </x:c>
      <x:c r="N145" s="9" t="n">
        <x:f>IF(S145="Completed",K145*L145*(1-M145),0)</x:f>
        <x:v>0</x:v>
      </x:c>
      <x:c r="O145" s="9" t="n">
        <x:f>IFERROR(INDEX('Lookup Tables'!$J$5:$J$16,MATCH(H145,'Lookup Tables'!$F$5:$F$16,0)),0)</x:f>
        <x:v>410</x:v>
      </x:c>
      <x:c r="P145" s="9" t="n">
        <x:f>IF(S145="Completed",K145*O145,0)</x:f>
        <x:v>0</x:v>
      </x:c>
      <x:c r="Q145" s="9" t="n">
        <x:f>N145-P145</x:f>
        <x:v>0</x:v>
      </x:c>
      <x:c r="R145" s="8" t="str">
        <x:f>IF(LOWER('Raw Data'!N145)="upi","UPI",'Raw Data'!N145)</x:f>
        <x:v>Net Banking</x:v>
      </x:c>
      <x:c r="S145" s="8" t="str">
        <x:v>Returned</x:v>
      </x:c>
      <x:c r="T145" s="8" t="str">
        <x:f>TEXT(B145,"mmm yyyy")</x:f>
        <x:v>Apr 2025</x:v>
      </x:c>
      <x:c r="U145" s="8" t="n">
        <x:f>YEAR(B145)</x:f>
        <x:v>2025</x:v>
      </x:c>
    </x:row>
    <x:row r="146">
      <x:c r="A146" s="8" t="str">
        <x:v>ORD-0142</x:v>
      </x:c>
      <x:c r="B146" s="22" t="n">
        <x:v>45740.712398275464</x:v>
      </x:c>
      <x:c r="C146" s="8" t="str">
        <x:v>CUS-006</x:v>
      </x:c>
      <x:c r="D146" s="8" t="str">
        <x:f>IFERROR(INDEX('Lookup Tables'!$B$5:$B$84,MATCH(C146,'Lookup Tables'!$A$5:$A$84,0)),"Unknown Customer")</x:f>
        <x:v>Isha Mehta</x:v>
      </x:c>
      <x:c r="E146" s="8" t="str">
        <x:f>IFERROR(INDEX('Lookup Tables'!$C$5:$C$84,MATCH(C146,'Lookup Tables'!$A$5:$A$84,0)),"Unknown")</x:f>
        <x:v>Small Business</x:v>
      </x:c>
      <x:c r="F146" s="8" t="str">
        <x:v>Bengaluru</x:v>
      </x:c>
      <x:c r="G146" s="8" t="str">
        <x:f>IFERROR(INDEX('Lookup Tables'!$N$5:$N$14,MATCH(F146,'Lookup Tables'!$M$5:$M$14,0)),"Unknown")</x:f>
        <x:v>South</x:v>
      </x:c>
      <x:c r="H146" s="8" t="str">
        <x:v>PRD-010</x:v>
      </x:c>
      <x:c r="I146" s="8" t="str">
        <x:f>IFERROR(INDEX('Lookup Tables'!$G$5:$G$16,MATCH(H146,'Lookup Tables'!$F$5:$F$16,0)),"Unknown Product")</x:f>
        <x:v>Travel Backpack</x:v>
      </x:c>
      <x:c r="J146" s="8" t="str">
        <x:f>IFERROR(INDEX('Lookup Tables'!$H$5:$H$16,MATCH(H146,'Lookup Tables'!$F$5:$F$16,0)),"Unknown")</x:f>
        <x:v>Fashion</x:v>
      </x:c>
      <x:c r="K146" s="8" t="n">
        <x:v>1</x:v>
      </x:c>
      <x:c r="L146" s="9" t="n">
        <x:f>IFERROR(INDEX('Lookup Tables'!$I$5:$I$16,MATCH(H146,'Lookup Tables'!$F$5:$F$16,0)),0)</x:f>
        <x:v>2199</x:v>
      </x:c>
      <x:c r="M146" s="23" t="n">
        <x:f>IF('Raw Data'!M146="",0,'Raw Data'!M146)</x:f>
        <x:v>0</x:v>
      </x:c>
      <x:c r="N146" s="9" t="n">
        <x:f>IF(S146="Completed",K146*L146*(1-M146),0)</x:f>
        <x:v>2199</x:v>
      </x:c>
      <x:c r="O146" s="9" t="n">
        <x:f>IFERROR(INDEX('Lookup Tables'!$J$5:$J$16,MATCH(H146,'Lookup Tables'!$F$5:$F$16,0)),0)</x:f>
        <x:v>1380</x:v>
      </x:c>
      <x:c r="P146" s="9" t="n">
        <x:f>IF(S146="Completed",K146*O146,0)</x:f>
        <x:v>1380</x:v>
      </x:c>
      <x:c r="Q146" s="9" t="n">
        <x:f>N146-P146</x:f>
        <x:v>819</x:v>
      </x:c>
      <x:c r="R146" s="8" t="str">
        <x:f>IF(LOWER('Raw Data'!N146)="upi","UPI",'Raw Data'!N146)</x:f>
        <x:v>Credit Card</x:v>
      </x:c>
      <x:c r="S146" s="8" t="str">
        <x:v>Completed</x:v>
      </x:c>
      <x:c r="T146" s="8" t="str">
        <x:f>TEXT(B146,"mmm yyyy")</x:f>
        <x:v>Mar 2025</x:v>
      </x:c>
      <x:c r="U146" s="8" t="n">
        <x:f>YEAR(B146)</x:f>
        <x:v>2025</x:v>
      </x:c>
    </x:row>
    <x:row r="147">
      <x:c r="A147" s="8" t="str">
        <x:v>ORD-0143</x:v>
      </x:c>
      <x:c r="B147" s="22" t="n">
        <x:v>45812.640803078706</x:v>
      </x:c>
      <x:c r="C147" s="8" t="str">
        <x:v>CUS-032</x:v>
      </x:c>
      <x:c r="D147" s="8" t="str">
        <x:f>IFERROR(INDEX('Lookup Tables'!$B$5:$B$84,MATCH(C147,'Lookup Tables'!$A$5:$A$84,0)),"Unknown Customer")</x:f>
        <x:v>Priya Kapoor 2</x:v>
      </x:c>
      <x:c r="E147" s="8" t="str">
        <x:f>IFERROR(INDEX('Lookup Tables'!$C$5:$C$84,MATCH(C147,'Lookup Tables'!$A$5:$A$84,0)),"Unknown")</x:f>
        <x:v>Corporate</x:v>
      </x:c>
      <x:c r="F147" s="8" t="str">
        <x:v>Hyderabad</x:v>
      </x:c>
      <x:c r="G147" s="8" t="str">
        <x:f>IFERROR(INDEX('Lookup Tables'!$N$5:$N$14,MATCH(F147,'Lookup Tables'!$M$5:$M$14,0)),"Unknown")</x:f>
        <x:v>South</x:v>
      </x:c>
      <x:c r="H147" s="8" t="str">
        <x:v>PRD-001</x:v>
      </x:c>
      <x:c r="I147" s="8" t="str">
        <x:f>IFERROR(INDEX('Lookup Tables'!$G$5:$G$16,MATCH(H147,'Lookup Tables'!$F$5:$F$16,0)),"Unknown Product")</x:f>
        <x:v>Wireless Mouse</x:v>
      </x:c>
      <x:c r="J147" s="8" t="str">
        <x:f>IFERROR(INDEX('Lookup Tables'!$H$5:$H$16,MATCH(H147,'Lookup Tables'!$F$5:$F$16,0)),"Unknown")</x:f>
        <x:v>Electronics</x:v>
      </x:c>
      <x:c r="K147" s="8" t="n">
        <x:v>1</x:v>
      </x:c>
      <x:c r="L147" s="9" t="n">
        <x:f>IFERROR(INDEX('Lookup Tables'!$I$5:$I$16,MATCH(H147,'Lookup Tables'!$F$5:$F$16,0)),0)</x:f>
        <x:v>899</x:v>
      </x:c>
      <x:c r="M147" s="23" t="n">
        <x:f>IF('Raw Data'!M147="",0,'Raw Data'!M147)</x:f>
        <x:v>0.1</x:v>
      </x:c>
      <x:c r="N147" s="9" t="n">
        <x:f>IF(S147="Completed",K147*L147*(1-M147),0)</x:f>
        <x:v>0</x:v>
      </x:c>
      <x:c r="O147" s="9" t="n">
        <x:f>IFERROR(INDEX('Lookup Tables'!$J$5:$J$16,MATCH(H147,'Lookup Tables'!$F$5:$F$16,0)),0)</x:f>
        <x:v>540</x:v>
      </x:c>
      <x:c r="P147" s="9" t="n">
        <x:f>IF(S147="Completed",K147*O147,0)</x:f>
        <x:v>0</x:v>
      </x:c>
      <x:c r="Q147" s="9" t="n">
        <x:f>N147-P147</x:f>
        <x:v>0</x:v>
      </x:c>
      <x:c r="R147" s="8" t="str">
        <x:f>IF(LOWER('Raw Data'!N147)="upi","UPI",'Raw Data'!N147)</x:f>
        <x:v>Cash on Delivery</x:v>
      </x:c>
      <x:c r="S147" s="8" t="str">
        <x:v>Cancelled</x:v>
      </x:c>
      <x:c r="T147" s="8" t="str">
        <x:f>TEXT(B147,"mmm yyyy")</x:f>
        <x:v>Jun 2025</x:v>
      </x:c>
      <x:c r="U147" s="8" t="n">
        <x:f>YEAR(B147)</x:f>
        <x:v>2025</x:v>
      </x:c>
    </x:row>
    <x:row r="148">
      <x:c r="A148" s="8" t="str">
        <x:v>ORD-0144</x:v>
      </x:c>
      <x:c r="B148" s="22" t="n">
        <x:v>45905.97088033565</x:v>
      </x:c>
      <x:c r="C148" s="8" t="str">
        <x:v>CUS-065</x:v>
      </x:c>
      <x:c r="D148" s="8" t="str">
        <x:f>IFERROR(INDEX('Lookup Tables'!$B$5:$B$84,MATCH(C148,'Lookup Tables'!$A$5:$A$84,0)),"Unknown Customer")</x:f>
        <x:v>Arjun Verma 4</x:v>
      </x:c>
      <x:c r="E148" s="8" t="str">
        <x:f>IFERROR(INDEX('Lookup Tables'!$C$5:$C$84,MATCH(C148,'Lookup Tables'!$A$5:$A$84,0)),"Unknown")</x:f>
        <x:v>Corporate</x:v>
      </x:c>
      <x:c r="F148" s="8" t="str">
        <x:v>Ahmedabad</x:v>
      </x:c>
      <x:c r="G148" s="8" t="str">
        <x:f>IFERROR(INDEX('Lookup Tables'!$N$5:$N$14,MATCH(F148,'Lookup Tables'!$M$5:$M$14,0)),"Unknown")</x:f>
        <x:v>West</x:v>
      </x:c>
      <x:c r="H148" s="8" t="str">
        <x:v>PRD-007</x:v>
      </x:c>
      <x:c r="I148" s="8" t="str">
        <x:f>IFERROR(INDEX('Lookup Tables'!$G$5:$G$16,MATCH(H148,'Lookup Tables'!$F$5:$F$16,0)),"Unknown Product")</x:f>
        <x:v>Electric Kettle</x:v>
      </x:c>
      <x:c r="J148" s="8" t="str">
        <x:f>IFERROR(INDEX('Lookup Tables'!$H$5:$H$16,MATCH(H148,'Lookup Tables'!$F$5:$F$16,0)),"Unknown")</x:f>
        <x:v>Home &amp; Kitchen</x:v>
      </x:c>
      <x:c r="K148" s="8" t="n">
        <x:v>4</x:v>
      </x:c>
      <x:c r="L148" s="9" t="n">
        <x:f>IFERROR(INDEX('Lookup Tables'!$I$5:$I$16,MATCH(H148,'Lookup Tables'!$F$5:$F$16,0)),0)</x:f>
        <x:v>1699</x:v>
      </x:c>
      <x:c r="M148" s="23" t="n">
        <x:f>IF('Raw Data'!M148="",0,'Raw Data'!M148)</x:f>
        <x:v>0</x:v>
      </x:c>
      <x:c r="N148" s="9" t="n">
        <x:f>IF(S148="Completed",K148*L148*(1-M148),0)</x:f>
        <x:v>6796</x:v>
      </x:c>
      <x:c r="O148" s="9" t="n">
        <x:f>IFERROR(INDEX('Lookup Tables'!$J$5:$J$16,MATCH(H148,'Lookup Tables'!$F$5:$F$16,0)),0)</x:f>
        <x:v>1040</x:v>
      </x:c>
      <x:c r="P148" s="9" t="n">
        <x:f>IF(S148="Completed",K148*O148,0)</x:f>
        <x:v>4160</x:v>
      </x:c>
      <x:c r="Q148" s="9" t="n">
        <x:f>N148-P148</x:f>
        <x:v>2636</x:v>
      </x:c>
      <x:c r="R148" s="8" t="str">
        <x:f>IF(LOWER('Raw Data'!N148)="upi","UPI",'Raw Data'!N148)</x:f>
        <x:v>Net Banking</x:v>
      </x:c>
      <x:c r="S148" s="8" t="str">
        <x:v>Completed</x:v>
      </x:c>
      <x:c r="T148" s="8" t="str">
        <x:f>TEXT(B148,"mmm yyyy")</x:f>
        <x:v>Sep 2025</x:v>
      </x:c>
      <x:c r="U148" s="8" t="n">
        <x:f>YEAR(B148)</x:f>
        <x:v>2025</x:v>
      </x:c>
    </x:row>
    <x:row r="149">
      <x:c r="A149" s="8" t="str">
        <x:v>ORD-0145</x:v>
      </x:c>
      <x:c r="B149" s="22" t="n">
        <x:v>45901.44950672454</x:v>
      </x:c>
      <x:c r="C149" s="8" t="str">
        <x:v>CUS-026</x:v>
      </x:c>
      <x:c r="D149" s="8" t="str">
        <x:f>IFERROR(INDEX('Lookup Tables'!$B$5:$B$84,MATCH(C149,'Lookup Tables'!$A$5:$A$84,0)),"Unknown Customer")</x:f>
        <x:v>Isha Mehta 2</x:v>
      </x:c>
      <x:c r="E149" s="8" t="str">
        <x:f>IFERROR(INDEX('Lookup Tables'!$C$5:$C$84,MATCH(C149,'Lookup Tables'!$A$5:$A$84,0)),"Unknown")</x:f>
        <x:v>Corporate</x:v>
      </x:c>
      <x:c r="F149" s="8" t="str">
        <x:v>Ahmedabad</x:v>
      </x:c>
      <x:c r="G149" s="8" t="str">
        <x:f>IFERROR(INDEX('Lookup Tables'!$N$5:$N$14,MATCH(F149,'Lookup Tables'!$M$5:$M$14,0)),"Unknown")</x:f>
        <x:v>West</x:v>
      </x:c>
      <x:c r="H149" s="8" t="str">
        <x:v>PRD-005</x:v>
      </x:c>
      <x:c r="I149" s="8" t="str">
        <x:f>IFERROR(INDEX('Lookup Tables'!$G$5:$G$16,MATCH(H149,'Lookup Tables'!$F$5:$F$16,0)),"Unknown Product")</x:f>
        <x:v>Executive Notebook</x:v>
      </x:c>
      <x:c r="J149" s="8" t="str">
        <x:f>IFERROR(INDEX('Lookup Tables'!$H$5:$H$16,MATCH(H149,'Lookup Tables'!$F$5:$F$16,0)),"Unknown")</x:f>
        <x:v>Office Supplies</x:v>
      </x:c>
      <x:c r="K149" s="8" t="n">
        <x:v>3</x:v>
      </x:c>
      <x:c r="L149" s="9" t="n">
        <x:f>IFERROR(INDEX('Lookup Tables'!$I$5:$I$16,MATCH(H149,'Lookup Tables'!$F$5:$F$16,0)),0)</x:f>
        <x:v>349</x:v>
      </x:c>
      <x:c r="M149" s="23" t="n">
        <x:f>IF('Raw Data'!M149="",0,'Raw Data'!M149)</x:f>
        <x:v>0.1</x:v>
      </x:c>
      <x:c r="N149" s="9" t="n">
        <x:f>IF(S149="Completed",K149*L149*(1-M149),0)</x:f>
        <x:v>942.3000000000001</x:v>
      </x:c>
      <x:c r="O149" s="9" t="n">
        <x:f>IFERROR(INDEX('Lookup Tables'!$J$5:$J$16,MATCH(H149,'Lookup Tables'!$F$5:$F$16,0)),0)</x:f>
        <x:v>170</x:v>
      </x:c>
      <x:c r="P149" s="9" t="n">
        <x:f>IF(S149="Completed",K149*O149,0)</x:f>
        <x:v>510</x:v>
      </x:c>
      <x:c r="Q149" s="9" t="n">
        <x:f>N149-P149</x:f>
        <x:v>432.30000000000007</x:v>
      </x:c>
      <x:c r="R149" s="8" t="str">
        <x:f>IF(LOWER('Raw Data'!N149)="upi","UPI",'Raw Data'!N149)</x:f>
        <x:v>Debit Card</x:v>
      </x:c>
      <x:c r="S149" s="8" t="str">
        <x:v>Completed</x:v>
      </x:c>
      <x:c r="T149" s="8" t="str">
        <x:f>TEXT(B149,"mmm yyyy")</x:f>
        <x:v>Sep 2025</x:v>
      </x:c>
      <x:c r="U149" s="8" t="n">
        <x:f>YEAR(B149)</x:f>
        <x:v>2025</x:v>
      </x:c>
    </x:row>
    <x:row r="150">
      <x:c r="A150" s="8" t="str">
        <x:v>ORD-0146</x:v>
      </x:c>
      <x:c r="B150" s="22" t="n">
        <x:v>45898.1468909375</x:v>
      </x:c>
      <x:c r="C150" s="8" t="str">
        <x:v>CUS-009</x:v>
      </x:c>
      <x:c r="D150" s="8" t="str">
        <x:f>IFERROR(INDEX('Lookup Tables'!$B$5:$B$84,MATCH(C150,'Lookup Tables'!$A$5:$A$84,0)),"Unknown Customer")</x:f>
        <x:v>Rohan Das</x:v>
      </x:c>
      <x:c r="E150" s="8" t="str">
        <x:f>IFERROR(INDEX('Lookup Tables'!$C$5:$C$84,MATCH(C150,'Lookup Tables'!$A$5:$A$84,0)),"Unknown")</x:f>
        <x:v>Small Business</x:v>
      </x:c>
      <x:c r="F150" s="8" t="str">
        <x:v>Lucknow</x:v>
      </x:c>
      <x:c r="G150" s="8" t="str">
        <x:f>IFERROR(INDEX('Lookup Tables'!$N$5:$N$14,MATCH(F150,'Lookup Tables'!$M$5:$M$14,0)),"Unknown")</x:f>
        <x:v>North</x:v>
      </x:c>
      <x:c r="H150" s="8" t="str">
        <x:v>PRD-008</x:v>
      </x:c>
      <x:c r="I150" s="8" t="str">
        <x:f>IFERROR(INDEX('Lookup Tables'!$G$5:$G$16,MATCH(H150,'Lookup Tables'!$F$5:$F$16,0)),"Unknown Product")</x:f>
        <x:v>Storage Container Set</x:v>
      </x:c>
      <x:c r="J150" s="8" t="str">
        <x:f>IFERROR(INDEX('Lookup Tables'!$H$5:$H$16,MATCH(H150,'Lookup Tables'!$F$5:$F$16,0)),"Unknown")</x:f>
        <x:v>Home &amp; Kitchen</x:v>
      </x:c>
      <x:c r="K150" s="8" t="n">
        <x:v>5</x:v>
      </x:c>
      <x:c r="L150" s="9" t="n">
        <x:f>IFERROR(INDEX('Lookup Tables'!$I$5:$I$16,MATCH(H150,'Lookup Tables'!$F$5:$F$16,0)),0)</x:f>
        <x:v>999</x:v>
      </x:c>
      <x:c r="M150" s="23" t="n">
        <x:f>IF('Raw Data'!M150="",0,'Raw Data'!M150)</x:f>
        <x:v>0</x:v>
      </x:c>
      <x:c r="N150" s="9" t="n">
        <x:f>IF(S150="Completed",K150*L150*(1-M150),0)</x:f>
        <x:v>4995</x:v>
      </x:c>
      <x:c r="O150" s="9" t="n">
        <x:f>IFERROR(INDEX('Lookup Tables'!$J$5:$J$16,MATCH(H150,'Lookup Tables'!$F$5:$F$16,0)),0)</x:f>
        <x:v>580</x:v>
      </x:c>
      <x:c r="P150" s="9" t="n">
        <x:f>IF(S150="Completed",K150*O150,0)</x:f>
        <x:v>2900</x:v>
      </x:c>
      <x:c r="Q150" s="9" t="n">
        <x:f>N150-P150</x:f>
        <x:v>2095</x:v>
      </x:c>
      <x:c r="R150" s="8" t="str">
        <x:f>IF(LOWER('Raw Data'!N150)="upi","UPI",'Raw Data'!N150)</x:f>
        <x:v>Debit Card</x:v>
      </x:c>
      <x:c r="S150" s="8" t="str">
        <x:v>Completed</x:v>
      </x:c>
      <x:c r="T150" s="8" t="str">
        <x:f>TEXT(B150,"mmm yyyy")</x:f>
        <x:v>Aug 2025</x:v>
      </x:c>
      <x:c r="U150" s="8" t="n">
        <x:f>YEAR(B150)</x:f>
        <x:v>2025</x:v>
      </x:c>
    </x:row>
    <x:row r="151">
      <x:c r="A151" s="8" t="str">
        <x:v>ORD-0147</x:v>
      </x:c>
      <x:c r="B151" s="22" t="n">
        <x:v>45944.37769569444</x:v>
      </x:c>
      <x:c r="C151" s="8" t="str">
        <x:v>CUS-067</x:v>
      </x:c>
      <x:c r="D151" s="8" t="str">
        <x:f>IFERROR(INDEX('Lookup Tables'!$B$5:$B$84,MATCH(C151,'Lookup Tables'!$A$5:$A$84,0)),"Unknown Customer")</x:f>
        <x:v>Kabir Khan 4</x:v>
      </x:c>
      <x:c r="E151" s="8" t="str">
        <x:f>IFERROR(INDEX('Lookup Tables'!$C$5:$C$84,MATCH(C151,'Lookup Tables'!$A$5:$A$84,0)),"Unknown")</x:f>
        <x:v>Consumer</x:v>
      </x:c>
      <x:c r="F151" s="8" t="str">
        <x:v>Kolkata</x:v>
      </x:c>
      <x:c r="G151" s="8" t="str">
        <x:f>IFERROR(INDEX('Lookup Tables'!$N$5:$N$14,MATCH(F151,'Lookup Tables'!$M$5:$M$14,0)),"Unknown")</x:f>
        <x:v>East</x:v>
      </x:c>
      <x:c r="H151" s="8" t="str">
        <x:v>PRD-007</x:v>
      </x:c>
      <x:c r="I151" s="8" t="str">
        <x:f>IFERROR(INDEX('Lookup Tables'!$G$5:$G$16,MATCH(H151,'Lookup Tables'!$F$5:$F$16,0)),"Unknown Product")</x:f>
        <x:v>Electric Kettle</x:v>
      </x:c>
      <x:c r="J151" s="8" t="str">
        <x:f>IFERROR(INDEX('Lookup Tables'!$H$5:$H$16,MATCH(H151,'Lookup Tables'!$F$5:$F$16,0)),"Unknown")</x:f>
        <x:v>Home &amp; Kitchen</x:v>
      </x:c>
      <x:c r="K151" s="8" t="n">
        <x:v>3</x:v>
      </x:c>
      <x:c r="L151" s="9" t="n">
        <x:f>IFERROR(INDEX('Lookup Tables'!$I$5:$I$16,MATCH(H151,'Lookup Tables'!$F$5:$F$16,0)),0)</x:f>
        <x:v>1699</x:v>
      </x:c>
      <x:c r="M151" s="23" t="n">
        <x:f>IF('Raw Data'!M151="",0,'Raw Data'!M151)</x:f>
        <x:v>0.15</x:v>
      </x:c>
      <x:c r="N151" s="9" t="n">
        <x:f>IF(S151="Completed",K151*L151*(1-M151),0)</x:f>
        <x:v>0</x:v>
      </x:c>
      <x:c r="O151" s="9" t="n">
        <x:f>IFERROR(INDEX('Lookup Tables'!$J$5:$J$16,MATCH(H151,'Lookup Tables'!$F$5:$F$16,0)),0)</x:f>
        <x:v>1040</x:v>
      </x:c>
      <x:c r="P151" s="9" t="n">
        <x:f>IF(S151="Completed",K151*O151,0)</x:f>
        <x:v>0</x:v>
      </x:c>
      <x:c r="Q151" s="9" t="n">
        <x:f>N151-P151</x:f>
        <x:v>0</x:v>
      </x:c>
      <x:c r="R151" s="8" t="str">
        <x:f>IF(LOWER('Raw Data'!N151)="upi","UPI",'Raw Data'!N151)</x:f>
        <x:v>Credit Card</x:v>
      </x:c>
      <x:c r="S151" s="8" t="str">
        <x:v>Cancelled</x:v>
      </x:c>
      <x:c r="T151" s="8" t="str">
        <x:f>TEXT(B151,"mmm yyyy")</x:f>
        <x:v>Oct 2025</x:v>
      </x:c>
      <x:c r="U151" s="8" t="n">
        <x:f>YEAR(B151)</x:f>
        <x:v>2025</x:v>
      </x:c>
    </x:row>
    <x:row r="152">
      <x:c r="A152" s="8" t="str">
        <x:v>ORD-0148</x:v>
      </x:c>
      <x:c r="B152" s="22" t="n">
        <x:v>45974.82431886574</x:v>
      </x:c>
      <x:c r="C152" s="8" t="str">
        <x:v>CUS-044</x:v>
      </x:c>
      <x:c r="D152" s="8" t="str">
        <x:f>IFERROR(INDEX('Lookup Tables'!$B$5:$B$84,MATCH(C152,'Lookup Tables'!$A$5:$A$84,0)),"Unknown Customer")</x:f>
        <x:v>Ananya Gupta 3</x:v>
      </x:c>
      <x:c r="E152" s="8" t="str">
        <x:f>IFERROR(INDEX('Lookup Tables'!$C$5:$C$84,MATCH(C152,'Lookup Tables'!$A$5:$A$84,0)),"Unknown")</x:f>
        <x:v>Corporate</x:v>
      </x:c>
      <x:c r="F152" s="8" t="str">
        <x:v>Jaipur</x:v>
      </x:c>
      <x:c r="G152" s="8" t="str">
        <x:f>IFERROR(INDEX('Lookup Tables'!$N$5:$N$14,MATCH(F152,'Lookup Tables'!$M$5:$M$14,0)),"Unknown")</x:f>
        <x:v>North</x:v>
      </x:c>
      <x:c r="H152" s="8" t="str">
        <x:v>PRD-005</x:v>
      </x:c>
      <x:c r="I152" s="8" t="str">
        <x:f>IFERROR(INDEX('Lookup Tables'!$G$5:$G$16,MATCH(H152,'Lookup Tables'!$F$5:$F$16,0)),"Unknown Product")</x:f>
        <x:v>Executive Notebook</x:v>
      </x:c>
      <x:c r="J152" s="8" t="str">
        <x:f>IFERROR(INDEX('Lookup Tables'!$H$5:$H$16,MATCH(H152,'Lookup Tables'!$F$5:$F$16,0)),"Unknown")</x:f>
        <x:v>Office Supplies</x:v>
      </x:c>
      <x:c r="K152" s="8" t="n">
        <x:v>4</x:v>
      </x:c>
      <x:c r="L152" s="9" t="n">
        <x:f>IFERROR(INDEX('Lookup Tables'!$I$5:$I$16,MATCH(H152,'Lookup Tables'!$F$5:$F$16,0)),0)</x:f>
        <x:v>349</x:v>
      </x:c>
      <x:c r="M152" s="23" t="n">
        <x:f>IF('Raw Data'!M152="",0,'Raw Data'!M152)</x:f>
        <x:v>0</x:v>
      </x:c>
      <x:c r="N152" s="9" t="n">
        <x:f>IF(S152="Completed",K152*L152*(1-M152),0)</x:f>
        <x:v>1396</x:v>
      </x:c>
      <x:c r="O152" s="9" t="n">
        <x:f>IFERROR(INDEX('Lookup Tables'!$J$5:$J$16,MATCH(H152,'Lookup Tables'!$F$5:$F$16,0)),0)</x:f>
        <x:v>170</x:v>
      </x:c>
      <x:c r="P152" s="9" t="n">
        <x:f>IF(S152="Completed",K152*O152,0)</x:f>
        <x:v>680</x:v>
      </x:c>
      <x:c r="Q152" s="9" t="n">
        <x:f>N152-P152</x:f>
        <x:v>716</x:v>
      </x:c>
      <x:c r="R152" s="8" t="str">
        <x:f>IF(LOWER('Raw Data'!N152)="upi","UPI",'Raw Data'!N152)</x:f>
        <x:v>Net Banking</x:v>
      </x:c>
      <x:c r="S152" s="8" t="str">
        <x:v>Completed</x:v>
      </x:c>
      <x:c r="T152" s="8" t="str">
        <x:f>TEXT(B152,"mmm yyyy")</x:f>
        <x:v>Nov 2025</x:v>
      </x:c>
      <x:c r="U152" s="8" t="n">
        <x:f>YEAR(B152)</x:f>
        <x:v>2025</x:v>
      </x:c>
    </x:row>
    <x:row r="153">
      <x:c r="A153" s="8" t="str">
        <x:v>ORD-0149</x:v>
      </x:c>
      <x:c r="B153" s="22" t="n">
        <x:v>45887.177917002315</x:v>
      </x:c>
      <x:c r="C153" s="8" t="str">
        <x:v>CUS-056</x:v>
      </x:c>
      <x:c r="D153" s="8" t="str">
        <x:f>IFERROR(INDEX('Lookup Tables'!$B$5:$B$84,MATCH(C153,'Lookup Tables'!$A$5:$A$84,0)),"Unknown Customer")</x:f>
        <x:v>Pooja Saxena 3</x:v>
      </x:c>
      <x:c r="E153" s="8" t="str">
        <x:f>IFERROR(INDEX('Lookup Tables'!$C$5:$C$84,MATCH(C153,'Lookup Tables'!$A$5:$A$84,0)),"Unknown")</x:f>
        <x:v>Corporate</x:v>
      </x:c>
      <x:c r="F153" s="8" t="str">
        <x:v>Hyderabad</x:v>
      </x:c>
      <x:c r="G153" s="8" t="str">
        <x:f>IFERROR(INDEX('Lookup Tables'!$N$5:$N$14,MATCH(F153,'Lookup Tables'!$M$5:$M$14,0)),"Unknown")</x:f>
        <x:v>South</x:v>
      </x:c>
      <x:c r="H153" s="8" t="str">
        <x:v>PRD-011</x:v>
      </x:c>
      <x:c r="I153" s="8" t="str">
        <x:f>IFERROR(INDEX('Lookup Tables'!$G$5:$G$16,MATCH(H153,'Lookup Tables'!$F$5:$F$16,0)),"Unknown Product")</x:f>
        <x:v>Classic Wallet</x:v>
      </x:c>
      <x:c r="J153" s="8" t="str">
        <x:f>IFERROR(INDEX('Lookup Tables'!$H$5:$H$16,MATCH(H153,'Lookup Tables'!$F$5:$F$16,0)),"Unknown")</x:f>
        <x:v>Fashion</x:v>
      </x:c>
      <x:c r="K153" s="8" t="n">
        <x:v>4</x:v>
      </x:c>
      <x:c r="L153" s="9" t="n">
        <x:f>IFERROR(INDEX('Lookup Tables'!$I$5:$I$16,MATCH(H153,'Lookup Tables'!$F$5:$F$16,0)),0)</x:f>
        <x:v>1199</x:v>
      </x:c>
      <x:c r="M153" s="23" t="n">
        <x:f>IF('Raw Data'!M153="",0,'Raw Data'!M153)</x:f>
        <x:v>0.2</x:v>
      </x:c>
      <x:c r="N153" s="9" t="n">
        <x:f>IF(S153="Completed",K153*L153*(1-M153),0)</x:f>
        <x:v>3836.8</x:v>
      </x:c>
      <x:c r="O153" s="9" t="n">
        <x:f>IFERROR(INDEX('Lookup Tables'!$J$5:$J$16,MATCH(H153,'Lookup Tables'!$F$5:$F$16,0)),0)</x:f>
        <x:v>690</x:v>
      </x:c>
      <x:c r="P153" s="9" t="n">
        <x:f>IF(S153="Completed",K153*O153,0)</x:f>
        <x:v>2760</x:v>
      </x:c>
      <x:c r="Q153" s="9" t="n">
        <x:f>N153-P153</x:f>
        <x:v>1076.8000000000002</x:v>
      </x:c>
      <x:c r="R153" s="8" t="str">
        <x:f>IF(LOWER('Raw Data'!N153)="upi","UPI",'Raw Data'!N153)</x:f>
        <x:v>UPI</x:v>
      </x:c>
      <x:c r="S153" s="8" t="str">
        <x:v>Completed</x:v>
      </x:c>
      <x:c r="T153" s="8" t="str">
        <x:f>TEXT(B153,"mmm yyyy")</x:f>
        <x:v>Aug 2025</x:v>
      </x:c>
      <x:c r="U153" s="8" t="n">
        <x:f>YEAR(B153)</x:f>
        <x:v>2025</x:v>
      </x:c>
    </x:row>
    <x:row r="154">
      <x:c r="A154" s="8" t="str">
        <x:v>ORD-0150</x:v>
      </x:c>
      <x:c r="B154" s="22" t="n">
        <x:v>45746.77383116898</x:v>
      </x:c>
      <x:c r="C154" s="8" t="str">
        <x:v>CUS-015</x:v>
      </x:c>
      <x:c r="D154" s="8" t="str">
        <x:f>IFERROR(INDEX('Lookup Tables'!$B$5:$B$84,MATCH(C154,'Lookup Tables'!$A$5:$A$84,0)),"Unknown Customer")</x:f>
        <x:v>Karan Malhotra</x:v>
      </x:c>
      <x:c r="E154" s="8" t="str">
        <x:f>IFERROR(INDEX('Lookup Tables'!$C$5:$C$84,MATCH(C154,'Lookup Tables'!$A$5:$A$84,0)),"Unknown")</x:f>
        <x:v>Small Business</x:v>
      </x:c>
      <x:c r="F154" s="8" t="str">
        <x:v>Jaipur</x:v>
      </x:c>
      <x:c r="G154" s="8" t="str">
        <x:f>IFERROR(INDEX('Lookup Tables'!$N$5:$N$14,MATCH(F154,'Lookup Tables'!$M$5:$M$14,0)),"Unknown")</x:f>
        <x:v>North</x:v>
      </x:c>
      <x:c r="H154" s="8" t="str">
        <x:v>PRD-006</x:v>
      </x:c>
      <x:c r="I154" s="8" t="str">
        <x:f>IFERROR(INDEX('Lookup Tables'!$G$5:$G$16,MATCH(H154,'Lookup Tables'!$F$5:$F$16,0)),"Unknown Product")</x:f>
        <x:v>Desk Organiser</x:v>
      </x:c>
      <x:c r="J154" s="8" t="str">
        <x:f>IFERROR(INDEX('Lookup Tables'!$H$5:$H$16,MATCH(H154,'Lookup Tables'!$F$5:$F$16,0)),"Unknown")</x:f>
        <x:v>Office Supplies</x:v>
      </x:c>
      <x:c r="K154" s="8" t="n">
        <x:v>2</x:v>
      </x:c>
      <x:c r="L154" s="9" t="n">
        <x:f>IFERROR(INDEX('Lookup Tables'!$I$5:$I$16,MATCH(H154,'Lookup Tables'!$F$5:$F$16,0)),0)</x:f>
        <x:v>699</x:v>
      </x:c>
      <x:c r="M154" s="23" t="n">
        <x:f>IF('Raw Data'!M154="",0,'Raw Data'!M154)</x:f>
        <x:v>0</x:v>
      </x:c>
      <x:c r="N154" s="9" t="n">
        <x:f>IF(S154="Completed",K154*L154*(1-M154),0)</x:f>
        <x:v>1398</x:v>
      </x:c>
      <x:c r="O154" s="9" t="n">
        <x:f>IFERROR(INDEX('Lookup Tables'!$J$5:$J$16,MATCH(H154,'Lookup Tables'!$F$5:$F$16,0)),0)</x:f>
        <x:v>390</x:v>
      </x:c>
      <x:c r="P154" s="9" t="n">
        <x:f>IF(S154="Completed",K154*O154,0)</x:f>
        <x:v>780</x:v>
      </x:c>
      <x:c r="Q154" s="9" t="n">
        <x:f>N154-P154</x:f>
        <x:v>618</x:v>
      </x:c>
      <x:c r="R154" s="8" t="str">
        <x:f>IF(LOWER('Raw Data'!N154)="upi","UPI",'Raw Data'!N154)</x:f>
        <x:v>Debit Card</x:v>
      </x:c>
      <x:c r="S154" s="8" t="str">
        <x:v>Completed</x:v>
      </x:c>
      <x:c r="T154" s="8" t="str">
        <x:f>TEXT(B154,"mmm yyyy")</x:f>
        <x:v>Mar 2025</x:v>
      </x:c>
      <x:c r="U154" s="8" t="n">
        <x:f>YEAR(B154)</x:f>
        <x:v>2025</x:v>
      </x:c>
    </x:row>
    <x:row r="155">
      <x:c r="A155" s="8" t="str">
        <x:v>ORD-0151</x:v>
      </x:c>
      <x:c r="B155" s="22" t="n">
        <x:v>45692.09517922454</x:v>
      </x:c>
      <x:c r="C155" s="8" t="str">
        <x:v>CUS-042</x:v>
      </x:c>
      <x:c r="D155" s="8" t="str">
        <x:f>IFERROR(INDEX('Lookup Tables'!$B$5:$B$84,MATCH(C155,'Lookup Tables'!$A$5:$A$84,0)),"Unknown Customer")</x:f>
        <x:v>Diya Patel 3</x:v>
      </x:c>
      <x:c r="E155" s="8" t="str">
        <x:f>IFERROR(INDEX('Lookup Tables'!$C$5:$C$84,MATCH(C155,'Lookup Tables'!$A$5:$A$84,0)),"Unknown")</x:f>
        <x:v>Small Business</x:v>
      </x:c>
      <x:c r="F155" s="8" t="str">
        <x:v>Mumbai</x:v>
      </x:c>
      <x:c r="G155" s="8" t="str">
        <x:f>IFERROR(INDEX('Lookup Tables'!$N$5:$N$14,MATCH(F155,'Lookup Tables'!$M$5:$M$14,0)),"Unknown")</x:f>
        <x:v>West</x:v>
      </x:c>
      <x:c r="H155" s="8" t="str">
        <x:v>PRD-005</x:v>
      </x:c>
      <x:c r="I155" s="8" t="str">
        <x:f>IFERROR(INDEX('Lookup Tables'!$G$5:$G$16,MATCH(H155,'Lookup Tables'!$F$5:$F$16,0)),"Unknown Product")</x:f>
        <x:v>Executive Notebook</x:v>
      </x:c>
      <x:c r="J155" s="8" t="str">
        <x:f>IFERROR(INDEX('Lookup Tables'!$H$5:$H$16,MATCH(H155,'Lookup Tables'!$F$5:$F$16,0)),"Unknown")</x:f>
        <x:v>Office Supplies</x:v>
      </x:c>
      <x:c r="K155" s="8" t="n">
        <x:v>1</x:v>
      </x:c>
      <x:c r="L155" s="9" t="n">
        <x:f>IFERROR(INDEX('Lookup Tables'!$I$5:$I$16,MATCH(H155,'Lookup Tables'!$F$5:$F$16,0)),0)</x:f>
        <x:v>349</x:v>
      </x:c>
      <x:c r="M155" s="23" t="n">
        <x:f>IF('Raw Data'!M155="",0,'Raw Data'!M155)</x:f>
        <x:v>0</x:v>
      </x:c>
      <x:c r="N155" s="9" t="n">
        <x:f>IF(S155="Completed",K155*L155*(1-M155),0)</x:f>
        <x:v>349</x:v>
      </x:c>
      <x:c r="O155" s="9" t="n">
        <x:f>IFERROR(INDEX('Lookup Tables'!$J$5:$J$16,MATCH(H155,'Lookup Tables'!$F$5:$F$16,0)),0)</x:f>
        <x:v>170</x:v>
      </x:c>
      <x:c r="P155" s="9" t="n">
        <x:f>IF(S155="Completed",K155*O155,0)</x:f>
        <x:v>170</x:v>
      </x:c>
      <x:c r="Q155" s="9" t="n">
        <x:f>N155-P155</x:f>
        <x:v>179</x:v>
      </x:c>
      <x:c r="R155" s="8" t="str">
        <x:f>IF(LOWER('Raw Data'!N155)="upi","UPI",'Raw Data'!N155)</x:f>
        <x:v>Credit Card</x:v>
      </x:c>
      <x:c r="S155" s="8" t="str">
        <x:v>Completed</x:v>
      </x:c>
      <x:c r="T155" s="8" t="str">
        <x:f>TEXT(B155,"mmm yyyy")</x:f>
        <x:v>Feb 2025</x:v>
      </x:c>
      <x:c r="U155" s="8" t="n">
        <x:f>YEAR(B155)</x:f>
        <x:v>2025</x:v>
      </x:c>
    </x:row>
    <x:row r="156">
      <x:c r="A156" s="8" t="str">
        <x:v>ORD-0152</x:v>
      </x:c>
      <x:c r="B156" s="22" t="n">
        <x:v>45744.754566261574</x:v>
      </x:c>
      <x:c r="C156" s="8" t="str">
        <x:v>CUS-002</x:v>
      </x:c>
      <x:c r="D156" s="8" t="str">
        <x:f>IFERROR(INDEX('Lookup Tables'!$B$5:$B$84,MATCH(C156,'Lookup Tables'!$A$5:$A$84,0)),"Unknown Customer")</x:f>
        <x:v>Diya Patel</x:v>
      </x:c>
      <x:c r="E156" s="8" t="str">
        <x:f>IFERROR(INDEX('Lookup Tables'!$C$5:$C$84,MATCH(C156,'Lookup Tables'!$A$5:$A$84,0)),"Unknown")</x:f>
        <x:v>Corporate</x:v>
      </x:c>
      <x:c r="F156" s="8" t="str">
        <x:v>Pune</x:v>
      </x:c>
      <x:c r="G156" s="8" t="str">
        <x:f>IFERROR(INDEX('Lookup Tables'!$N$5:$N$14,MATCH(F156,'Lookup Tables'!$M$5:$M$14,0)),"Unknown")</x:f>
        <x:v>West</x:v>
      </x:c>
      <x:c r="H156" s="8" t="str">
        <x:v>PRD-003</x:v>
      </x:c>
      <x:c r="I156" s="8" t="str">
        <x:f>IFERROR(INDEX('Lookup Tables'!$G$5:$G$16,MATCH(H156,'Lookup Tables'!$F$5:$F$16,0)),"Unknown Product")</x:f>
        <x:v>USB-C Hub</x:v>
      </x:c>
      <x:c r="J156" s="8" t="str">
        <x:f>IFERROR(INDEX('Lookup Tables'!$H$5:$H$16,MATCH(H156,'Lookup Tables'!$F$5:$F$16,0)),"Unknown")</x:f>
        <x:v>Electronics</x:v>
      </x:c>
      <x:c r="K156" s="8" t="n">
        <x:v>2</x:v>
      </x:c>
      <x:c r="L156" s="9" t="n">
        <x:f>IFERROR(INDEX('Lookup Tables'!$I$5:$I$16,MATCH(H156,'Lookup Tables'!$F$5:$F$16,0)),0)</x:f>
        <x:v>1899</x:v>
      </x:c>
      <x:c r="M156" s="23" t="n">
        <x:f>IF('Raw Data'!M156="",0,'Raw Data'!M156)</x:f>
        <x:v>0.2</x:v>
      </x:c>
      <x:c r="N156" s="9" t="n">
        <x:f>IF(S156="Completed",K156*L156*(1-M156),0)</x:f>
        <x:v>0</x:v>
      </x:c>
      <x:c r="O156" s="9" t="n">
        <x:f>IFERROR(INDEX('Lookup Tables'!$J$5:$J$16,MATCH(H156,'Lookup Tables'!$F$5:$F$16,0)),0)</x:f>
        <x:v>1180</x:v>
      </x:c>
      <x:c r="P156" s="9" t="n">
        <x:f>IF(S156="Completed",K156*O156,0)</x:f>
        <x:v>0</x:v>
      </x:c>
      <x:c r="Q156" s="9" t="n">
        <x:f>N156-P156</x:f>
        <x:v>0</x:v>
      </x:c>
      <x:c r="R156" s="8" t="str">
        <x:f>IF(LOWER('Raw Data'!N156)="upi","UPI",'Raw Data'!N156)</x:f>
        <x:v>Credit Card</x:v>
      </x:c>
      <x:c r="S156" s="8" t="str">
        <x:v>Cancelled</x:v>
      </x:c>
      <x:c r="T156" s="8" t="str">
        <x:f>TEXT(B156,"mmm yyyy")</x:f>
        <x:v>Mar 2025</x:v>
      </x:c>
      <x:c r="U156" s="8" t="n">
        <x:f>YEAR(B156)</x:f>
        <x:v>2025</x:v>
      </x:c>
    </x:row>
    <x:row r="157">
      <x:c r="A157" s="8" t="str">
        <x:v>ORD-0153</x:v>
      </x:c>
      <x:c r="B157" s="22" t="n">
        <x:v>45717.88448914352</x:v>
      </x:c>
      <x:c r="C157" s="8" t="str">
        <x:v>CUS-030</x:v>
      </x:c>
      <x:c r="D157" s="8" t="str">
        <x:f>IFERROR(INDEX('Lookup Tables'!$B$5:$B$84,MATCH(C157,'Lookup Tables'!$A$5:$A$84,0)),"Unknown Customer")</x:f>
        <x:v>Saanvi Iyer 2</x:v>
      </x:c>
      <x:c r="E157" s="8" t="str">
        <x:f>IFERROR(INDEX('Lookup Tables'!$C$5:$C$84,MATCH(C157,'Lookup Tables'!$A$5:$A$84,0)),"Unknown")</x:f>
        <x:v>Small Business</x:v>
      </x:c>
      <x:c r="F157" s="8" t="str">
        <x:v>Lucknow</x:v>
      </x:c>
      <x:c r="G157" s="8" t="str">
        <x:f>IFERROR(INDEX('Lookup Tables'!$N$5:$N$14,MATCH(F157,'Lookup Tables'!$M$5:$M$14,0)),"Unknown")</x:f>
        <x:v>North</x:v>
      </x:c>
      <x:c r="H157" s="8" t="str">
        <x:v>PRD-002</x:v>
      </x:c>
      <x:c r="I157" s="8" t="str">
        <x:f>IFERROR(INDEX('Lookup Tables'!$G$5:$G$16,MATCH(H157,'Lookup Tables'!$F$5:$F$16,0)),"Unknown Product")</x:f>
        <x:v>Bluetooth Headphones</x:v>
      </x:c>
      <x:c r="J157" s="8" t="str">
        <x:f>IFERROR(INDEX('Lookup Tables'!$H$5:$H$16,MATCH(H157,'Lookup Tables'!$F$5:$F$16,0)),"Unknown")</x:f>
        <x:v>Electronics</x:v>
      </x:c>
      <x:c r="K157" s="8" t="n">
        <x:v>2</x:v>
      </x:c>
      <x:c r="L157" s="9" t="n">
        <x:f>IFERROR(INDEX('Lookup Tables'!$I$5:$I$16,MATCH(H157,'Lookup Tables'!$F$5:$F$16,0)),0)</x:f>
        <x:v>2499</x:v>
      </x:c>
      <x:c r="M157" s="23" t="n">
        <x:f>IF('Raw Data'!M157="",0,'Raw Data'!M157)</x:f>
        <x:v>0.2</x:v>
      </x:c>
      <x:c r="N157" s="9" t="n">
        <x:f>IF(S157="Completed",K157*L157*(1-M157),0)</x:f>
        <x:v>0</x:v>
      </x:c>
      <x:c r="O157" s="9" t="n">
        <x:f>IFERROR(INDEX('Lookup Tables'!$J$5:$J$16,MATCH(H157,'Lookup Tables'!$F$5:$F$16,0)),0)</x:f>
        <x:v>1620</x:v>
      </x:c>
      <x:c r="P157" s="9" t="n">
        <x:f>IF(S157="Completed",K157*O157,0)</x:f>
        <x:v>0</x:v>
      </x:c>
      <x:c r="Q157" s="9" t="n">
        <x:f>N157-P157</x:f>
        <x:v>0</x:v>
      </x:c>
      <x:c r="R157" s="8" t="str">
        <x:f>IF(LOWER('Raw Data'!N157)="upi","UPI",'Raw Data'!N157)</x:f>
        <x:v>Cash on Delivery</x:v>
      </x:c>
      <x:c r="S157" s="8" t="str">
        <x:v>Returned</x:v>
      </x:c>
      <x:c r="T157" s="8" t="str">
        <x:f>TEXT(B157,"mmm yyyy")</x:f>
        <x:v>Mar 2025</x:v>
      </x:c>
      <x:c r="U157" s="8" t="n">
        <x:f>YEAR(B157)</x:f>
        <x:v>2025</x:v>
      </x:c>
    </x:row>
    <x:row r="158">
      <x:c r="A158" s="8" t="str">
        <x:v>ORD-0154</x:v>
      </x:c>
      <x:c r="B158" s="22" t="n">
        <x:v>45787.03458358796</x:v>
      </x:c>
      <x:c r="C158" s="8" t="str">
        <x:v>CUS-066</x:v>
      </x:c>
      <x:c r="D158" s="8" t="str">
        <x:f>IFERROR(INDEX('Lookup Tables'!$B$5:$B$84,MATCH(C158,'Lookup Tables'!$A$5:$A$84,0)),"Unknown Customer")</x:f>
        <x:v>Isha Mehta 4</x:v>
      </x:c>
      <x:c r="E158" s="8" t="str">
        <x:f>IFERROR(INDEX('Lookup Tables'!$C$5:$C$84,MATCH(C158,'Lookup Tables'!$A$5:$A$84,0)),"Unknown")</x:f>
        <x:v>Small Business</x:v>
      </x:c>
      <x:c r="F158" s="8" t="str">
        <x:v>Jaipur</x:v>
      </x:c>
      <x:c r="G158" s="8" t="str">
        <x:f>IFERROR(INDEX('Lookup Tables'!$N$5:$N$14,MATCH(F158,'Lookup Tables'!$M$5:$M$14,0)),"Unknown")</x:f>
        <x:v>North</x:v>
      </x:c>
      <x:c r="H158" s="8" t="str">
        <x:v>PRD-001</x:v>
      </x:c>
      <x:c r="I158" s="8" t="str">
        <x:f>IFERROR(INDEX('Lookup Tables'!$G$5:$G$16,MATCH(H158,'Lookup Tables'!$F$5:$F$16,0)),"Unknown Product")</x:f>
        <x:v>Wireless Mouse</x:v>
      </x:c>
      <x:c r="J158" s="8" t="str">
        <x:f>IFERROR(INDEX('Lookup Tables'!$H$5:$H$16,MATCH(H158,'Lookup Tables'!$F$5:$F$16,0)),"Unknown")</x:f>
        <x:v>Electronics</x:v>
      </x:c>
      <x:c r="K158" s="8" t="n">
        <x:v>4</x:v>
      </x:c>
      <x:c r="L158" s="9" t="n">
        <x:f>IFERROR(INDEX('Lookup Tables'!$I$5:$I$16,MATCH(H158,'Lookup Tables'!$F$5:$F$16,0)),0)</x:f>
        <x:v>899</x:v>
      </x:c>
      <x:c r="M158" s="23" t="n">
        <x:f>IF('Raw Data'!M158="",0,'Raw Data'!M158)</x:f>
        <x:v>0</x:v>
      </x:c>
      <x:c r="N158" s="9" t="n">
        <x:f>IF(S158="Completed",K158*L158*(1-M158),0)</x:f>
        <x:v>3596</x:v>
      </x:c>
      <x:c r="O158" s="9" t="n">
        <x:f>IFERROR(INDEX('Lookup Tables'!$J$5:$J$16,MATCH(H158,'Lookup Tables'!$F$5:$F$16,0)),0)</x:f>
        <x:v>540</x:v>
      </x:c>
      <x:c r="P158" s="9" t="n">
        <x:f>IF(S158="Completed",K158*O158,0)</x:f>
        <x:v>2160</x:v>
      </x:c>
      <x:c r="Q158" s="9" t="n">
        <x:f>N158-P158</x:f>
        <x:v>1436</x:v>
      </x:c>
      <x:c r="R158" s="8" t="str">
        <x:f>IF(LOWER('Raw Data'!N158)="upi","UPI",'Raw Data'!N158)</x:f>
        <x:v>Net Banking</x:v>
      </x:c>
      <x:c r="S158" s="8" t="str">
        <x:v>Completed</x:v>
      </x:c>
      <x:c r="T158" s="8" t="str">
        <x:f>TEXT(B158,"mmm yyyy")</x:f>
        <x:v>May 2025</x:v>
      </x:c>
      <x:c r="U158" s="8" t="n">
        <x:f>YEAR(B158)</x:f>
        <x:v>2025</x:v>
      </x:c>
    </x:row>
    <x:row r="159">
      <x:c r="A159" s="8" t="str">
        <x:v>ORD-0155</x:v>
      </x:c>
      <x:c r="B159" s="22" t="n">
        <x:v>46008.16357384259</x:v>
      </x:c>
      <x:c r="C159" s="8" t="str">
        <x:v>CUS-017</x:v>
      </x:c>
      <x:c r="D159" s="8" t="str">
        <x:f>IFERROR(INDEX('Lookup Tables'!$B$5:$B$84,MATCH(C159,'Lookup Tables'!$A$5:$A$84,0)),"Unknown Customer")</x:f>
        <x:v>Vikram Yadav</x:v>
      </x:c>
      <x:c r="E159" s="8" t="str">
        <x:f>IFERROR(INDEX('Lookup Tables'!$C$5:$C$84,MATCH(C159,'Lookup Tables'!$A$5:$A$84,0)),"Unknown")</x:f>
        <x:v>Corporate</x:v>
      </x:c>
      <x:c r="F159" s="8" t="str">
        <x:v>Chennai</x:v>
      </x:c>
      <x:c r="G159" s="8" t="str">
        <x:f>IFERROR(INDEX('Lookup Tables'!$N$5:$N$14,MATCH(F159,'Lookup Tables'!$M$5:$M$14,0)),"Unknown")</x:f>
        <x:v>South</x:v>
      </x:c>
      <x:c r="H159" s="8" t="str">
        <x:v>PRD-004</x:v>
      </x:c>
      <x:c r="I159" s="8" t="str">
        <x:f>IFERROR(INDEX('Lookup Tables'!$G$5:$G$16,MATCH(H159,'Lookup Tables'!$F$5:$F$16,0)),"Unknown Product")</x:f>
        <x:v>Laptop Stand</x:v>
      </x:c>
      <x:c r="J159" s="8" t="str">
        <x:f>IFERROR(INDEX('Lookup Tables'!$H$5:$H$16,MATCH(H159,'Lookup Tables'!$F$5:$F$16,0)),"Unknown")</x:f>
        <x:v>Office Supplies</x:v>
      </x:c>
      <x:c r="K159" s="8" t="n">
        <x:v>1</x:v>
      </x:c>
      <x:c r="L159" s="9" t="n">
        <x:f>IFERROR(INDEX('Lookup Tables'!$I$5:$I$16,MATCH(H159,'Lookup Tables'!$F$5:$F$16,0)),0)</x:f>
        <x:v>1299</x:v>
      </x:c>
      <x:c r="M159" s="23" t="n">
        <x:f>IF('Raw Data'!M159="",0,'Raw Data'!M159)</x:f>
        <x:v>0</x:v>
      </x:c>
      <x:c r="N159" s="9" t="n">
        <x:f>IF(S159="Completed",K159*L159*(1-M159),0)</x:f>
        <x:v>1299</x:v>
      </x:c>
      <x:c r="O159" s="9" t="n">
        <x:f>IFERROR(INDEX('Lookup Tables'!$J$5:$J$16,MATCH(H159,'Lookup Tables'!$F$5:$F$16,0)),0)</x:f>
        <x:v>760</x:v>
      </x:c>
      <x:c r="P159" s="9" t="n">
        <x:f>IF(S159="Completed",K159*O159,0)</x:f>
        <x:v>760</x:v>
      </x:c>
      <x:c r="Q159" s="9" t="n">
        <x:f>N159-P159</x:f>
        <x:v>539</x:v>
      </x:c>
      <x:c r="R159" s="8" t="str">
        <x:f>IF(LOWER('Raw Data'!N159)="upi","UPI",'Raw Data'!N159)</x:f>
        <x:v>Cash on Delivery</x:v>
      </x:c>
      <x:c r="S159" s="8" t="str">
        <x:v>Completed</x:v>
      </x:c>
      <x:c r="T159" s="8" t="str">
        <x:f>TEXT(B159,"mmm yyyy")</x:f>
        <x:v>Dec 2025</x:v>
      </x:c>
      <x:c r="U159" s="8" t="n">
        <x:f>YEAR(B159)</x:f>
        <x:v>2025</x:v>
      </x:c>
    </x:row>
    <x:row r="160">
      <x:c r="A160" s="8" t="str">
        <x:v>ORD-0156</x:v>
      </x:c>
      <x:c r="B160" s="22" t="n">
        <x:v>45859.182949456015</x:v>
      </x:c>
      <x:c r="C160" s="8" t="str">
        <x:v>CUS-021</x:v>
      </x:c>
      <x:c r="D160" s="8" t="str">
        <x:f>IFERROR(INDEX('Lookup Tables'!$B$5:$B$84,MATCH(C160,'Lookup Tables'!$A$5:$A$84,0)),"Unknown Customer")</x:f>
        <x:v>Aarav Sharma 2</x:v>
      </x:c>
      <x:c r="E160" s="8" t="str">
        <x:f>IFERROR(INDEX('Lookup Tables'!$C$5:$C$84,MATCH(C160,'Lookup Tables'!$A$5:$A$84,0)),"Unknown")</x:f>
        <x:v>Small Business</x:v>
      </x:c>
      <x:c r="F160" s="8" t="str">
        <x:v>Kolkata</x:v>
      </x:c>
      <x:c r="G160" s="8" t="str">
        <x:f>IFERROR(INDEX('Lookup Tables'!$N$5:$N$14,MATCH(F160,'Lookup Tables'!$M$5:$M$14,0)),"Unknown")</x:f>
        <x:v>East</x:v>
      </x:c>
      <x:c r="H160" s="8" t="str">
        <x:v>PRD-004</x:v>
      </x:c>
      <x:c r="I160" s="8" t="str">
        <x:f>IFERROR(INDEX('Lookup Tables'!$G$5:$G$16,MATCH(H160,'Lookup Tables'!$F$5:$F$16,0)),"Unknown Product")</x:f>
        <x:v>Laptop Stand</x:v>
      </x:c>
      <x:c r="J160" s="8" t="str">
        <x:f>IFERROR(INDEX('Lookup Tables'!$H$5:$H$16,MATCH(H160,'Lookup Tables'!$F$5:$F$16,0)),"Unknown")</x:f>
        <x:v>Office Supplies</x:v>
      </x:c>
      <x:c r="K160" s="8" t="n">
        <x:v>2</x:v>
      </x:c>
      <x:c r="L160" s="9" t="n">
        <x:f>IFERROR(INDEX('Lookup Tables'!$I$5:$I$16,MATCH(H160,'Lookup Tables'!$F$5:$F$16,0)),0)</x:f>
        <x:v>1299</x:v>
      </x:c>
      <x:c r="M160" s="23" t="n">
        <x:f>IF('Raw Data'!M160="",0,'Raw Data'!M160)</x:f>
        <x:v>0</x:v>
      </x:c>
      <x:c r="N160" s="9" t="n">
        <x:f>IF(S160="Completed",K160*L160*(1-M160),0)</x:f>
        <x:v>2598</x:v>
      </x:c>
      <x:c r="O160" s="9" t="n">
        <x:f>IFERROR(INDEX('Lookup Tables'!$J$5:$J$16,MATCH(H160,'Lookup Tables'!$F$5:$F$16,0)),0)</x:f>
        <x:v>760</x:v>
      </x:c>
      <x:c r="P160" s="9" t="n">
        <x:f>IF(S160="Completed",K160*O160,0)</x:f>
        <x:v>1520</x:v>
      </x:c>
      <x:c r="Q160" s="9" t="n">
        <x:f>N160-P160</x:f>
        <x:v>1078</x:v>
      </x:c>
      <x:c r="R160" s="8" t="str">
        <x:f>IF(LOWER('Raw Data'!N160)="upi","UPI",'Raw Data'!N160)</x:f>
        <x:v>Debit Card</x:v>
      </x:c>
      <x:c r="S160" s="8" t="str">
        <x:v>Completed</x:v>
      </x:c>
      <x:c r="T160" s="8" t="str">
        <x:f>TEXT(B160,"mmm yyyy")</x:f>
        <x:v>Jul 2025</x:v>
      </x:c>
      <x:c r="U160" s="8" t="n">
        <x:f>YEAR(B160)</x:f>
        <x:v>2025</x:v>
      </x:c>
    </x:row>
    <x:row r="161">
      <x:c r="A161" s="8" t="str">
        <x:v>ORD-0157</x:v>
      </x:c>
      <x:c r="B161" s="22" t="n">
        <x:v>45988.727517708336</x:v>
      </x:c>
      <x:c r="C161" s="8" t="str">
        <x:v>CUS-075</x:v>
      </x:c>
      <x:c r="D161" s="8" t="str">
        <x:f>IFERROR(INDEX('Lookup Tables'!$B$5:$B$84,MATCH(C161,'Lookup Tables'!$A$5:$A$84,0)),"Unknown Customer")</x:f>
        <x:v>Karan Malhotra 4</x:v>
      </x:c>
      <x:c r="E161" s="8" t="str">
        <x:f>IFERROR(INDEX('Lookup Tables'!$C$5:$C$84,MATCH(C161,'Lookup Tables'!$A$5:$A$84,0)),"Unknown")</x:f>
        <x:v>Small Business</x:v>
      </x:c>
      <x:c r="F161" s="8" t="str">
        <x:v>Ahmedabad</x:v>
      </x:c>
      <x:c r="G161" s="8" t="str">
        <x:f>IFERROR(INDEX('Lookup Tables'!$N$5:$N$14,MATCH(F161,'Lookup Tables'!$M$5:$M$14,0)),"Unknown")</x:f>
        <x:v>West</x:v>
      </x:c>
      <x:c r="H161" s="8" t="str">
        <x:v>PRD-007</x:v>
      </x:c>
      <x:c r="I161" s="8" t="str">
        <x:f>IFERROR(INDEX('Lookup Tables'!$G$5:$G$16,MATCH(H161,'Lookup Tables'!$F$5:$F$16,0)),"Unknown Product")</x:f>
        <x:v>Electric Kettle</x:v>
      </x:c>
      <x:c r="J161" s="8" t="str">
        <x:f>IFERROR(INDEX('Lookup Tables'!$H$5:$H$16,MATCH(H161,'Lookup Tables'!$F$5:$F$16,0)),"Unknown")</x:f>
        <x:v>Home &amp; Kitchen</x:v>
      </x:c>
      <x:c r="K161" s="8" t="n">
        <x:v>1</x:v>
      </x:c>
      <x:c r="L161" s="9" t="n">
        <x:f>IFERROR(INDEX('Lookup Tables'!$I$5:$I$16,MATCH(H161,'Lookup Tables'!$F$5:$F$16,0)),0)</x:f>
        <x:v>1699</x:v>
      </x:c>
      <x:c r="M161" s="23" t="n">
        <x:f>IF('Raw Data'!M161="",0,'Raw Data'!M161)</x:f>
        <x:v>0.1</x:v>
      </x:c>
      <x:c r="N161" s="9" t="n">
        <x:f>IF(S161="Completed",K161*L161*(1-M161),0)</x:f>
        <x:v>1529.1000000000001</x:v>
      </x:c>
      <x:c r="O161" s="9" t="n">
        <x:f>IFERROR(INDEX('Lookup Tables'!$J$5:$J$16,MATCH(H161,'Lookup Tables'!$F$5:$F$16,0)),0)</x:f>
        <x:v>1040</x:v>
      </x:c>
      <x:c r="P161" s="9" t="n">
        <x:f>IF(S161="Completed",K161*O161,0)</x:f>
        <x:v>1040</x:v>
      </x:c>
      <x:c r="Q161" s="9" t="n">
        <x:f>N161-P161</x:f>
        <x:v>489.10000000000014</x:v>
      </x:c>
      <x:c r="R161" s="8" t="str">
        <x:f>IF(LOWER('Raw Data'!N161)="upi","UPI",'Raw Data'!N161)</x:f>
        <x:v>Cash on Delivery</x:v>
      </x:c>
      <x:c r="S161" s="8" t="str">
        <x:v>Completed</x:v>
      </x:c>
      <x:c r="T161" s="8" t="str">
        <x:f>TEXT(B161,"mmm yyyy")</x:f>
        <x:v>Nov 2025</x:v>
      </x:c>
      <x:c r="U161" s="8" t="n">
        <x:f>YEAR(B161)</x:f>
        <x:v>2025</x:v>
      </x:c>
    </x:row>
    <x:row r="162">
      <x:c r="A162" s="8" t="str">
        <x:v>ORD-0158</x:v>
      </x:c>
      <x:c r="B162" s="22" t="n">
        <x:v>45784.38780561343</x:v>
      </x:c>
      <x:c r="C162" s="8" t="str">
        <x:v>CUS-073</x:v>
      </x:c>
      <x:c r="D162" s="8" t="str">
        <x:f>IFERROR(INDEX('Lookup Tables'!$B$5:$B$84,MATCH(C162,'Lookup Tables'!$A$5:$A$84,0)),"Unknown Customer")</x:f>
        <x:v>Rahul Mishra 4</x:v>
      </x:c>
      <x:c r="E162" s="8" t="str">
        <x:f>IFERROR(INDEX('Lookup Tables'!$C$5:$C$84,MATCH(C162,'Lookup Tables'!$A$5:$A$84,0)),"Unknown")</x:f>
        <x:v>Consumer</x:v>
      </x:c>
      <x:c r="F162" s="8" t="str">
        <x:v>Jaipur</x:v>
      </x:c>
      <x:c r="G162" s="8" t="str">
        <x:f>IFERROR(INDEX('Lookup Tables'!$N$5:$N$14,MATCH(F162,'Lookup Tables'!$M$5:$M$14,0)),"Unknown")</x:f>
        <x:v>North</x:v>
      </x:c>
      <x:c r="H162" s="8" t="str">
        <x:v>PRD-007</x:v>
      </x:c>
      <x:c r="I162" s="8" t="str">
        <x:f>IFERROR(INDEX('Lookup Tables'!$G$5:$G$16,MATCH(H162,'Lookup Tables'!$F$5:$F$16,0)),"Unknown Product")</x:f>
        <x:v>Electric Kettle</x:v>
      </x:c>
      <x:c r="J162" s="8" t="str">
        <x:f>IFERROR(INDEX('Lookup Tables'!$H$5:$H$16,MATCH(H162,'Lookup Tables'!$F$5:$F$16,0)),"Unknown")</x:f>
        <x:v>Home &amp; Kitchen</x:v>
      </x:c>
      <x:c r="K162" s="8" t="n">
        <x:v>5</x:v>
      </x:c>
      <x:c r="L162" s="9" t="n">
        <x:f>IFERROR(INDEX('Lookup Tables'!$I$5:$I$16,MATCH(H162,'Lookup Tables'!$F$5:$F$16,0)),0)</x:f>
        <x:v>1699</x:v>
      </x:c>
      <x:c r="M162" s="23" t="n">
        <x:f>IF('Raw Data'!M162="",0,'Raw Data'!M162)</x:f>
        <x:v>0</x:v>
      </x:c>
      <x:c r="N162" s="9" t="n">
        <x:f>IF(S162="Completed",K162*L162*(1-M162),0)</x:f>
        <x:v>0</x:v>
      </x:c>
      <x:c r="O162" s="9" t="n">
        <x:f>IFERROR(INDEX('Lookup Tables'!$J$5:$J$16,MATCH(H162,'Lookup Tables'!$F$5:$F$16,0)),0)</x:f>
        <x:v>1040</x:v>
      </x:c>
      <x:c r="P162" s="9" t="n">
        <x:f>IF(S162="Completed",K162*O162,0)</x:f>
        <x:v>0</x:v>
      </x:c>
      <x:c r="Q162" s="9" t="n">
        <x:f>N162-P162</x:f>
        <x:v>0</x:v>
      </x:c>
      <x:c r="R162" s="8" t="str">
        <x:f>IF(LOWER('Raw Data'!N162)="upi","UPI",'Raw Data'!N162)</x:f>
        <x:v>Debit Card</x:v>
      </x:c>
      <x:c r="S162" s="8" t="str">
        <x:v>Cancelled</x:v>
      </x:c>
      <x:c r="T162" s="8" t="str">
        <x:f>TEXT(B162,"mmm yyyy")</x:f>
        <x:v>May 2025</x:v>
      </x:c>
      <x:c r="U162" s="8" t="n">
        <x:f>YEAR(B162)</x:f>
        <x:v>2025</x:v>
      </x:c>
    </x:row>
    <x:row r="163">
      <x:c r="A163" s="8" t="str">
        <x:v>ORD-0159</x:v>
      </x:c>
      <x:c r="B163" s="22" t="n">
        <x:v>45828.02965045139</x:v>
      </x:c>
      <x:c r="C163" s="8" t="str">
        <x:v>CUS-065</x:v>
      </x:c>
      <x:c r="D163" s="8" t="str">
        <x:f>IFERROR(INDEX('Lookup Tables'!$B$5:$B$84,MATCH(C163,'Lookup Tables'!$A$5:$A$84,0)),"Unknown Customer")</x:f>
        <x:v>Arjun Verma 4</x:v>
      </x:c>
      <x:c r="E163" s="8" t="str">
        <x:f>IFERROR(INDEX('Lookup Tables'!$C$5:$C$84,MATCH(C163,'Lookup Tables'!$A$5:$A$84,0)),"Unknown")</x:f>
        <x:v>Corporate</x:v>
      </x:c>
      <x:c r="F163" s="8" t="str">
        <x:v>Chennai</x:v>
      </x:c>
      <x:c r="G163" s="8" t="str">
        <x:f>IFERROR(INDEX('Lookup Tables'!$N$5:$N$14,MATCH(F163,'Lookup Tables'!$M$5:$M$14,0)),"Unknown")</x:f>
        <x:v>South</x:v>
      </x:c>
      <x:c r="H163" s="8" t="str">
        <x:v>PRD-001</x:v>
      </x:c>
      <x:c r="I163" s="8" t="str">
        <x:f>IFERROR(INDEX('Lookup Tables'!$G$5:$G$16,MATCH(H163,'Lookup Tables'!$F$5:$F$16,0)),"Unknown Product")</x:f>
        <x:v>Wireless Mouse</x:v>
      </x:c>
      <x:c r="J163" s="8" t="str">
        <x:f>IFERROR(INDEX('Lookup Tables'!$H$5:$H$16,MATCH(H163,'Lookup Tables'!$F$5:$F$16,0)),"Unknown")</x:f>
        <x:v>Electronics</x:v>
      </x:c>
      <x:c r="K163" s="8" t="n">
        <x:v>2</x:v>
      </x:c>
      <x:c r="L163" s="9" t="n">
        <x:f>IFERROR(INDEX('Lookup Tables'!$I$5:$I$16,MATCH(H163,'Lookup Tables'!$F$5:$F$16,0)),0)</x:f>
        <x:v>899</x:v>
      </x:c>
      <x:c r="M163" s="23" t="n">
        <x:f>IF('Raw Data'!M163="",0,'Raw Data'!M163)</x:f>
        <x:v>0.05</x:v>
      </x:c>
      <x:c r="N163" s="9" t="n">
        <x:f>IF(S163="Completed",K163*L163*(1-M163),0)</x:f>
        <x:v>1708.1</x:v>
      </x:c>
      <x:c r="O163" s="9" t="n">
        <x:f>IFERROR(INDEX('Lookup Tables'!$J$5:$J$16,MATCH(H163,'Lookup Tables'!$F$5:$F$16,0)),0)</x:f>
        <x:v>540</x:v>
      </x:c>
      <x:c r="P163" s="9" t="n">
        <x:f>IF(S163="Completed",K163*O163,0)</x:f>
        <x:v>1080</x:v>
      </x:c>
      <x:c r="Q163" s="9" t="n">
        <x:f>N163-P163</x:f>
        <x:v>628.0999999999999</x:v>
      </x:c>
      <x:c r="R163" s="8" t="str">
        <x:f>IF(LOWER('Raw Data'!N163)="upi","UPI",'Raw Data'!N163)</x:f>
        <x:v>Net Banking</x:v>
      </x:c>
      <x:c r="S163" s="8" t="str">
        <x:v>Completed</x:v>
      </x:c>
      <x:c r="T163" s="8" t="str">
        <x:f>TEXT(B163,"mmm yyyy")</x:f>
        <x:v>Jun 2025</x:v>
      </x:c>
      <x:c r="U163" s="8" t="n">
        <x:f>YEAR(B163)</x:f>
        <x:v>2025</x:v>
      </x:c>
    </x:row>
    <x:row r="164">
      <x:c r="A164" s="8" t="str">
        <x:v>ORD-0160</x:v>
      </x:c>
      <x:c r="B164" s="22" t="n">
        <x:v>45765.321267719904</x:v>
      </x:c>
      <x:c r="C164" s="8" t="str">
        <x:v>CUS-042</x:v>
      </x:c>
      <x:c r="D164" s="8" t="str">
        <x:f>IFERROR(INDEX('Lookup Tables'!$B$5:$B$84,MATCH(C164,'Lookup Tables'!$A$5:$A$84,0)),"Unknown Customer")</x:f>
        <x:v>Diya Patel 3</x:v>
      </x:c>
      <x:c r="E164" s="8" t="str">
        <x:f>IFERROR(INDEX('Lookup Tables'!$C$5:$C$84,MATCH(C164,'Lookup Tables'!$A$5:$A$84,0)),"Unknown")</x:f>
        <x:v>Small Business</x:v>
      </x:c>
      <x:c r="F164" s="8" t="str">
        <x:v>Kolkata</x:v>
      </x:c>
      <x:c r="G164" s="8" t="str">
        <x:f>IFERROR(INDEX('Lookup Tables'!$N$5:$N$14,MATCH(F164,'Lookup Tables'!$M$5:$M$14,0)),"Unknown")</x:f>
        <x:v>East</x:v>
      </x:c>
      <x:c r="H164" s="8" t="str">
        <x:v>PRD-006</x:v>
      </x:c>
      <x:c r="I164" s="8" t="str">
        <x:f>IFERROR(INDEX('Lookup Tables'!$G$5:$G$16,MATCH(H164,'Lookup Tables'!$F$5:$F$16,0)),"Unknown Product")</x:f>
        <x:v>Desk Organiser</x:v>
      </x:c>
      <x:c r="J164" s="8" t="str">
        <x:f>IFERROR(INDEX('Lookup Tables'!$H$5:$H$16,MATCH(H164,'Lookup Tables'!$F$5:$F$16,0)),"Unknown")</x:f>
        <x:v>Office Supplies</x:v>
      </x:c>
      <x:c r="K164" s="8" t="n">
        <x:v>5</x:v>
      </x:c>
      <x:c r="L164" s="9" t="n">
        <x:f>IFERROR(INDEX('Lookup Tables'!$I$5:$I$16,MATCH(H164,'Lookup Tables'!$F$5:$F$16,0)),0)</x:f>
        <x:v>699</x:v>
      </x:c>
      <x:c r="M164" s="23" t="n">
        <x:f>IF('Raw Data'!M164="",0,'Raw Data'!M164)</x:f>
        <x:v>0.2</x:v>
      </x:c>
      <x:c r="N164" s="9" t="n">
        <x:f>IF(S164="Completed",K164*L164*(1-M164),0)</x:f>
        <x:v>2796</x:v>
      </x:c>
      <x:c r="O164" s="9" t="n">
        <x:f>IFERROR(INDEX('Lookup Tables'!$J$5:$J$16,MATCH(H164,'Lookup Tables'!$F$5:$F$16,0)),0)</x:f>
        <x:v>390</x:v>
      </x:c>
      <x:c r="P164" s="9" t="n">
        <x:f>IF(S164="Completed",K164*O164,0)</x:f>
        <x:v>1950</x:v>
      </x:c>
      <x:c r="Q164" s="9" t="n">
        <x:f>N164-P164</x:f>
        <x:v>846</x:v>
      </x:c>
      <x:c r="R164" s="8" t="str">
        <x:f>IF(LOWER('Raw Data'!N164)="upi","UPI",'Raw Data'!N164)</x:f>
        <x:v>UPI</x:v>
      </x:c>
      <x:c r="S164" s="8" t="str">
        <x:v>Completed</x:v>
      </x:c>
      <x:c r="T164" s="8" t="str">
        <x:f>TEXT(B164,"mmm yyyy")</x:f>
        <x:v>Apr 2025</x:v>
      </x:c>
      <x:c r="U164" s="8" t="n">
        <x:f>YEAR(B164)</x:f>
        <x:v>2025</x:v>
      </x:c>
    </x:row>
    <x:row r="165">
      <x:c r="A165" s="8" t="str">
        <x:v>ORD-0161</x:v>
      </x:c>
      <x:c r="B165" s="22" t="n">
        <x:v>45851.25318991898</x:v>
      </x:c>
      <x:c r="C165" s="8" t="str">
        <x:v>CUS-041</x:v>
      </x:c>
      <x:c r="D165" s="8" t="str">
        <x:f>IFERROR(INDEX('Lookup Tables'!$B$5:$B$84,MATCH(C165,'Lookup Tables'!$A$5:$A$84,0)),"Unknown Customer")</x:f>
        <x:v>Aarav Sharma 3</x:v>
      </x:c>
      <x:c r="E165" s="8" t="str">
        <x:f>IFERROR(INDEX('Lookup Tables'!$C$5:$C$84,MATCH(C165,'Lookup Tables'!$A$5:$A$84,0)),"Unknown")</x:f>
        <x:v>Corporate</x:v>
      </x:c>
      <x:c r="F165" s="8" t="str">
        <x:v>Delhi</x:v>
      </x:c>
      <x:c r="G165" s="8" t="str">
        <x:f>IFERROR(INDEX('Lookup Tables'!$N$5:$N$14,MATCH(F165,'Lookup Tables'!$M$5:$M$14,0)),"Unknown")</x:f>
        <x:v>North</x:v>
      </x:c>
      <x:c r="H165" s="8" t="str">
        <x:v>PRD-008</x:v>
      </x:c>
      <x:c r="I165" s="8" t="str">
        <x:f>IFERROR(INDEX('Lookup Tables'!$G$5:$G$16,MATCH(H165,'Lookup Tables'!$F$5:$F$16,0)),"Unknown Product")</x:f>
        <x:v>Storage Container Set</x:v>
      </x:c>
      <x:c r="J165" s="8" t="str">
        <x:f>IFERROR(INDEX('Lookup Tables'!$H$5:$H$16,MATCH(H165,'Lookup Tables'!$F$5:$F$16,0)),"Unknown")</x:f>
        <x:v>Home &amp; Kitchen</x:v>
      </x:c>
      <x:c r="K165" s="8" t="n">
        <x:v>2</x:v>
      </x:c>
      <x:c r="L165" s="9" t="n">
        <x:f>IFERROR(INDEX('Lookup Tables'!$I$5:$I$16,MATCH(H165,'Lookup Tables'!$F$5:$F$16,0)),0)</x:f>
        <x:v>999</x:v>
      </x:c>
      <x:c r="M165" s="23" t="n">
        <x:f>IF('Raw Data'!M165="",0,'Raw Data'!M165)</x:f>
        <x:v>0.2</x:v>
      </x:c>
      <x:c r="N165" s="9" t="n">
        <x:f>IF(S165="Completed",K165*L165*(1-M165),0)</x:f>
        <x:v>1598.4</x:v>
      </x:c>
      <x:c r="O165" s="9" t="n">
        <x:f>IFERROR(INDEX('Lookup Tables'!$J$5:$J$16,MATCH(H165,'Lookup Tables'!$F$5:$F$16,0)),0)</x:f>
        <x:v>580</x:v>
      </x:c>
      <x:c r="P165" s="9" t="n">
        <x:f>IF(S165="Completed",K165*O165,0)</x:f>
        <x:v>1160</x:v>
      </x:c>
      <x:c r="Q165" s="9" t="n">
        <x:f>N165-P165</x:f>
        <x:v>438.4000000000001</x:v>
      </x:c>
      <x:c r="R165" s="8" t="str">
        <x:f>IF(LOWER('Raw Data'!N165)="upi","UPI",'Raw Data'!N165)</x:f>
        <x:v>Net Banking</x:v>
      </x:c>
      <x:c r="S165" s="8" t="str">
        <x:v>Completed</x:v>
      </x:c>
      <x:c r="T165" s="8" t="str">
        <x:f>TEXT(B165,"mmm yyyy")</x:f>
        <x:v>Jul 2025</x:v>
      </x:c>
      <x:c r="U165" s="8" t="n">
        <x:f>YEAR(B165)</x:f>
        <x:v>2025</x:v>
      </x:c>
    </x:row>
    <x:row r="166">
      <x:c r="A166" s="8" t="str">
        <x:v>ORD-0162</x:v>
      </x:c>
      <x:c r="B166" s="22" t="n">
        <x:v>46015.240425474534</x:v>
      </x:c>
      <x:c r="C166" s="8" t="str">
        <x:v>CUS-041</x:v>
      </x:c>
      <x:c r="D166" s="8" t="str">
        <x:f>IFERROR(INDEX('Lookup Tables'!$B$5:$B$84,MATCH(C166,'Lookup Tables'!$A$5:$A$84,0)),"Unknown Customer")</x:f>
        <x:v>Aarav Sharma 3</x:v>
      </x:c>
      <x:c r="E166" s="8" t="str">
        <x:f>IFERROR(INDEX('Lookup Tables'!$C$5:$C$84,MATCH(C166,'Lookup Tables'!$A$5:$A$84,0)),"Unknown")</x:f>
        <x:v>Corporate</x:v>
      </x:c>
      <x:c r="F166" s="8" t="str">
        <x:v>Delhi</x:v>
      </x:c>
      <x:c r="G166" s="8" t="str">
        <x:f>IFERROR(INDEX('Lookup Tables'!$N$5:$N$14,MATCH(F166,'Lookup Tables'!$M$5:$M$14,0)),"Unknown")</x:f>
        <x:v>North</x:v>
      </x:c>
      <x:c r="H166" s="8" t="str">
        <x:v>PRD-012</x:v>
      </x:c>
      <x:c r="I166" s="8" t="str">
        <x:f>IFERROR(INDEX('Lookup Tables'!$G$5:$G$16,MATCH(H166,'Lookup Tables'!$F$5:$F$16,0)),"Unknown Product")</x:f>
        <x:v>Stainless Water Bottle</x:v>
      </x:c>
      <x:c r="J166" s="8" t="str">
        <x:f>IFERROR(INDEX('Lookup Tables'!$H$5:$H$16,MATCH(H166,'Lookup Tables'!$F$5:$F$16,0)),"Unknown")</x:f>
        <x:v>Lifestyle</x:v>
      </x:c>
      <x:c r="K166" s="8" t="n">
        <x:v>1</x:v>
      </x:c>
      <x:c r="L166" s="9" t="n">
        <x:f>IFERROR(INDEX('Lookup Tables'!$I$5:$I$16,MATCH(H166,'Lookup Tables'!$F$5:$F$16,0)),0)</x:f>
        <x:v>799</x:v>
      </x:c>
      <x:c r="M166" s="23" t="n">
        <x:f>IF('Raw Data'!M166="",0,'Raw Data'!M166)</x:f>
        <x:v>0.15</x:v>
      </x:c>
      <x:c r="N166" s="9" t="n">
        <x:f>IF(S166="Completed",K166*L166*(1-M166),0)</x:f>
        <x:v>679.15</x:v>
      </x:c>
      <x:c r="O166" s="9" t="n">
        <x:f>IFERROR(INDEX('Lookup Tables'!$J$5:$J$16,MATCH(H166,'Lookup Tables'!$F$5:$F$16,0)),0)</x:f>
        <x:v>410</x:v>
      </x:c>
      <x:c r="P166" s="9" t="n">
        <x:f>IF(S166="Completed",K166*O166,0)</x:f>
        <x:v>410</x:v>
      </x:c>
      <x:c r="Q166" s="9" t="n">
        <x:f>N166-P166</x:f>
        <x:v>269.15</x:v>
      </x:c>
      <x:c r="R166" s="8" t="str">
        <x:f>IF(LOWER('Raw Data'!N166)="upi","UPI",'Raw Data'!N166)</x:f>
        <x:v>Net Banking</x:v>
      </x:c>
      <x:c r="S166" s="8" t="str">
        <x:v>Completed</x:v>
      </x:c>
      <x:c r="T166" s="8" t="str">
        <x:f>TEXT(B166,"mmm yyyy")</x:f>
        <x:v>Dec 2025</x:v>
      </x:c>
      <x:c r="U166" s="8" t="n">
        <x:f>YEAR(B166)</x:f>
        <x:v>2025</x:v>
      </x:c>
    </x:row>
    <x:row r="167">
      <x:c r="A167" s="8" t="str">
        <x:v>ORD-0163</x:v>
      </x:c>
      <x:c r="B167" s="22" t="n">
        <x:v>45708.57637798611</x:v>
      </x:c>
      <x:c r="C167" s="8" t="str">
        <x:v>CUS-047</x:v>
      </x:c>
      <x:c r="D167" s="8" t="str">
        <x:f>IFERROR(INDEX('Lookup Tables'!$B$5:$B$84,MATCH(C167,'Lookup Tables'!$A$5:$A$84,0)),"Unknown Customer")</x:f>
        <x:v>Kabir Khan 3</x:v>
      </x:c>
      <x:c r="E167" s="8" t="str">
        <x:f>IFERROR(INDEX('Lookup Tables'!$C$5:$C$84,MATCH(C167,'Lookup Tables'!$A$5:$A$84,0)),"Unknown")</x:f>
        <x:v>Corporate</x:v>
      </x:c>
      <x:c r="F167" s="8" t="str">
        <x:v>Bengaluru</x:v>
      </x:c>
      <x:c r="G167" s="8" t="str">
        <x:f>IFERROR(INDEX('Lookup Tables'!$N$5:$N$14,MATCH(F167,'Lookup Tables'!$M$5:$M$14,0)),"Unknown")</x:f>
        <x:v>South</x:v>
      </x:c>
      <x:c r="H167" s="8" t="str">
        <x:v>PRD-005</x:v>
      </x:c>
      <x:c r="I167" s="8" t="str">
        <x:f>IFERROR(INDEX('Lookup Tables'!$G$5:$G$16,MATCH(H167,'Lookup Tables'!$F$5:$F$16,0)),"Unknown Product")</x:f>
        <x:v>Executive Notebook</x:v>
      </x:c>
      <x:c r="J167" s="8" t="str">
        <x:f>IFERROR(INDEX('Lookup Tables'!$H$5:$H$16,MATCH(H167,'Lookup Tables'!$F$5:$F$16,0)),"Unknown")</x:f>
        <x:v>Office Supplies</x:v>
      </x:c>
      <x:c r="K167" s="8" t="n">
        <x:v>4</x:v>
      </x:c>
      <x:c r="L167" s="9" t="n">
        <x:f>IFERROR(INDEX('Lookup Tables'!$I$5:$I$16,MATCH(H167,'Lookup Tables'!$F$5:$F$16,0)),0)</x:f>
        <x:v>349</x:v>
      </x:c>
      <x:c r="M167" s="23" t="n">
        <x:f>IF('Raw Data'!M167="",0,'Raw Data'!M167)</x:f>
        <x:v>0.1</x:v>
      </x:c>
      <x:c r="N167" s="9" t="n">
        <x:f>IF(S167="Completed",K167*L167*(1-M167),0)</x:f>
        <x:v>0</x:v>
      </x:c>
      <x:c r="O167" s="9" t="n">
        <x:f>IFERROR(INDEX('Lookup Tables'!$J$5:$J$16,MATCH(H167,'Lookup Tables'!$F$5:$F$16,0)),0)</x:f>
        <x:v>170</x:v>
      </x:c>
      <x:c r="P167" s="9" t="n">
        <x:f>IF(S167="Completed",K167*O167,0)</x:f>
        <x:v>0</x:v>
      </x:c>
      <x:c r="Q167" s="9" t="n">
        <x:f>N167-P167</x:f>
        <x:v>0</x:v>
      </x:c>
      <x:c r="R167" s="8" t="str">
        <x:f>IF(LOWER('Raw Data'!N167)="upi","UPI",'Raw Data'!N167)</x:f>
        <x:v>Cash on Delivery</x:v>
      </x:c>
      <x:c r="S167" s="8" t="str">
        <x:v>Cancelled</x:v>
      </x:c>
      <x:c r="T167" s="8" t="str">
        <x:f>TEXT(B167,"mmm yyyy")</x:f>
        <x:v>Feb 2025</x:v>
      </x:c>
      <x:c r="U167" s="8" t="n">
        <x:f>YEAR(B167)</x:f>
        <x:v>2025</x:v>
      </x:c>
    </x:row>
    <x:row r="168">
      <x:c r="A168" s="8" t="str">
        <x:v>ORD-0164</x:v>
      </x:c>
      <x:c r="B168" s="22" t="n">
        <x:v>45925.07637618056</x:v>
      </x:c>
      <x:c r="C168" s="8" t="str">
        <x:v>CUS-043</x:v>
      </x:c>
      <x:c r="D168" s="8" t="str">
        <x:f>IFERROR(INDEX('Lookup Tables'!$B$5:$B$84,MATCH(C168,'Lookup Tables'!$A$5:$A$84,0)),"Unknown Customer")</x:f>
        <x:v>Vihaan Singh 3</x:v>
      </x:c>
      <x:c r="E168" s="8" t="str">
        <x:f>IFERROR(INDEX('Lookup Tables'!$C$5:$C$84,MATCH(C168,'Lookup Tables'!$A$5:$A$84,0)),"Unknown")</x:f>
        <x:v>Consumer</x:v>
      </x:c>
      <x:c r="F168" s="8" t="str">
        <x:v>Mumbai</x:v>
      </x:c>
      <x:c r="G168" s="8" t="str">
        <x:f>IFERROR(INDEX('Lookup Tables'!$N$5:$N$14,MATCH(F168,'Lookup Tables'!$M$5:$M$14,0)),"Unknown")</x:f>
        <x:v>West</x:v>
      </x:c>
      <x:c r="H168" s="8" t="str">
        <x:v>PRD-004</x:v>
      </x:c>
      <x:c r="I168" s="8" t="str">
        <x:f>IFERROR(INDEX('Lookup Tables'!$G$5:$G$16,MATCH(H168,'Lookup Tables'!$F$5:$F$16,0)),"Unknown Product")</x:f>
        <x:v>Laptop Stand</x:v>
      </x:c>
      <x:c r="J168" s="8" t="str">
        <x:f>IFERROR(INDEX('Lookup Tables'!$H$5:$H$16,MATCH(H168,'Lookup Tables'!$F$5:$F$16,0)),"Unknown")</x:f>
        <x:v>Office Supplies</x:v>
      </x:c>
      <x:c r="K168" s="8" t="n">
        <x:v>5</x:v>
      </x:c>
      <x:c r="L168" s="9" t="n">
        <x:f>IFERROR(INDEX('Lookup Tables'!$I$5:$I$16,MATCH(H168,'Lookup Tables'!$F$5:$F$16,0)),0)</x:f>
        <x:v>1299</x:v>
      </x:c>
      <x:c r="M168" s="23" t="n">
        <x:f>IF('Raw Data'!M168="",0,'Raw Data'!M168)</x:f>
        <x:v>0.1</x:v>
      </x:c>
      <x:c r="N168" s="9" t="n">
        <x:f>IF(S168="Completed",K168*L168*(1-M168),0)</x:f>
        <x:v>5845.5</x:v>
      </x:c>
      <x:c r="O168" s="9" t="n">
        <x:f>IFERROR(INDEX('Lookup Tables'!$J$5:$J$16,MATCH(H168,'Lookup Tables'!$F$5:$F$16,0)),0)</x:f>
        <x:v>760</x:v>
      </x:c>
      <x:c r="P168" s="9" t="n">
        <x:f>IF(S168="Completed",K168*O168,0)</x:f>
        <x:v>3800</x:v>
      </x:c>
      <x:c r="Q168" s="9" t="n">
        <x:f>N168-P168</x:f>
        <x:v>2045.5</x:v>
      </x:c>
      <x:c r="R168" s="8" t="str">
        <x:f>IF(LOWER('Raw Data'!N168)="upi","UPI",'Raw Data'!N168)</x:f>
        <x:v>Debit Card</x:v>
      </x:c>
      <x:c r="S168" s="8" t="str">
        <x:v>Completed</x:v>
      </x:c>
      <x:c r="T168" s="8" t="str">
        <x:f>TEXT(B168,"mmm yyyy")</x:f>
        <x:v>Sep 2025</x:v>
      </x:c>
      <x:c r="U168" s="8" t="n">
        <x:f>YEAR(B168)</x:f>
        <x:v>2025</x:v>
      </x:c>
    </x:row>
    <x:row r="169">
      <x:c r="A169" s="8" t="str">
        <x:v>ORD-0165</x:v>
      </x:c>
      <x:c r="B169" s="22" t="n">
        <x:v>45858.756285069445</x:v>
      </x:c>
      <x:c r="C169" s="8" t="str">
        <x:v>CUS-001</x:v>
      </x:c>
      <x:c r="D169" s="8" t="str">
        <x:f>IFERROR(INDEX('Lookup Tables'!$B$5:$B$84,MATCH(C169,'Lookup Tables'!$A$5:$A$84,0)),"Unknown Customer")</x:f>
        <x:v>Aarav Sharma</x:v>
      </x:c>
      <x:c r="E169" s="8" t="str">
        <x:f>IFERROR(INDEX('Lookup Tables'!$C$5:$C$84,MATCH(C169,'Lookup Tables'!$A$5:$A$84,0)),"Unknown")</x:f>
        <x:v>Consumer</x:v>
      </x:c>
      <x:c r="F169" s="8" t="str">
        <x:v>Pune</x:v>
      </x:c>
      <x:c r="G169" s="8" t="str">
        <x:f>IFERROR(INDEX('Lookup Tables'!$N$5:$N$14,MATCH(F169,'Lookup Tables'!$M$5:$M$14,0)),"Unknown")</x:f>
        <x:v>West</x:v>
      </x:c>
      <x:c r="H169" s="8" t="str">
        <x:v>PRD-006</x:v>
      </x:c>
      <x:c r="I169" s="8" t="str">
        <x:f>IFERROR(INDEX('Lookup Tables'!$G$5:$G$16,MATCH(H169,'Lookup Tables'!$F$5:$F$16,0)),"Unknown Product")</x:f>
        <x:v>Desk Organiser</x:v>
      </x:c>
      <x:c r="J169" s="8" t="str">
        <x:f>IFERROR(INDEX('Lookup Tables'!$H$5:$H$16,MATCH(H169,'Lookup Tables'!$F$5:$F$16,0)),"Unknown")</x:f>
        <x:v>Office Supplies</x:v>
      </x:c>
      <x:c r="K169" s="8" t="n">
        <x:v>5</x:v>
      </x:c>
      <x:c r="L169" s="9" t="n">
        <x:f>IFERROR(INDEX('Lookup Tables'!$I$5:$I$16,MATCH(H169,'Lookup Tables'!$F$5:$F$16,0)),0)</x:f>
        <x:v>699</x:v>
      </x:c>
      <x:c r="M169" s="23" t="n">
        <x:f>IF('Raw Data'!M169="",0,'Raw Data'!M169)</x:f>
        <x:v>0.15</x:v>
      </x:c>
      <x:c r="N169" s="9" t="n">
        <x:f>IF(S169="Completed",K169*L169*(1-M169),0)</x:f>
        <x:v>2970.75</x:v>
      </x:c>
      <x:c r="O169" s="9" t="n">
        <x:f>IFERROR(INDEX('Lookup Tables'!$J$5:$J$16,MATCH(H169,'Lookup Tables'!$F$5:$F$16,0)),0)</x:f>
        <x:v>390</x:v>
      </x:c>
      <x:c r="P169" s="9" t="n">
        <x:f>IF(S169="Completed",K169*O169,0)</x:f>
        <x:v>1950</x:v>
      </x:c>
      <x:c r="Q169" s="9" t="n">
        <x:f>N169-P169</x:f>
        <x:v>1020.75</x:v>
      </x:c>
      <x:c r="R169" s="8" t="str">
        <x:f>IF(LOWER('Raw Data'!N169)="upi","UPI",'Raw Data'!N169)</x:f>
        <x:v>UPI</x:v>
      </x:c>
      <x:c r="S169" s="8" t="str">
        <x:v>Completed</x:v>
      </x:c>
      <x:c r="T169" s="8" t="str">
        <x:f>TEXT(B169,"mmm yyyy")</x:f>
        <x:v>Jul 2025</x:v>
      </x:c>
      <x:c r="U169" s="8" t="n">
        <x:f>YEAR(B169)</x:f>
        <x:v>2025</x:v>
      </x:c>
    </x:row>
    <x:row r="170">
      <x:c r="A170" s="8" t="str">
        <x:v>ORD-0166</x:v>
      </x:c>
      <x:c r="B170" s="22" t="n">
        <x:v>45756.854312731484</x:v>
      </x:c>
      <x:c r="C170" s="8" t="str">
        <x:v>CUS-067</x:v>
      </x:c>
      <x:c r="D170" s="8" t="str">
        <x:f>IFERROR(INDEX('Lookup Tables'!$B$5:$B$84,MATCH(C170,'Lookup Tables'!$A$5:$A$84,0)),"Unknown Customer")</x:f>
        <x:v>Kabir Khan 4</x:v>
      </x:c>
      <x:c r="E170" s="8" t="str">
        <x:f>IFERROR(INDEX('Lookup Tables'!$C$5:$C$84,MATCH(C170,'Lookup Tables'!$A$5:$A$84,0)),"Unknown")</x:f>
        <x:v>Consumer</x:v>
      </x:c>
      <x:c r="F170" s="8" t="str">
        <x:v>Pune</x:v>
      </x:c>
      <x:c r="G170" s="8" t="str">
        <x:f>IFERROR(INDEX('Lookup Tables'!$N$5:$N$14,MATCH(F170,'Lookup Tables'!$M$5:$M$14,0)),"Unknown")</x:f>
        <x:v>West</x:v>
      </x:c>
      <x:c r="H170" s="8" t="str">
        <x:v>PRD-006</x:v>
      </x:c>
      <x:c r="I170" s="8" t="str">
        <x:f>IFERROR(INDEX('Lookup Tables'!$G$5:$G$16,MATCH(H170,'Lookup Tables'!$F$5:$F$16,0)),"Unknown Product")</x:f>
        <x:v>Desk Organiser</x:v>
      </x:c>
      <x:c r="J170" s="8" t="str">
        <x:f>IFERROR(INDEX('Lookup Tables'!$H$5:$H$16,MATCH(H170,'Lookup Tables'!$F$5:$F$16,0)),"Unknown")</x:f>
        <x:v>Office Supplies</x:v>
      </x:c>
      <x:c r="K170" s="8" t="n">
        <x:v>5</x:v>
      </x:c>
      <x:c r="L170" s="9" t="n">
        <x:f>IFERROR(INDEX('Lookup Tables'!$I$5:$I$16,MATCH(H170,'Lookup Tables'!$F$5:$F$16,0)),0)</x:f>
        <x:v>699</x:v>
      </x:c>
      <x:c r="M170" s="23" t="n">
        <x:f>IF('Raw Data'!M170="",0,'Raw Data'!M170)</x:f>
        <x:v>0.2</x:v>
      </x:c>
      <x:c r="N170" s="9" t="n">
        <x:f>IF(S170="Completed",K170*L170*(1-M170),0)</x:f>
        <x:v>2796</x:v>
      </x:c>
      <x:c r="O170" s="9" t="n">
        <x:f>IFERROR(INDEX('Lookup Tables'!$J$5:$J$16,MATCH(H170,'Lookup Tables'!$F$5:$F$16,0)),0)</x:f>
        <x:v>390</x:v>
      </x:c>
      <x:c r="P170" s="9" t="n">
        <x:f>IF(S170="Completed",K170*O170,0)</x:f>
        <x:v>1950</x:v>
      </x:c>
      <x:c r="Q170" s="9" t="n">
        <x:f>N170-P170</x:f>
        <x:v>846</x:v>
      </x:c>
      <x:c r="R170" s="8" t="str">
        <x:f>IF(LOWER('Raw Data'!N170)="upi","UPI",'Raw Data'!N170)</x:f>
        <x:v>Credit Card</x:v>
      </x:c>
      <x:c r="S170" s="8" t="str">
        <x:v>Completed</x:v>
      </x:c>
      <x:c r="T170" s="8" t="str">
        <x:f>TEXT(B170,"mmm yyyy")</x:f>
        <x:v>Apr 2025</x:v>
      </x:c>
      <x:c r="U170" s="8" t="n">
        <x:f>YEAR(B170)</x:f>
        <x:v>2025</x:v>
      </x:c>
    </x:row>
    <x:row r="171">
      <x:c r="A171" s="8" t="str">
        <x:v>ORD-0167</x:v>
      </x:c>
      <x:c r="B171" s="22" t="n">
        <x:v>45735.54925228009</x:v>
      </x:c>
      <x:c r="C171" s="8" t="str">
        <x:v>CUS-076</x:v>
      </x:c>
      <x:c r="D171" s="8" t="str">
        <x:f>IFERROR(INDEX('Lookup Tables'!$B$5:$B$84,MATCH(C171,'Lookup Tables'!$A$5:$A$84,0)),"Unknown Customer")</x:f>
        <x:v>Pooja Saxena 4</x:v>
      </x:c>
      <x:c r="E171" s="8" t="str">
        <x:f>IFERROR(INDEX('Lookup Tables'!$C$5:$C$84,MATCH(C171,'Lookup Tables'!$A$5:$A$84,0)),"Unknown")</x:f>
        <x:v>Consumer</x:v>
      </x:c>
      <x:c r="F171" s="8" t="str">
        <x:v>Delhi</x:v>
      </x:c>
      <x:c r="G171" s="8" t="str">
        <x:f>IFERROR(INDEX('Lookup Tables'!$N$5:$N$14,MATCH(F171,'Lookup Tables'!$M$5:$M$14,0)),"Unknown")</x:f>
        <x:v>North</x:v>
      </x:c>
      <x:c r="H171" s="8" t="str">
        <x:v>PRD-004</x:v>
      </x:c>
      <x:c r="I171" s="8" t="str">
        <x:f>IFERROR(INDEX('Lookup Tables'!$G$5:$G$16,MATCH(H171,'Lookup Tables'!$F$5:$F$16,0)),"Unknown Product")</x:f>
        <x:v>Laptop Stand</x:v>
      </x:c>
      <x:c r="J171" s="8" t="str">
        <x:f>IFERROR(INDEX('Lookup Tables'!$H$5:$H$16,MATCH(H171,'Lookup Tables'!$F$5:$F$16,0)),"Unknown")</x:f>
        <x:v>Office Supplies</x:v>
      </x:c>
      <x:c r="K171" s="8" t="n">
        <x:v>1</x:v>
      </x:c>
      <x:c r="L171" s="9" t="n">
        <x:f>IFERROR(INDEX('Lookup Tables'!$I$5:$I$16,MATCH(H171,'Lookup Tables'!$F$5:$F$16,0)),0)</x:f>
        <x:v>1299</x:v>
      </x:c>
      <x:c r="M171" s="23" t="n">
        <x:f>IF('Raw Data'!M171="",0,'Raw Data'!M171)</x:f>
        <x:v>0.05</x:v>
      </x:c>
      <x:c r="N171" s="9" t="n">
        <x:f>IF(S171="Completed",K171*L171*(1-M171),0)</x:f>
        <x:v>0</x:v>
      </x:c>
      <x:c r="O171" s="9" t="n">
        <x:f>IFERROR(INDEX('Lookup Tables'!$J$5:$J$16,MATCH(H171,'Lookup Tables'!$F$5:$F$16,0)),0)</x:f>
        <x:v>760</x:v>
      </x:c>
      <x:c r="P171" s="9" t="n">
        <x:f>IF(S171="Completed",K171*O171,0)</x:f>
        <x:v>0</x:v>
      </x:c>
      <x:c r="Q171" s="9" t="n">
        <x:f>N171-P171</x:f>
        <x:v>0</x:v>
      </x:c>
      <x:c r="R171" s="8" t="str">
        <x:f>IF(LOWER('Raw Data'!N171)="upi","UPI",'Raw Data'!N171)</x:f>
        <x:v>Debit Card</x:v>
      </x:c>
      <x:c r="S171" s="8" t="str">
        <x:v>Returned</x:v>
      </x:c>
      <x:c r="T171" s="8" t="str">
        <x:f>TEXT(B171,"mmm yyyy")</x:f>
        <x:v>Mar 2025</x:v>
      </x:c>
      <x:c r="U171" s="8" t="n">
        <x:f>YEAR(B171)</x:f>
        <x:v>2025</x:v>
      </x:c>
    </x:row>
    <x:row r="172">
      <x:c r="A172" s="8" t="str">
        <x:v>ORD-0168</x:v>
      </x:c>
      <x:c r="B172" s="22" t="n">
        <x:v>46005.008781226854</x:v>
      </x:c>
      <x:c r="C172" s="8" t="str">
        <x:v>CUS-028</x:v>
      </x:c>
      <x:c r="D172" s="8" t="str">
        <x:f>IFERROR(INDEX('Lookup Tables'!$B$5:$B$84,MATCH(C172,'Lookup Tables'!$A$5:$A$84,0)),"Unknown Customer")</x:f>
        <x:v>Meera Nair 2</x:v>
      </x:c>
      <x:c r="E172" s="8" t="str">
        <x:f>IFERROR(INDEX('Lookup Tables'!$C$5:$C$84,MATCH(C172,'Lookup Tables'!$A$5:$A$84,0)),"Unknown")</x:f>
        <x:v>Consumer</x:v>
      </x:c>
      <x:c r="F172" s="8" t="str">
        <x:v>Pune</x:v>
      </x:c>
      <x:c r="G172" s="8" t="str">
        <x:f>IFERROR(INDEX('Lookup Tables'!$N$5:$N$14,MATCH(F172,'Lookup Tables'!$M$5:$M$14,0)),"Unknown")</x:f>
        <x:v>West</x:v>
      </x:c>
      <x:c r="H172" s="8" t="str">
        <x:v>PRD-011</x:v>
      </x:c>
      <x:c r="I172" s="8" t="str">
        <x:f>IFERROR(INDEX('Lookup Tables'!$G$5:$G$16,MATCH(H172,'Lookup Tables'!$F$5:$F$16,0)),"Unknown Product")</x:f>
        <x:v>Classic Wallet</x:v>
      </x:c>
      <x:c r="J172" s="8" t="str">
        <x:f>IFERROR(INDEX('Lookup Tables'!$H$5:$H$16,MATCH(H172,'Lookup Tables'!$F$5:$F$16,0)),"Unknown")</x:f>
        <x:v>Fashion</x:v>
      </x:c>
      <x:c r="K172" s="8" t="n">
        <x:v>2</x:v>
      </x:c>
      <x:c r="L172" s="9" t="n">
        <x:f>IFERROR(INDEX('Lookup Tables'!$I$5:$I$16,MATCH(H172,'Lookup Tables'!$F$5:$F$16,0)),0)</x:f>
        <x:v>1199</x:v>
      </x:c>
      <x:c r="M172" s="23" t="n">
        <x:f>IF('Raw Data'!M172="",0,'Raw Data'!M172)</x:f>
        <x:v>0.15</x:v>
      </x:c>
      <x:c r="N172" s="9" t="n">
        <x:f>IF(S172="Completed",K172*L172*(1-M172),0)</x:f>
        <x:v>0</x:v>
      </x:c>
      <x:c r="O172" s="9" t="n">
        <x:f>IFERROR(INDEX('Lookup Tables'!$J$5:$J$16,MATCH(H172,'Lookup Tables'!$F$5:$F$16,0)),0)</x:f>
        <x:v>690</x:v>
      </x:c>
      <x:c r="P172" s="9" t="n">
        <x:f>IF(S172="Completed",K172*O172,0)</x:f>
        <x:v>0</x:v>
      </x:c>
      <x:c r="Q172" s="9" t="n">
        <x:f>N172-P172</x:f>
        <x:v>0</x:v>
      </x:c>
      <x:c r="R172" s="8" t="str">
        <x:f>IF(LOWER('Raw Data'!N172)="upi","UPI",'Raw Data'!N172)</x:f>
        <x:v>Cash on Delivery</x:v>
      </x:c>
      <x:c r="S172" s="8" t="str">
        <x:v>Returned</x:v>
      </x:c>
      <x:c r="T172" s="8" t="str">
        <x:f>TEXT(B172,"mmm yyyy")</x:f>
        <x:v>Dec 2025</x:v>
      </x:c>
      <x:c r="U172" s="8" t="n">
        <x:f>YEAR(B172)</x:f>
        <x:v>2025</x:v>
      </x:c>
    </x:row>
    <x:row r="173">
      <x:c r="A173" s="8" t="str">
        <x:v>ORD-0169</x:v>
      </x:c>
      <x:c r="B173" s="22" t="n">
        <x:v>45992.39101042824</x:v>
      </x:c>
      <x:c r="C173" s="8" t="str">
        <x:v>CUS-077</x:v>
      </x:c>
      <x:c r="D173" s="8" t="str">
        <x:f>IFERROR(INDEX('Lookup Tables'!$B$5:$B$84,MATCH(C173,'Lookup Tables'!$A$5:$A$84,0)),"Unknown Customer")</x:f>
        <x:v>Vikram Yadav 4</x:v>
      </x:c>
      <x:c r="E173" s="8" t="str">
        <x:f>IFERROR(INDEX('Lookup Tables'!$C$5:$C$84,MATCH(C173,'Lookup Tables'!$A$5:$A$84,0)),"Unknown")</x:f>
        <x:v>Corporate</x:v>
      </x:c>
      <x:c r="F173" s="8" t="str">
        <x:v>Chennai</x:v>
      </x:c>
      <x:c r="G173" s="8" t="str">
        <x:f>IFERROR(INDEX('Lookup Tables'!$N$5:$N$14,MATCH(F173,'Lookup Tables'!$M$5:$M$14,0)),"Unknown")</x:f>
        <x:v>South</x:v>
      </x:c>
      <x:c r="H173" s="8" t="str">
        <x:v>PRD-001</x:v>
      </x:c>
      <x:c r="I173" s="8" t="str">
        <x:f>IFERROR(INDEX('Lookup Tables'!$G$5:$G$16,MATCH(H173,'Lookup Tables'!$F$5:$F$16,0)),"Unknown Product")</x:f>
        <x:v>Wireless Mouse</x:v>
      </x:c>
      <x:c r="J173" s="8" t="str">
        <x:f>IFERROR(INDEX('Lookup Tables'!$H$5:$H$16,MATCH(H173,'Lookup Tables'!$F$5:$F$16,0)),"Unknown")</x:f>
        <x:v>Electronics</x:v>
      </x:c>
      <x:c r="K173" s="8" t="n">
        <x:v>4</x:v>
      </x:c>
      <x:c r="L173" s="9" t="n">
        <x:f>IFERROR(INDEX('Lookup Tables'!$I$5:$I$16,MATCH(H173,'Lookup Tables'!$F$5:$F$16,0)),0)</x:f>
        <x:v>899</x:v>
      </x:c>
      <x:c r="M173" s="23" t="n">
        <x:f>IF('Raw Data'!M173="",0,'Raw Data'!M173)</x:f>
        <x:v>0</x:v>
      </x:c>
      <x:c r="N173" s="9" t="n">
        <x:f>IF(S173="Completed",K173*L173*(1-M173),0)</x:f>
        <x:v>3596</x:v>
      </x:c>
      <x:c r="O173" s="9" t="n">
        <x:f>IFERROR(INDEX('Lookup Tables'!$J$5:$J$16,MATCH(H173,'Lookup Tables'!$F$5:$F$16,0)),0)</x:f>
        <x:v>540</x:v>
      </x:c>
      <x:c r="P173" s="9" t="n">
        <x:f>IF(S173="Completed",K173*O173,0)</x:f>
        <x:v>2160</x:v>
      </x:c>
      <x:c r="Q173" s="9" t="n">
        <x:f>N173-P173</x:f>
        <x:v>1436</x:v>
      </x:c>
      <x:c r="R173" s="8" t="str">
        <x:f>IF(LOWER('Raw Data'!N173)="upi","UPI",'Raw Data'!N173)</x:f>
        <x:v>Debit Card</x:v>
      </x:c>
      <x:c r="S173" s="8" t="str">
        <x:v>Completed</x:v>
      </x:c>
      <x:c r="T173" s="8" t="str">
        <x:f>TEXT(B173,"mmm yyyy")</x:f>
        <x:v>Dec 2025</x:v>
      </x:c>
      <x:c r="U173" s="8" t="n">
        <x:f>YEAR(B173)</x:f>
        <x:v>2025</x:v>
      </x:c>
    </x:row>
    <x:row r="174">
      <x:c r="A174" s="8" t="str">
        <x:v>ORD-0170</x:v>
      </x:c>
      <x:c r="B174" s="22" t="n">
        <x:v>45936.28255525463</x:v>
      </x:c>
      <x:c r="C174" s="8" t="str">
        <x:v>CUS-036</x:v>
      </x:c>
      <x:c r="D174" s="8" t="str">
        <x:f>IFERROR(INDEX('Lookup Tables'!$B$5:$B$84,MATCH(C174,'Lookup Tables'!$A$5:$A$84,0)),"Unknown Customer")</x:f>
        <x:v>Pooja Saxena 2</x:v>
      </x:c>
      <x:c r="E174" s="8" t="str">
        <x:f>IFERROR(INDEX('Lookup Tables'!$C$5:$C$84,MATCH(C174,'Lookup Tables'!$A$5:$A$84,0)),"Unknown")</x:f>
        <x:v>Small Business</x:v>
      </x:c>
      <x:c r="F174" s="8" t="str">
        <x:v>Pune</x:v>
      </x:c>
      <x:c r="G174" s="8" t="str">
        <x:f>IFERROR(INDEX('Lookup Tables'!$N$5:$N$14,MATCH(F174,'Lookup Tables'!$M$5:$M$14,0)),"Unknown")</x:f>
        <x:v>West</x:v>
      </x:c>
      <x:c r="H174" s="8" t="str">
        <x:v>PRD-005</x:v>
      </x:c>
      <x:c r="I174" s="8" t="str">
        <x:f>IFERROR(INDEX('Lookup Tables'!$G$5:$G$16,MATCH(H174,'Lookup Tables'!$F$5:$F$16,0)),"Unknown Product")</x:f>
        <x:v>Executive Notebook</x:v>
      </x:c>
      <x:c r="J174" s="8" t="str">
        <x:f>IFERROR(INDEX('Lookup Tables'!$H$5:$H$16,MATCH(H174,'Lookup Tables'!$F$5:$F$16,0)),"Unknown")</x:f>
        <x:v>Office Supplies</x:v>
      </x:c>
      <x:c r="K174" s="8" t="n">
        <x:v>2</x:v>
      </x:c>
      <x:c r="L174" s="9" t="n">
        <x:f>IFERROR(INDEX('Lookup Tables'!$I$5:$I$16,MATCH(H174,'Lookup Tables'!$F$5:$F$16,0)),0)</x:f>
        <x:v>349</x:v>
      </x:c>
      <x:c r="M174" s="23" t="n">
        <x:f>IF('Raw Data'!M174="",0,'Raw Data'!M174)</x:f>
        <x:v>0</x:v>
      </x:c>
      <x:c r="N174" s="9" t="n">
        <x:f>IF(S174="Completed",K174*L174*(1-M174),0)</x:f>
        <x:v>0</x:v>
      </x:c>
      <x:c r="O174" s="9" t="n">
        <x:f>IFERROR(INDEX('Lookup Tables'!$J$5:$J$16,MATCH(H174,'Lookup Tables'!$F$5:$F$16,0)),0)</x:f>
        <x:v>170</x:v>
      </x:c>
      <x:c r="P174" s="9" t="n">
        <x:f>IF(S174="Completed",K174*O174,0)</x:f>
        <x:v>0</x:v>
      </x:c>
      <x:c r="Q174" s="9" t="n">
        <x:f>N174-P174</x:f>
        <x:v>0</x:v>
      </x:c>
      <x:c r="R174" s="8" t="str">
        <x:f>IF(LOWER('Raw Data'!N174)="upi","UPI",'Raw Data'!N174)</x:f>
        <x:v>Cash on Delivery</x:v>
      </x:c>
      <x:c r="S174" s="8" t="str">
        <x:v>Returned</x:v>
      </x:c>
      <x:c r="T174" s="8" t="str">
        <x:f>TEXT(B174,"mmm yyyy")</x:f>
        <x:v>Oct 2025</x:v>
      </x:c>
      <x:c r="U174" s="8" t="n">
        <x:f>YEAR(B174)</x:f>
        <x:v>2025</x:v>
      </x:c>
    </x:row>
    <x:row r="175">
      <x:c r="A175" s="8" t="str">
        <x:v>ORD-0171</x:v>
      </x:c>
      <x:c r="B175" s="22" t="n">
        <x:v>45977.92879689815</x:v>
      </x:c>
      <x:c r="C175" s="8" t="str">
        <x:v>CUS-020</x:v>
      </x:c>
      <x:c r="D175" s="8" t="str">
        <x:f>IFERROR(INDEX('Lookup Tables'!$B$5:$B$84,MATCH(C175,'Lookup Tables'!$A$5:$A$84,0)),"Unknown Customer")</x:f>
        <x:v>Kavya Reddy</x:v>
      </x:c>
      <x:c r="E175" s="8" t="str">
        <x:f>IFERROR(INDEX('Lookup Tables'!$C$5:$C$84,MATCH(C175,'Lookup Tables'!$A$5:$A$84,0)),"Unknown")</x:f>
        <x:v>Corporate</x:v>
      </x:c>
      <x:c r="F175" s="8" t="str">
        <x:v>Ahmedabad</x:v>
      </x:c>
      <x:c r="G175" s="8" t="str">
        <x:f>IFERROR(INDEX('Lookup Tables'!$N$5:$N$14,MATCH(F175,'Lookup Tables'!$M$5:$M$14,0)),"Unknown")</x:f>
        <x:v>West</x:v>
      </x:c>
      <x:c r="H175" s="8" t="str">
        <x:v>PRD-010</x:v>
      </x:c>
      <x:c r="I175" s="8" t="str">
        <x:f>IFERROR(INDEX('Lookup Tables'!$G$5:$G$16,MATCH(H175,'Lookup Tables'!$F$5:$F$16,0)),"Unknown Product")</x:f>
        <x:v>Travel Backpack</x:v>
      </x:c>
      <x:c r="J175" s="8" t="str">
        <x:f>IFERROR(INDEX('Lookup Tables'!$H$5:$H$16,MATCH(H175,'Lookup Tables'!$F$5:$F$16,0)),"Unknown")</x:f>
        <x:v>Fashion</x:v>
      </x:c>
      <x:c r="K175" s="8" t="n">
        <x:v>4</x:v>
      </x:c>
      <x:c r="L175" s="9" t="n">
        <x:f>IFERROR(INDEX('Lookup Tables'!$I$5:$I$16,MATCH(H175,'Lookup Tables'!$F$5:$F$16,0)),0)</x:f>
        <x:v>2199</x:v>
      </x:c>
      <x:c r="M175" s="23" t="n">
        <x:f>IF('Raw Data'!M175="",0,'Raw Data'!M175)</x:f>
        <x:v>0.05</x:v>
      </x:c>
      <x:c r="N175" s="9" t="n">
        <x:f>IF(S175="Completed",K175*L175*(1-M175),0)</x:f>
        <x:v>0</x:v>
      </x:c>
      <x:c r="O175" s="9" t="n">
        <x:f>IFERROR(INDEX('Lookup Tables'!$J$5:$J$16,MATCH(H175,'Lookup Tables'!$F$5:$F$16,0)),0)</x:f>
        <x:v>1380</x:v>
      </x:c>
      <x:c r="P175" s="9" t="n">
        <x:f>IF(S175="Completed",K175*O175,0)</x:f>
        <x:v>0</x:v>
      </x:c>
      <x:c r="Q175" s="9" t="n">
        <x:f>N175-P175</x:f>
        <x:v>0</x:v>
      </x:c>
      <x:c r="R175" s="8" t="str">
        <x:f>IF(LOWER('Raw Data'!N175)="upi","UPI",'Raw Data'!N175)</x:f>
        <x:v>Credit Card</x:v>
      </x:c>
      <x:c r="S175" s="8" t="str">
        <x:v>Returned</x:v>
      </x:c>
      <x:c r="T175" s="8" t="str">
        <x:f>TEXT(B175,"mmm yyyy")</x:f>
        <x:v>Nov 2025</x:v>
      </x:c>
      <x:c r="U175" s="8" t="n">
        <x:f>YEAR(B175)</x:f>
        <x:v>2025</x:v>
      </x:c>
    </x:row>
    <x:row r="176">
      <x:c r="A176" s="8" t="str">
        <x:v>ORD-0172</x:v>
      </x:c>
      <x:c r="B176" s="22" t="n">
        <x:v>45820.00070936343</x:v>
      </x:c>
      <x:c r="C176" s="8" t="str">
        <x:v>CUS-077</x:v>
      </x:c>
      <x:c r="D176" s="8" t="str">
        <x:f>IFERROR(INDEX('Lookup Tables'!$B$5:$B$84,MATCH(C176,'Lookup Tables'!$A$5:$A$84,0)),"Unknown Customer")</x:f>
        <x:v>Vikram Yadav 4</x:v>
      </x:c>
      <x:c r="E176" s="8" t="str">
        <x:f>IFERROR(INDEX('Lookup Tables'!$C$5:$C$84,MATCH(C176,'Lookup Tables'!$A$5:$A$84,0)),"Unknown")</x:f>
        <x:v>Corporate</x:v>
      </x:c>
      <x:c r="F176" s="8" t="str">
        <x:v>Mumbai</x:v>
      </x:c>
      <x:c r="G176" s="8" t="str">
        <x:f>IFERROR(INDEX('Lookup Tables'!$N$5:$N$14,MATCH(F176,'Lookup Tables'!$M$5:$M$14,0)),"Unknown")</x:f>
        <x:v>West</x:v>
      </x:c>
      <x:c r="H176" s="8" t="str">
        <x:v>PRD-010</x:v>
      </x:c>
      <x:c r="I176" s="8" t="str">
        <x:f>IFERROR(INDEX('Lookup Tables'!$G$5:$G$16,MATCH(H176,'Lookup Tables'!$F$5:$F$16,0)),"Unknown Product")</x:f>
        <x:v>Travel Backpack</x:v>
      </x:c>
      <x:c r="J176" s="8" t="str">
        <x:f>IFERROR(INDEX('Lookup Tables'!$H$5:$H$16,MATCH(H176,'Lookup Tables'!$F$5:$F$16,0)),"Unknown")</x:f>
        <x:v>Fashion</x:v>
      </x:c>
      <x:c r="K176" s="8" t="n">
        <x:v>1</x:v>
      </x:c>
      <x:c r="L176" s="9" t="n">
        <x:f>IFERROR(INDEX('Lookup Tables'!$I$5:$I$16,MATCH(H176,'Lookup Tables'!$F$5:$F$16,0)),0)</x:f>
        <x:v>2199</x:v>
      </x:c>
      <x:c r="M176" s="23" t="n">
        <x:f>IF('Raw Data'!M176="",0,'Raw Data'!M176)</x:f>
        <x:v>0</x:v>
      </x:c>
      <x:c r="N176" s="9" t="n">
        <x:f>IF(S176="Completed",K176*L176*(1-M176),0)</x:f>
        <x:v>2199</x:v>
      </x:c>
      <x:c r="O176" s="9" t="n">
        <x:f>IFERROR(INDEX('Lookup Tables'!$J$5:$J$16,MATCH(H176,'Lookup Tables'!$F$5:$F$16,0)),0)</x:f>
        <x:v>1380</x:v>
      </x:c>
      <x:c r="P176" s="9" t="n">
        <x:f>IF(S176="Completed",K176*O176,0)</x:f>
        <x:v>1380</x:v>
      </x:c>
      <x:c r="Q176" s="9" t="n">
        <x:f>N176-P176</x:f>
        <x:v>819</x:v>
      </x:c>
      <x:c r="R176" s="8" t="str">
        <x:f>IF(LOWER('Raw Data'!N176)="upi","UPI",'Raw Data'!N176)</x:f>
        <x:v>Net Banking</x:v>
      </x:c>
      <x:c r="S176" s="8" t="str">
        <x:v>Completed</x:v>
      </x:c>
      <x:c r="T176" s="8" t="str">
        <x:f>TEXT(B176,"mmm yyyy")</x:f>
        <x:v>Jun 2025</x:v>
      </x:c>
      <x:c r="U176" s="8" t="n">
        <x:f>YEAR(B176)</x:f>
        <x:v>2025</x:v>
      </x:c>
    </x:row>
    <x:row r="177">
      <x:c r="A177" s="8" t="str">
        <x:v>ORD-0173</x:v>
      </x:c>
      <x:c r="B177" s="22" t="n">
        <x:v>45752.42378040509</x:v>
      </x:c>
      <x:c r="C177" s="8" t="str">
        <x:v>CUS-078</x:v>
      </x:c>
      <x:c r="D177" s="8" t="str">
        <x:f>IFERROR(INDEX('Lookup Tables'!$B$5:$B$84,MATCH(C177,'Lookup Tables'!$A$5:$A$84,0)),"Unknown Customer")</x:f>
        <x:v>Nisha Bansal 4</x:v>
      </x:c>
      <x:c r="E177" s="8" t="str">
        <x:f>IFERROR(INDEX('Lookup Tables'!$C$5:$C$84,MATCH(C177,'Lookup Tables'!$A$5:$A$84,0)),"Unknown")</x:f>
        <x:v>Small Business</x:v>
      </x:c>
      <x:c r="F177" s="8" t="str">
        <x:v>Ahmedabad</x:v>
      </x:c>
      <x:c r="G177" s="8" t="str">
        <x:f>IFERROR(INDEX('Lookup Tables'!$N$5:$N$14,MATCH(F177,'Lookup Tables'!$M$5:$M$14,0)),"Unknown")</x:f>
        <x:v>West</x:v>
      </x:c>
      <x:c r="H177" s="8" t="str">
        <x:v>PRD-011</x:v>
      </x:c>
      <x:c r="I177" s="8" t="str">
        <x:f>IFERROR(INDEX('Lookup Tables'!$G$5:$G$16,MATCH(H177,'Lookup Tables'!$F$5:$F$16,0)),"Unknown Product")</x:f>
        <x:v>Classic Wallet</x:v>
      </x:c>
      <x:c r="J177" s="8" t="str">
        <x:f>IFERROR(INDEX('Lookup Tables'!$H$5:$H$16,MATCH(H177,'Lookup Tables'!$F$5:$F$16,0)),"Unknown")</x:f>
        <x:v>Fashion</x:v>
      </x:c>
      <x:c r="K177" s="8" t="n">
        <x:v>3</x:v>
      </x:c>
      <x:c r="L177" s="9" t="n">
        <x:f>IFERROR(INDEX('Lookup Tables'!$I$5:$I$16,MATCH(H177,'Lookup Tables'!$F$5:$F$16,0)),0)</x:f>
        <x:v>1199</x:v>
      </x:c>
      <x:c r="M177" s="23" t="n">
        <x:f>IF('Raw Data'!M177="",0,'Raw Data'!M177)</x:f>
        <x:v>0.2</x:v>
      </x:c>
      <x:c r="N177" s="9" t="n">
        <x:f>IF(S177="Completed",K177*L177*(1-M177),0)</x:f>
        <x:v>2877.6000000000004</x:v>
      </x:c>
      <x:c r="O177" s="9" t="n">
        <x:f>IFERROR(INDEX('Lookup Tables'!$J$5:$J$16,MATCH(H177,'Lookup Tables'!$F$5:$F$16,0)),0)</x:f>
        <x:v>690</x:v>
      </x:c>
      <x:c r="P177" s="9" t="n">
        <x:f>IF(S177="Completed",K177*O177,0)</x:f>
        <x:v>2070</x:v>
      </x:c>
      <x:c r="Q177" s="9" t="n">
        <x:f>N177-P177</x:f>
        <x:v>807.6000000000004</x:v>
      </x:c>
      <x:c r="R177" s="8" t="str">
        <x:f>IF(LOWER('Raw Data'!N177)="upi","UPI",'Raw Data'!N177)</x:f>
        <x:v>Debit Card</x:v>
      </x:c>
      <x:c r="S177" s="8" t="str">
        <x:v>Completed</x:v>
      </x:c>
      <x:c r="T177" s="8" t="str">
        <x:f>TEXT(B177,"mmm yyyy")</x:f>
        <x:v>Apr 2025</x:v>
      </x:c>
      <x:c r="U177" s="8" t="n">
        <x:f>YEAR(B177)</x:f>
        <x:v>2025</x:v>
      </x:c>
    </x:row>
    <x:row r="178">
      <x:c r="A178" s="8" t="str">
        <x:v>ORD-0174</x:v>
      </x:c>
      <x:c r="B178" s="22" t="n">
        <x:v>45889.24131726852</x:v>
      </x:c>
      <x:c r="C178" s="8" t="str">
        <x:v>CUS-067</x:v>
      </x:c>
      <x:c r="D178" s="8" t="str">
        <x:f>IFERROR(INDEX('Lookup Tables'!$B$5:$B$84,MATCH(C178,'Lookup Tables'!$A$5:$A$84,0)),"Unknown Customer")</x:f>
        <x:v>Kabir Khan 4</x:v>
      </x:c>
      <x:c r="E178" s="8" t="str">
        <x:f>IFERROR(INDEX('Lookup Tables'!$C$5:$C$84,MATCH(C178,'Lookup Tables'!$A$5:$A$84,0)),"Unknown")</x:f>
        <x:v>Consumer</x:v>
      </x:c>
      <x:c r="F178" s="8" t="str">
        <x:v>Pune</x:v>
      </x:c>
      <x:c r="G178" s="8" t="str">
        <x:f>IFERROR(INDEX('Lookup Tables'!$N$5:$N$14,MATCH(F178,'Lookup Tables'!$M$5:$M$14,0)),"Unknown")</x:f>
        <x:v>West</x:v>
      </x:c>
      <x:c r="H178" s="8" t="str">
        <x:v>PRD-002</x:v>
      </x:c>
      <x:c r="I178" s="8" t="str">
        <x:f>IFERROR(INDEX('Lookup Tables'!$G$5:$G$16,MATCH(H178,'Lookup Tables'!$F$5:$F$16,0)),"Unknown Product")</x:f>
        <x:v>Bluetooth Headphones</x:v>
      </x:c>
      <x:c r="J178" s="8" t="str">
        <x:f>IFERROR(INDEX('Lookup Tables'!$H$5:$H$16,MATCH(H178,'Lookup Tables'!$F$5:$F$16,0)),"Unknown")</x:f>
        <x:v>Electronics</x:v>
      </x:c>
      <x:c r="K178" s="8" t="n">
        <x:v>1</x:v>
      </x:c>
      <x:c r="L178" s="9" t="n">
        <x:f>IFERROR(INDEX('Lookup Tables'!$I$5:$I$16,MATCH(H178,'Lookup Tables'!$F$5:$F$16,0)),0)</x:f>
        <x:v>2499</x:v>
      </x:c>
      <x:c r="M178" s="23" t="n">
        <x:f>IF('Raw Data'!M178="",0,'Raw Data'!M178)</x:f>
        <x:v>0</x:v>
      </x:c>
      <x:c r="N178" s="9" t="n">
        <x:f>IF(S178="Completed",K178*L178*(1-M178),0)</x:f>
        <x:v>2499</x:v>
      </x:c>
      <x:c r="O178" s="9" t="n">
        <x:f>IFERROR(INDEX('Lookup Tables'!$J$5:$J$16,MATCH(H178,'Lookup Tables'!$F$5:$F$16,0)),0)</x:f>
        <x:v>1620</x:v>
      </x:c>
      <x:c r="P178" s="9" t="n">
        <x:f>IF(S178="Completed",K178*O178,0)</x:f>
        <x:v>1620</x:v>
      </x:c>
      <x:c r="Q178" s="9" t="n">
        <x:f>N178-P178</x:f>
        <x:v>879</x:v>
      </x:c>
      <x:c r="R178" s="8" t="str">
        <x:f>IF(LOWER('Raw Data'!N178)="upi","UPI",'Raw Data'!N178)</x:f>
        <x:v>UPI</x:v>
      </x:c>
      <x:c r="S178" s="8" t="str">
        <x:v>Completed</x:v>
      </x:c>
      <x:c r="T178" s="8" t="str">
        <x:f>TEXT(B178,"mmm yyyy")</x:f>
        <x:v>Aug 2025</x:v>
      </x:c>
      <x:c r="U178" s="8" t="n">
        <x:f>YEAR(B178)</x:f>
        <x:v>2025</x:v>
      </x:c>
    </x:row>
    <x:row r="179">
      <x:c r="A179" s="8" t="str">
        <x:v>ORD-0175</x:v>
      </x:c>
      <x:c r="B179" s="22" t="n">
        <x:v>45790.601994571756</x:v>
      </x:c>
      <x:c r="C179" s="8" t="str">
        <x:v>CUS-028</x:v>
      </x:c>
      <x:c r="D179" s="8" t="str">
        <x:f>IFERROR(INDEX('Lookup Tables'!$B$5:$B$84,MATCH(C179,'Lookup Tables'!$A$5:$A$84,0)),"Unknown Customer")</x:f>
        <x:v>Meera Nair 2</x:v>
      </x:c>
      <x:c r="E179" s="8" t="str">
        <x:f>IFERROR(INDEX('Lookup Tables'!$C$5:$C$84,MATCH(C179,'Lookup Tables'!$A$5:$A$84,0)),"Unknown")</x:f>
        <x:v>Consumer</x:v>
      </x:c>
      <x:c r="F179" s="8" t="str">
        <x:v>Delhi</x:v>
      </x:c>
      <x:c r="G179" s="8" t="str">
        <x:f>IFERROR(INDEX('Lookup Tables'!$N$5:$N$14,MATCH(F179,'Lookup Tables'!$M$5:$M$14,0)),"Unknown")</x:f>
        <x:v>North</x:v>
      </x:c>
      <x:c r="H179" s="8" t="str">
        <x:v>PRD-002</x:v>
      </x:c>
      <x:c r="I179" s="8" t="str">
        <x:f>IFERROR(INDEX('Lookup Tables'!$G$5:$G$16,MATCH(H179,'Lookup Tables'!$F$5:$F$16,0)),"Unknown Product")</x:f>
        <x:v>Bluetooth Headphones</x:v>
      </x:c>
      <x:c r="J179" s="8" t="str">
        <x:f>IFERROR(INDEX('Lookup Tables'!$H$5:$H$16,MATCH(H179,'Lookup Tables'!$F$5:$F$16,0)),"Unknown")</x:f>
        <x:v>Electronics</x:v>
      </x:c>
      <x:c r="K179" s="8" t="n">
        <x:v>2</x:v>
      </x:c>
      <x:c r="L179" s="9" t="n">
        <x:f>IFERROR(INDEX('Lookup Tables'!$I$5:$I$16,MATCH(H179,'Lookup Tables'!$F$5:$F$16,0)),0)</x:f>
        <x:v>2499</x:v>
      </x:c>
      <x:c r="M179" s="23" t="n">
        <x:f>IF('Raw Data'!M179="",0,'Raw Data'!M179)</x:f>
        <x:v>0.05</x:v>
      </x:c>
      <x:c r="N179" s="9" t="n">
        <x:f>IF(S179="Completed",K179*L179*(1-M179),0)</x:f>
        <x:v>4748.099999999999</x:v>
      </x:c>
      <x:c r="O179" s="9" t="n">
        <x:f>IFERROR(INDEX('Lookup Tables'!$J$5:$J$16,MATCH(H179,'Lookup Tables'!$F$5:$F$16,0)),0)</x:f>
        <x:v>1620</x:v>
      </x:c>
      <x:c r="P179" s="9" t="n">
        <x:f>IF(S179="Completed",K179*O179,0)</x:f>
        <x:v>3240</x:v>
      </x:c>
      <x:c r="Q179" s="9" t="n">
        <x:f>N179-P179</x:f>
        <x:v>1508.0999999999995</x:v>
      </x:c>
      <x:c r="R179" s="8" t="str">
        <x:f>IF(LOWER('Raw Data'!N179)="upi","UPI",'Raw Data'!N179)</x:f>
        <x:v>Credit Card</x:v>
      </x:c>
      <x:c r="S179" s="8" t="str">
        <x:v>Completed</x:v>
      </x:c>
      <x:c r="T179" s="8" t="str">
        <x:f>TEXT(B179,"mmm yyyy")</x:f>
        <x:v>May 2025</x:v>
      </x:c>
      <x:c r="U179" s="8" t="n">
        <x:f>YEAR(B179)</x:f>
        <x:v>2025</x:v>
      </x:c>
    </x:row>
    <x:row r="180">
      <x:c r="A180" s="8" t="str">
        <x:v>ORD-0176</x:v>
      </x:c>
      <x:c r="B180" s="22" t="n">
        <x:v>45823.49707878472</x:v>
      </x:c>
      <x:c r="C180" s="8" t="str">
        <x:v>CUS-031</x:v>
      </x:c>
      <x:c r="D180" s="8" t="str">
        <x:f>IFERROR(INDEX('Lookup Tables'!$B$5:$B$84,MATCH(C180,'Lookup Tables'!$A$5:$A$84,0)),"Unknown Customer")</x:f>
        <x:v>Aditya Joshi 2</x:v>
      </x:c>
      <x:c r="E180" s="8" t="str">
        <x:f>IFERROR(INDEX('Lookup Tables'!$C$5:$C$84,MATCH(C180,'Lookup Tables'!$A$5:$A$84,0)),"Unknown")</x:f>
        <x:v>Consumer</x:v>
      </x:c>
      <x:c r="F180" s="8" t="str">
        <x:v>Hyderabad</x:v>
      </x:c>
      <x:c r="G180" s="8" t="str">
        <x:f>IFERROR(INDEX('Lookup Tables'!$N$5:$N$14,MATCH(F180,'Lookup Tables'!$M$5:$M$14,0)),"Unknown")</x:f>
        <x:v>South</x:v>
      </x:c>
      <x:c r="H180" s="8" t="str">
        <x:v>PRD-002</x:v>
      </x:c>
      <x:c r="I180" s="8" t="str">
        <x:f>IFERROR(INDEX('Lookup Tables'!$G$5:$G$16,MATCH(H180,'Lookup Tables'!$F$5:$F$16,0)),"Unknown Product")</x:f>
        <x:v>Bluetooth Headphones</x:v>
      </x:c>
      <x:c r="J180" s="8" t="str">
        <x:f>IFERROR(INDEX('Lookup Tables'!$H$5:$H$16,MATCH(H180,'Lookup Tables'!$F$5:$F$16,0)),"Unknown")</x:f>
        <x:v>Electronics</x:v>
      </x:c>
      <x:c r="K180" s="8" t="n">
        <x:v>1</x:v>
      </x:c>
      <x:c r="L180" s="9" t="n">
        <x:f>IFERROR(INDEX('Lookup Tables'!$I$5:$I$16,MATCH(H180,'Lookup Tables'!$F$5:$F$16,0)),0)</x:f>
        <x:v>2499</x:v>
      </x:c>
      <x:c r="M180" s="23" t="n">
        <x:f>IF('Raw Data'!M180="",0,'Raw Data'!M180)</x:f>
        <x:v>0.1</x:v>
      </x:c>
      <x:c r="N180" s="9" t="n">
        <x:f>IF(S180="Completed",K180*L180*(1-M180),0)</x:f>
        <x:v>0</x:v>
      </x:c>
      <x:c r="O180" s="9" t="n">
        <x:f>IFERROR(INDEX('Lookup Tables'!$J$5:$J$16,MATCH(H180,'Lookup Tables'!$F$5:$F$16,0)),0)</x:f>
        <x:v>1620</x:v>
      </x:c>
      <x:c r="P180" s="9" t="n">
        <x:f>IF(S180="Completed",K180*O180,0)</x:f>
        <x:v>0</x:v>
      </x:c>
      <x:c r="Q180" s="9" t="n">
        <x:f>N180-P180</x:f>
        <x:v>0</x:v>
      </x:c>
      <x:c r="R180" s="8" t="str">
        <x:f>IF(LOWER('Raw Data'!N180)="upi","UPI",'Raw Data'!N180)</x:f>
        <x:v>Cash on Delivery</x:v>
      </x:c>
      <x:c r="S180" s="8" t="str">
        <x:v>Returned</x:v>
      </x:c>
      <x:c r="T180" s="8" t="str">
        <x:f>TEXT(B180,"mmm yyyy")</x:f>
        <x:v>Jun 2025</x:v>
      </x:c>
      <x:c r="U180" s="8" t="n">
        <x:f>YEAR(B180)</x:f>
        <x:v>2025</x:v>
      </x:c>
    </x:row>
    <x:row r="181">
      <x:c r="A181" s="8" t="str">
        <x:v>ORD-0177</x:v>
      </x:c>
      <x:c r="B181" s="22" t="n">
        <x:v>45786.61841145833</x:v>
      </x:c>
      <x:c r="C181" s="8" t="str">
        <x:v>CUS-018</x:v>
      </x:c>
      <x:c r="D181" s="8" t="str">
        <x:f>IFERROR(INDEX('Lookup Tables'!$B$5:$B$84,MATCH(C181,'Lookup Tables'!$A$5:$A$84,0)),"Unknown Customer")</x:f>
        <x:v>Nisha Bansal</x:v>
      </x:c>
      <x:c r="E181" s="8" t="str">
        <x:f>IFERROR(INDEX('Lookup Tables'!$C$5:$C$84,MATCH(C181,'Lookup Tables'!$A$5:$A$84,0)),"Unknown")</x:f>
        <x:v>Small Business</x:v>
      </x:c>
      <x:c r="F181" s="8" t="str">
        <x:v>Bengaluru</x:v>
      </x:c>
      <x:c r="G181" s="8" t="str">
        <x:f>IFERROR(INDEX('Lookup Tables'!$N$5:$N$14,MATCH(F181,'Lookup Tables'!$M$5:$M$14,0)),"Unknown")</x:f>
        <x:v>South</x:v>
      </x:c>
      <x:c r="H181" s="8" t="str">
        <x:v>PRD-002</x:v>
      </x:c>
      <x:c r="I181" s="8" t="str">
        <x:f>IFERROR(INDEX('Lookup Tables'!$G$5:$G$16,MATCH(H181,'Lookup Tables'!$F$5:$F$16,0)),"Unknown Product")</x:f>
        <x:v>Bluetooth Headphones</x:v>
      </x:c>
      <x:c r="J181" s="8" t="str">
        <x:f>IFERROR(INDEX('Lookup Tables'!$H$5:$H$16,MATCH(H181,'Lookup Tables'!$F$5:$F$16,0)),"Unknown")</x:f>
        <x:v>Electronics</x:v>
      </x:c>
      <x:c r="K181" s="8" t="n">
        <x:v>5</x:v>
      </x:c>
      <x:c r="L181" s="9" t="n">
        <x:f>IFERROR(INDEX('Lookup Tables'!$I$5:$I$16,MATCH(H181,'Lookup Tables'!$F$5:$F$16,0)),0)</x:f>
        <x:v>2499</x:v>
      </x:c>
      <x:c r="M181" s="23" t="n">
        <x:f>IF('Raw Data'!M181="",0,'Raw Data'!M181)</x:f>
        <x:v>0.2</x:v>
      </x:c>
      <x:c r="N181" s="9" t="n">
        <x:f>IF(S181="Completed",K181*L181*(1-M181),0)</x:f>
        <x:v>0</x:v>
      </x:c>
      <x:c r="O181" s="9" t="n">
        <x:f>IFERROR(INDEX('Lookup Tables'!$J$5:$J$16,MATCH(H181,'Lookup Tables'!$F$5:$F$16,0)),0)</x:f>
        <x:v>1620</x:v>
      </x:c>
      <x:c r="P181" s="9" t="n">
        <x:f>IF(S181="Completed",K181*O181,0)</x:f>
        <x:v>0</x:v>
      </x:c>
      <x:c r="Q181" s="9" t="n">
        <x:f>N181-P181</x:f>
        <x:v>0</x:v>
      </x:c>
      <x:c r="R181" s="8" t="str">
        <x:f>IF(LOWER('Raw Data'!N181)="upi","UPI",'Raw Data'!N181)</x:f>
        <x:v>Net Banking</x:v>
      </x:c>
      <x:c r="S181" s="8" t="str">
        <x:v>Cancelled</x:v>
      </x:c>
      <x:c r="T181" s="8" t="str">
        <x:f>TEXT(B181,"mmm yyyy")</x:f>
        <x:v>May 2025</x:v>
      </x:c>
      <x:c r="U181" s="8" t="n">
        <x:f>YEAR(B181)</x:f>
        <x:v>2025</x:v>
      </x:c>
    </x:row>
    <x:row r="182">
      <x:c r="A182" s="8" t="str">
        <x:v>ORD-0178</x:v>
      </x:c>
      <x:c r="B182" s="22" t="n">
        <x:v>45698.624943587965</x:v>
      </x:c>
      <x:c r="C182" s="8" t="str">
        <x:v>CUS-073</x:v>
      </x:c>
      <x:c r="D182" s="8" t="str">
        <x:f>IFERROR(INDEX('Lookup Tables'!$B$5:$B$84,MATCH(C182,'Lookup Tables'!$A$5:$A$84,0)),"Unknown Customer")</x:f>
        <x:v>Rahul Mishra 4</x:v>
      </x:c>
      <x:c r="E182" s="8" t="str">
        <x:f>IFERROR(INDEX('Lookup Tables'!$C$5:$C$84,MATCH(C182,'Lookup Tables'!$A$5:$A$84,0)),"Unknown")</x:f>
        <x:v>Consumer</x:v>
      </x:c>
      <x:c r="F182" s="8" t="str">
        <x:v>Ahmedabad</x:v>
      </x:c>
      <x:c r="G182" s="8" t="str">
        <x:f>IFERROR(INDEX('Lookup Tables'!$N$5:$N$14,MATCH(F182,'Lookup Tables'!$M$5:$M$14,0)),"Unknown")</x:f>
        <x:v>West</x:v>
      </x:c>
      <x:c r="H182" s="8" t="str">
        <x:v>PRD-011</x:v>
      </x:c>
      <x:c r="I182" s="8" t="str">
        <x:f>IFERROR(INDEX('Lookup Tables'!$G$5:$G$16,MATCH(H182,'Lookup Tables'!$F$5:$F$16,0)),"Unknown Product")</x:f>
        <x:v>Classic Wallet</x:v>
      </x:c>
      <x:c r="J182" s="8" t="str">
        <x:f>IFERROR(INDEX('Lookup Tables'!$H$5:$H$16,MATCH(H182,'Lookup Tables'!$F$5:$F$16,0)),"Unknown")</x:f>
        <x:v>Fashion</x:v>
      </x:c>
      <x:c r="K182" s="8" t="n">
        <x:v>5</x:v>
      </x:c>
      <x:c r="L182" s="9" t="n">
        <x:f>IFERROR(INDEX('Lookup Tables'!$I$5:$I$16,MATCH(H182,'Lookup Tables'!$F$5:$F$16,0)),0)</x:f>
        <x:v>1199</x:v>
      </x:c>
      <x:c r="M182" s="23" t="n">
        <x:f>IF('Raw Data'!M182="",0,'Raw Data'!M182)</x:f>
        <x:v>0.05</x:v>
      </x:c>
      <x:c r="N182" s="9" t="n">
        <x:f>IF(S182="Completed",K182*L182*(1-M182),0)</x:f>
        <x:v>5695.25</x:v>
      </x:c>
      <x:c r="O182" s="9" t="n">
        <x:f>IFERROR(INDEX('Lookup Tables'!$J$5:$J$16,MATCH(H182,'Lookup Tables'!$F$5:$F$16,0)),0)</x:f>
        <x:v>690</x:v>
      </x:c>
      <x:c r="P182" s="9" t="n">
        <x:f>IF(S182="Completed",K182*O182,0)</x:f>
        <x:v>3450</x:v>
      </x:c>
      <x:c r="Q182" s="9" t="n">
        <x:f>N182-P182</x:f>
        <x:v>2245.25</x:v>
      </x:c>
      <x:c r="R182" s="8" t="str">
        <x:f>IF(LOWER('Raw Data'!N182)="upi","UPI",'Raw Data'!N182)</x:f>
        <x:v>Cash on Delivery</x:v>
      </x:c>
      <x:c r="S182" s="8" t="str">
        <x:v>Completed</x:v>
      </x:c>
      <x:c r="T182" s="8" t="str">
        <x:f>TEXT(B182,"mmm yyyy")</x:f>
        <x:v>Feb 2025</x:v>
      </x:c>
      <x:c r="U182" s="8" t="n">
        <x:f>YEAR(B182)</x:f>
        <x:v>2025</x:v>
      </x:c>
    </x:row>
    <x:row r="183">
      <x:c r="A183" s="8" t="str">
        <x:v>ORD-0179</x:v>
      </x:c>
      <x:c r="B183" s="22" t="n">
        <x:v>45762.197593993056</x:v>
      </x:c>
      <x:c r="C183" s="8" t="str">
        <x:v>CUS-066</x:v>
      </x:c>
      <x:c r="D183" s="8" t="str">
        <x:f>IFERROR(INDEX('Lookup Tables'!$B$5:$B$84,MATCH(C183,'Lookup Tables'!$A$5:$A$84,0)),"Unknown Customer")</x:f>
        <x:v>Isha Mehta 4</x:v>
      </x:c>
      <x:c r="E183" s="8" t="str">
        <x:f>IFERROR(INDEX('Lookup Tables'!$C$5:$C$84,MATCH(C183,'Lookup Tables'!$A$5:$A$84,0)),"Unknown")</x:f>
        <x:v>Small Business</x:v>
      </x:c>
      <x:c r="F183" s="8" t="str">
        <x:v>Hyderabad</x:v>
      </x:c>
      <x:c r="G183" s="8" t="str">
        <x:f>IFERROR(INDEX('Lookup Tables'!$N$5:$N$14,MATCH(F183,'Lookup Tables'!$M$5:$M$14,0)),"Unknown")</x:f>
        <x:v>South</x:v>
      </x:c>
      <x:c r="H183" s="8" t="str">
        <x:v>PRD-007</x:v>
      </x:c>
      <x:c r="I183" s="8" t="str">
        <x:f>IFERROR(INDEX('Lookup Tables'!$G$5:$G$16,MATCH(H183,'Lookup Tables'!$F$5:$F$16,0)),"Unknown Product")</x:f>
        <x:v>Electric Kettle</x:v>
      </x:c>
      <x:c r="J183" s="8" t="str">
        <x:f>IFERROR(INDEX('Lookup Tables'!$H$5:$H$16,MATCH(H183,'Lookup Tables'!$F$5:$F$16,0)),"Unknown")</x:f>
        <x:v>Home &amp; Kitchen</x:v>
      </x:c>
      <x:c r="K183" s="8" t="n">
        <x:v>2</x:v>
      </x:c>
      <x:c r="L183" s="9" t="n">
        <x:f>IFERROR(INDEX('Lookup Tables'!$I$5:$I$16,MATCH(H183,'Lookup Tables'!$F$5:$F$16,0)),0)</x:f>
        <x:v>1699</x:v>
      </x:c>
      <x:c r="M183" s="23" t="n">
        <x:f>IF('Raw Data'!M183="",0,'Raw Data'!M183)</x:f>
        <x:v>0</x:v>
      </x:c>
      <x:c r="N183" s="9" t="n">
        <x:f>IF(S183="Completed",K183*L183*(1-M183),0)</x:f>
        <x:v>3398</x:v>
      </x:c>
      <x:c r="O183" s="9" t="n">
        <x:f>IFERROR(INDEX('Lookup Tables'!$J$5:$J$16,MATCH(H183,'Lookup Tables'!$F$5:$F$16,0)),0)</x:f>
        <x:v>1040</x:v>
      </x:c>
      <x:c r="P183" s="9" t="n">
        <x:f>IF(S183="Completed",K183*O183,0)</x:f>
        <x:v>2080</x:v>
      </x:c>
      <x:c r="Q183" s="9" t="n">
        <x:f>N183-P183</x:f>
        <x:v>1318</x:v>
      </x:c>
      <x:c r="R183" s="8" t="str">
        <x:f>IF(LOWER('Raw Data'!N183)="upi","UPI",'Raw Data'!N183)</x:f>
        <x:v>Credit Card</x:v>
      </x:c>
      <x:c r="S183" s="8" t="str">
        <x:v>Completed</x:v>
      </x:c>
      <x:c r="T183" s="8" t="str">
        <x:f>TEXT(B183,"mmm yyyy")</x:f>
        <x:v>Apr 2025</x:v>
      </x:c>
      <x:c r="U183" s="8" t="n">
        <x:f>YEAR(B183)</x:f>
        <x:v>2025</x:v>
      </x:c>
    </x:row>
    <x:row r="184">
      <x:c r="A184" s="8" t="str">
        <x:v>ORD-0180</x:v>
      </x:c>
      <x:c r="B184" s="22" t="n">
        <x:v>45799.02652582176</x:v>
      </x:c>
      <x:c r="C184" s="8" t="str">
        <x:v>CUS-033</x:v>
      </x:c>
      <x:c r="D184" s="8" t="str">
        <x:f>IFERROR(INDEX('Lookup Tables'!$B$5:$B$84,MATCH(C184,'Lookup Tables'!$A$5:$A$84,0)),"Unknown Customer")</x:f>
        <x:v>Rahul Mishra 2</x:v>
      </x:c>
      <x:c r="E184" s="8" t="str">
        <x:f>IFERROR(INDEX('Lookup Tables'!$C$5:$C$84,MATCH(C184,'Lookup Tables'!$A$5:$A$84,0)),"Unknown")</x:f>
        <x:v>Small Business</x:v>
      </x:c>
      <x:c r="F184" s="8" t="str">
        <x:v>Mumbai</x:v>
      </x:c>
      <x:c r="G184" s="8" t="str">
        <x:f>IFERROR(INDEX('Lookup Tables'!$N$5:$N$14,MATCH(F184,'Lookup Tables'!$M$5:$M$14,0)),"Unknown")</x:f>
        <x:v>West</x:v>
      </x:c>
      <x:c r="H184" s="8" t="str">
        <x:v>PRD-008</x:v>
      </x:c>
      <x:c r="I184" s="8" t="str">
        <x:f>IFERROR(INDEX('Lookup Tables'!$G$5:$G$16,MATCH(H184,'Lookup Tables'!$F$5:$F$16,0)),"Unknown Product")</x:f>
        <x:v>Storage Container Set</x:v>
      </x:c>
      <x:c r="J184" s="8" t="str">
        <x:f>IFERROR(INDEX('Lookup Tables'!$H$5:$H$16,MATCH(H184,'Lookup Tables'!$F$5:$F$16,0)),"Unknown")</x:f>
        <x:v>Home &amp; Kitchen</x:v>
      </x:c>
      <x:c r="K184" s="8" t="n">
        <x:v>1</x:v>
      </x:c>
      <x:c r="L184" s="9" t="n">
        <x:f>IFERROR(INDEX('Lookup Tables'!$I$5:$I$16,MATCH(H184,'Lookup Tables'!$F$5:$F$16,0)),0)</x:f>
        <x:v>999</x:v>
      </x:c>
      <x:c r="M184" s="23" t="n">
        <x:f>IF('Raw Data'!M184="",0,'Raw Data'!M184)</x:f>
        <x:v>0</x:v>
      </x:c>
      <x:c r="N184" s="9" t="n">
        <x:f>IF(S184="Completed",K184*L184*(1-M184),0)</x:f>
        <x:v>999</x:v>
      </x:c>
      <x:c r="O184" s="9" t="n">
        <x:f>IFERROR(INDEX('Lookup Tables'!$J$5:$J$16,MATCH(H184,'Lookup Tables'!$F$5:$F$16,0)),0)</x:f>
        <x:v>580</x:v>
      </x:c>
      <x:c r="P184" s="9" t="n">
        <x:f>IF(S184="Completed",K184*O184,0)</x:f>
        <x:v>580</x:v>
      </x:c>
      <x:c r="Q184" s="9" t="n">
        <x:f>N184-P184</x:f>
        <x:v>419</x:v>
      </x:c>
      <x:c r="R184" s="8" t="str">
        <x:f>IF(LOWER('Raw Data'!N184)="upi","UPI",'Raw Data'!N184)</x:f>
        <x:v>UPI</x:v>
      </x:c>
      <x:c r="S184" s="8" t="str">
        <x:v>Completed</x:v>
      </x:c>
      <x:c r="T184" s="8" t="str">
        <x:f>TEXT(B184,"mmm yyyy")</x:f>
        <x:v>May 2025</x:v>
      </x:c>
      <x:c r="U184" s="8" t="n">
        <x:f>YEAR(B184)</x:f>
        <x:v>2025</x:v>
      </x:c>
    </x:row>
    <x:row r="185">
      <x:c r="A185" s="8" t="str">
        <x:v>ORD-0181</x:v>
      </x:c>
      <x:c r="B185" s="22" t="n">
        <x:v>45944.16266193287</x:v>
      </x:c>
      <x:c r="C185" s="8" t="str">
        <x:v>CUS-009</x:v>
      </x:c>
      <x:c r="D185" s="8" t="str">
        <x:f>IFERROR(INDEX('Lookup Tables'!$B$5:$B$84,MATCH(C185,'Lookup Tables'!$A$5:$A$84,0)),"Unknown Customer")</x:f>
        <x:v>Rohan Das</x:v>
      </x:c>
      <x:c r="E185" s="8" t="str">
        <x:f>IFERROR(INDEX('Lookup Tables'!$C$5:$C$84,MATCH(C185,'Lookup Tables'!$A$5:$A$84,0)),"Unknown")</x:f>
        <x:v>Small Business</x:v>
      </x:c>
      <x:c r="F185" s="8" t="str">
        <x:v>Ahmedabad</x:v>
      </x:c>
      <x:c r="G185" s="8" t="str">
        <x:f>IFERROR(INDEX('Lookup Tables'!$N$5:$N$14,MATCH(F185,'Lookup Tables'!$M$5:$M$14,0)),"Unknown")</x:f>
        <x:v>West</x:v>
      </x:c>
      <x:c r="H185" s="8" t="str">
        <x:v>PRD-010</x:v>
      </x:c>
      <x:c r="I185" s="8" t="str">
        <x:f>IFERROR(INDEX('Lookup Tables'!$G$5:$G$16,MATCH(H185,'Lookup Tables'!$F$5:$F$16,0)),"Unknown Product")</x:f>
        <x:v>Travel Backpack</x:v>
      </x:c>
      <x:c r="J185" s="8" t="str">
        <x:f>IFERROR(INDEX('Lookup Tables'!$H$5:$H$16,MATCH(H185,'Lookup Tables'!$F$5:$F$16,0)),"Unknown")</x:f>
        <x:v>Fashion</x:v>
      </x:c>
      <x:c r="K185" s="8" t="n">
        <x:v>2</x:v>
      </x:c>
      <x:c r="L185" s="9" t="n">
        <x:f>IFERROR(INDEX('Lookup Tables'!$I$5:$I$16,MATCH(H185,'Lookup Tables'!$F$5:$F$16,0)),0)</x:f>
        <x:v>2199</x:v>
      </x:c>
      <x:c r="M185" s="23" t="n">
        <x:f>IF('Raw Data'!M185="",0,'Raw Data'!M185)</x:f>
        <x:v>0.1</x:v>
      </x:c>
      <x:c r="N185" s="9" t="n">
        <x:f>IF(S185="Completed",K185*L185*(1-M185),0)</x:f>
        <x:v>3958.2000000000003</x:v>
      </x:c>
      <x:c r="O185" s="9" t="n">
        <x:f>IFERROR(INDEX('Lookup Tables'!$J$5:$J$16,MATCH(H185,'Lookup Tables'!$F$5:$F$16,0)),0)</x:f>
        <x:v>1380</x:v>
      </x:c>
      <x:c r="P185" s="9" t="n">
        <x:f>IF(S185="Completed",K185*O185,0)</x:f>
        <x:v>2760</x:v>
      </x:c>
      <x:c r="Q185" s="9" t="n">
        <x:f>N185-P185</x:f>
        <x:v>1198.2000000000003</x:v>
      </x:c>
      <x:c r="R185" s="8" t="str">
        <x:f>IF(LOWER('Raw Data'!N185)="upi","UPI",'Raw Data'!N185)</x:f>
        <x:v>Net Banking</x:v>
      </x:c>
      <x:c r="S185" s="8" t="str">
        <x:v>Completed</x:v>
      </x:c>
      <x:c r="T185" s="8" t="str">
        <x:f>TEXT(B185,"mmm yyyy")</x:f>
        <x:v>Oct 2025</x:v>
      </x:c>
      <x:c r="U185" s="8" t="n">
        <x:f>YEAR(B185)</x:f>
        <x:v>2025</x:v>
      </x:c>
    </x:row>
    <x:row r="186">
      <x:c r="A186" s="8" t="str">
        <x:v>ORD-0182</x:v>
      </x:c>
      <x:c r="B186" s="22" t="n">
        <x:v>45905.80708247685</x:v>
      </x:c>
      <x:c r="C186" s="8" t="str">
        <x:v>CUS-025</x:v>
      </x:c>
      <x:c r="D186" s="8" t="str">
        <x:f>IFERROR(INDEX('Lookup Tables'!$B$5:$B$84,MATCH(C186,'Lookup Tables'!$A$5:$A$84,0)),"Unknown Customer")</x:f>
        <x:v>Arjun Verma 2</x:v>
      </x:c>
      <x:c r="E186" s="8" t="str">
        <x:f>IFERROR(INDEX('Lookup Tables'!$C$5:$C$84,MATCH(C186,'Lookup Tables'!$A$5:$A$84,0)),"Unknown")</x:f>
        <x:v>Consumer</x:v>
      </x:c>
      <x:c r="F186" s="8" t="str">
        <x:v>Pune</x:v>
      </x:c>
      <x:c r="G186" s="8" t="str">
        <x:f>IFERROR(INDEX('Lookup Tables'!$N$5:$N$14,MATCH(F186,'Lookup Tables'!$M$5:$M$14,0)),"Unknown")</x:f>
        <x:v>West</x:v>
      </x:c>
      <x:c r="H186" s="8" t="str">
        <x:v>PRD-007</x:v>
      </x:c>
      <x:c r="I186" s="8" t="str">
        <x:f>IFERROR(INDEX('Lookup Tables'!$G$5:$G$16,MATCH(H186,'Lookup Tables'!$F$5:$F$16,0)),"Unknown Product")</x:f>
        <x:v>Electric Kettle</x:v>
      </x:c>
      <x:c r="J186" s="8" t="str">
        <x:f>IFERROR(INDEX('Lookup Tables'!$H$5:$H$16,MATCH(H186,'Lookup Tables'!$F$5:$F$16,0)),"Unknown")</x:f>
        <x:v>Home &amp; Kitchen</x:v>
      </x:c>
      <x:c r="K186" s="8" t="n">
        <x:v>1</x:v>
      </x:c>
      <x:c r="L186" s="9" t="n">
        <x:f>IFERROR(INDEX('Lookup Tables'!$I$5:$I$16,MATCH(H186,'Lookup Tables'!$F$5:$F$16,0)),0)</x:f>
        <x:v>1699</x:v>
      </x:c>
      <x:c r="M186" s="23" t="n">
        <x:f>IF('Raw Data'!M186="",0,'Raw Data'!M186)</x:f>
        <x:v>0.15</x:v>
      </x:c>
      <x:c r="N186" s="9" t="n">
        <x:f>IF(S186="Completed",K186*L186*(1-M186),0)</x:f>
        <x:v>1444.1499999999999</x:v>
      </x:c>
      <x:c r="O186" s="9" t="n">
        <x:f>IFERROR(INDEX('Lookup Tables'!$J$5:$J$16,MATCH(H186,'Lookup Tables'!$F$5:$F$16,0)),0)</x:f>
        <x:v>1040</x:v>
      </x:c>
      <x:c r="P186" s="9" t="n">
        <x:f>IF(S186="Completed",K186*O186,0)</x:f>
        <x:v>1040</x:v>
      </x:c>
      <x:c r="Q186" s="9" t="n">
        <x:f>N186-P186</x:f>
        <x:v>404.14999999999986</x:v>
      </x:c>
      <x:c r="R186" s="8" t="str">
        <x:f>IF(LOWER('Raw Data'!N186)="upi","UPI",'Raw Data'!N186)</x:f>
        <x:v>Credit Card</x:v>
      </x:c>
      <x:c r="S186" s="8" t="str">
        <x:v>Completed</x:v>
      </x:c>
      <x:c r="T186" s="8" t="str">
        <x:f>TEXT(B186,"mmm yyyy")</x:f>
        <x:v>Sep 2025</x:v>
      </x:c>
      <x:c r="U186" s="8" t="n">
        <x:f>YEAR(B186)</x:f>
        <x:v>2025</x:v>
      </x:c>
    </x:row>
    <x:row r="187">
      <x:c r="A187" s="8" t="str">
        <x:v>ORD-0183</x:v>
      </x:c>
      <x:c r="B187" s="22" t="n">
        <x:v>45739.485076192126</x:v>
      </x:c>
      <x:c r="C187" s="8" t="str">
        <x:v>CUS-035</x:v>
      </x:c>
      <x:c r="D187" s="8" t="str">
        <x:f>IFERROR(INDEX('Lookup Tables'!$B$5:$B$84,MATCH(C187,'Lookup Tables'!$A$5:$A$84,0)),"Unknown Customer")</x:f>
        <x:v>Karan Malhotra 2</x:v>
      </x:c>
      <x:c r="E187" s="8" t="str">
        <x:f>IFERROR(INDEX('Lookup Tables'!$C$5:$C$84,MATCH(C187,'Lookup Tables'!$A$5:$A$84,0)),"Unknown")</x:f>
        <x:v>Corporate</x:v>
      </x:c>
      <x:c r="F187" s="8" t="str">
        <x:v>Jaipur</x:v>
      </x:c>
      <x:c r="G187" s="8" t="str">
        <x:f>IFERROR(INDEX('Lookup Tables'!$N$5:$N$14,MATCH(F187,'Lookup Tables'!$M$5:$M$14,0)),"Unknown")</x:f>
        <x:v>North</x:v>
      </x:c>
      <x:c r="H187" s="8" t="str">
        <x:v>PRD-011</x:v>
      </x:c>
      <x:c r="I187" s="8" t="str">
        <x:f>IFERROR(INDEX('Lookup Tables'!$G$5:$G$16,MATCH(H187,'Lookup Tables'!$F$5:$F$16,0)),"Unknown Product")</x:f>
        <x:v>Classic Wallet</x:v>
      </x:c>
      <x:c r="J187" s="8" t="str">
        <x:f>IFERROR(INDEX('Lookup Tables'!$H$5:$H$16,MATCH(H187,'Lookup Tables'!$F$5:$F$16,0)),"Unknown")</x:f>
        <x:v>Fashion</x:v>
      </x:c>
      <x:c r="K187" s="8" t="n">
        <x:v>4</x:v>
      </x:c>
      <x:c r="L187" s="9" t="n">
        <x:f>IFERROR(INDEX('Lookup Tables'!$I$5:$I$16,MATCH(H187,'Lookup Tables'!$F$5:$F$16,0)),0)</x:f>
        <x:v>1199</x:v>
      </x:c>
      <x:c r="M187" s="23" t="n">
        <x:f>IF('Raw Data'!M187="",0,'Raw Data'!M187)</x:f>
        <x:v>0.2</x:v>
      </x:c>
      <x:c r="N187" s="9" t="n">
        <x:f>IF(S187="Completed",K187*L187*(1-M187),0)</x:f>
        <x:v>3836.8</x:v>
      </x:c>
      <x:c r="O187" s="9" t="n">
        <x:f>IFERROR(INDEX('Lookup Tables'!$J$5:$J$16,MATCH(H187,'Lookup Tables'!$F$5:$F$16,0)),0)</x:f>
        <x:v>690</x:v>
      </x:c>
      <x:c r="P187" s="9" t="n">
        <x:f>IF(S187="Completed",K187*O187,0)</x:f>
        <x:v>2760</x:v>
      </x:c>
      <x:c r="Q187" s="9" t="n">
        <x:f>N187-P187</x:f>
        <x:v>1076.8000000000002</x:v>
      </x:c>
      <x:c r="R187" s="8" t="str">
        <x:f>IF(LOWER('Raw Data'!N187)="upi","UPI",'Raw Data'!N187)</x:f>
        <x:v>UPI</x:v>
      </x:c>
      <x:c r="S187" s="8" t="str">
        <x:v>Completed</x:v>
      </x:c>
      <x:c r="T187" s="8" t="str">
        <x:f>TEXT(B187,"mmm yyyy")</x:f>
        <x:v>Mar 2025</x:v>
      </x:c>
      <x:c r="U187" s="8" t="n">
        <x:f>YEAR(B187)</x:f>
        <x:v>2025</x:v>
      </x:c>
    </x:row>
    <x:row r="188">
      <x:c r="A188" s="8" t="str">
        <x:v>ORD-0184</x:v>
      </x:c>
      <x:c r="B188" s="22" t="n">
        <x:v>45781.96108116898</x:v>
      </x:c>
      <x:c r="C188" s="8" t="str">
        <x:v>CUS-080</x:v>
      </x:c>
      <x:c r="D188" s="8" t="str">
        <x:f>IFERROR(INDEX('Lookup Tables'!$B$5:$B$84,MATCH(C188,'Lookup Tables'!$A$5:$A$84,0)),"Unknown Customer")</x:f>
        <x:v>Kavya Reddy 4</x:v>
      </x:c>
      <x:c r="E188" s="8" t="str">
        <x:f>IFERROR(INDEX('Lookup Tables'!$C$5:$C$84,MATCH(C188,'Lookup Tables'!$A$5:$A$84,0)),"Unknown")</x:f>
        <x:v>Corporate</x:v>
      </x:c>
      <x:c r="F188" s="8" t="str">
        <x:v>Ahmedabad</x:v>
      </x:c>
      <x:c r="G188" s="8" t="str">
        <x:f>IFERROR(INDEX('Lookup Tables'!$N$5:$N$14,MATCH(F188,'Lookup Tables'!$M$5:$M$14,0)),"Unknown")</x:f>
        <x:v>West</x:v>
      </x:c>
      <x:c r="H188" s="8" t="str">
        <x:v>PRD-004</x:v>
      </x:c>
      <x:c r="I188" s="8" t="str">
        <x:f>IFERROR(INDEX('Lookup Tables'!$G$5:$G$16,MATCH(H188,'Lookup Tables'!$F$5:$F$16,0)),"Unknown Product")</x:f>
        <x:v>Laptop Stand</x:v>
      </x:c>
      <x:c r="J188" s="8" t="str">
        <x:f>IFERROR(INDEX('Lookup Tables'!$H$5:$H$16,MATCH(H188,'Lookup Tables'!$F$5:$F$16,0)),"Unknown")</x:f>
        <x:v>Office Supplies</x:v>
      </x:c>
      <x:c r="K188" s="8" t="n">
        <x:v>1</x:v>
      </x:c>
      <x:c r="L188" s="9" t="n">
        <x:f>IFERROR(INDEX('Lookup Tables'!$I$5:$I$16,MATCH(H188,'Lookup Tables'!$F$5:$F$16,0)),0)</x:f>
        <x:v>1299</x:v>
      </x:c>
      <x:c r="M188" s="23" t="n">
        <x:f>IF('Raw Data'!M188="",0,'Raw Data'!M188)</x:f>
        <x:v>0.2</x:v>
      </x:c>
      <x:c r="N188" s="9" t="n">
        <x:f>IF(S188="Completed",K188*L188*(1-M188),0)</x:f>
        <x:v>1039.2</x:v>
      </x:c>
      <x:c r="O188" s="9" t="n">
        <x:f>IFERROR(INDEX('Lookup Tables'!$J$5:$J$16,MATCH(H188,'Lookup Tables'!$F$5:$F$16,0)),0)</x:f>
        <x:v>760</x:v>
      </x:c>
      <x:c r="P188" s="9" t="n">
        <x:f>IF(S188="Completed",K188*O188,0)</x:f>
        <x:v>760</x:v>
      </x:c>
      <x:c r="Q188" s="9" t="n">
        <x:f>N188-P188</x:f>
        <x:v>279.20000000000005</x:v>
      </x:c>
      <x:c r="R188" s="8" t="str">
        <x:f>IF(LOWER('Raw Data'!N188)="upi","UPI",'Raw Data'!N188)</x:f>
        <x:v>Net Banking</x:v>
      </x:c>
      <x:c r="S188" s="8" t="str">
        <x:v>Completed</x:v>
      </x:c>
      <x:c r="T188" s="8" t="str">
        <x:f>TEXT(B188,"mmm yyyy")</x:f>
        <x:v>May 2025</x:v>
      </x:c>
      <x:c r="U188" s="8" t="n">
        <x:f>YEAR(B188)</x:f>
        <x:v>2025</x:v>
      </x:c>
    </x:row>
    <x:row r="189">
      <x:c r="A189" s="8" t="str">
        <x:v>ORD-0185</x:v>
      </x:c>
      <x:c r="B189" s="22" t="n">
        <x:v>45868.369556909725</x:v>
      </x:c>
      <x:c r="C189" s="8" t="str">
        <x:v>CUS-026</x:v>
      </x:c>
      <x:c r="D189" s="8" t="str">
        <x:f>IFERROR(INDEX('Lookup Tables'!$B$5:$B$84,MATCH(C189,'Lookup Tables'!$A$5:$A$84,0)),"Unknown Customer")</x:f>
        <x:v>Isha Mehta 2</x:v>
      </x:c>
      <x:c r="E189" s="8" t="str">
        <x:f>IFERROR(INDEX('Lookup Tables'!$C$5:$C$84,MATCH(C189,'Lookup Tables'!$A$5:$A$84,0)),"Unknown")</x:f>
        <x:v>Corporate</x:v>
      </x:c>
      <x:c r="F189" s="8" t="str">
        <x:v>Lucknow</x:v>
      </x:c>
      <x:c r="G189" s="8" t="str">
        <x:f>IFERROR(INDEX('Lookup Tables'!$N$5:$N$14,MATCH(F189,'Lookup Tables'!$M$5:$M$14,0)),"Unknown")</x:f>
        <x:v>North</x:v>
      </x:c>
      <x:c r="H189" s="8" t="str">
        <x:v>PRD-011</x:v>
      </x:c>
      <x:c r="I189" s="8" t="str">
        <x:f>IFERROR(INDEX('Lookup Tables'!$G$5:$G$16,MATCH(H189,'Lookup Tables'!$F$5:$F$16,0)),"Unknown Product")</x:f>
        <x:v>Classic Wallet</x:v>
      </x:c>
      <x:c r="J189" s="8" t="str">
        <x:f>IFERROR(INDEX('Lookup Tables'!$H$5:$H$16,MATCH(H189,'Lookup Tables'!$F$5:$F$16,0)),"Unknown")</x:f>
        <x:v>Fashion</x:v>
      </x:c>
      <x:c r="K189" s="8" t="n">
        <x:v>1</x:v>
      </x:c>
      <x:c r="L189" s="9" t="n">
        <x:f>IFERROR(INDEX('Lookup Tables'!$I$5:$I$16,MATCH(H189,'Lookup Tables'!$F$5:$F$16,0)),0)</x:f>
        <x:v>1199</x:v>
      </x:c>
      <x:c r="M189" s="23" t="n">
        <x:f>IF('Raw Data'!M189="",0,'Raw Data'!M189)</x:f>
        <x:v>0.15</x:v>
      </x:c>
      <x:c r="N189" s="9" t="n">
        <x:f>IF(S189="Completed",K189*L189*(1-M189),0)</x:f>
        <x:v>0</x:v>
      </x:c>
      <x:c r="O189" s="9" t="n">
        <x:f>IFERROR(INDEX('Lookup Tables'!$J$5:$J$16,MATCH(H189,'Lookup Tables'!$F$5:$F$16,0)),0)</x:f>
        <x:v>690</x:v>
      </x:c>
      <x:c r="P189" s="9" t="n">
        <x:f>IF(S189="Completed",K189*O189,0)</x:f>
        <x:v>0</x:v>
      </x:c>
      <x:c r="Q189" s="9" t="n">
        <x:f>N189-P189</x:f>
        <x:v>0</x:v>
      </x:c>
      <x:c r="R189" s="8" t="str">
        <x:f>IF(LOWER('Raw Data'!N189)="upi","UPI",'Raw Data'!N189)</x:f>
        <x:v>Cash on Delivery</x:v>
      </x:c>
      <x:c r="S189" s="8" t="str">
        <x:v>Cancelled</x:v>
      </x:c>
      <x:c r="T189" s="8" t="str">
        <x:f>TEXT(B189,"mmm yyyy")</x:f>
        <x:v>Jul 2025</x:v>
      </x:c>
      <x:c r="U189" s="8" t="n">
        <x:f>YEAR(B189)</x:f>
        <x:v>2025</x:v>
      </x:c>
    </x:row>
    <x:row r="190">
      <x:c r="A190" s="8" t="str">
        <x:v>ORD-0186</x:v>
      </x:c>
      <x:c r="B190" s="22" t="n">
        <x:v>45691.75837369213</x:v>
      </x:c>
      <x:c r="C190" s="8" t="str">
        <x:v>CUS-039</x:v>
      </x:c>
      <x:c r="D190" s="8" t="str">
        <x:f>IFERROR(INDEX('Lookup Tables'!$B$5:$B$84,MATCH(C190,'Lookup Tables'!$A$5:$A$84,0)),"Unknown Customer")</x:f>
        <x:v>Siddharth Jain 2</x:v>
      </x:c>
      <x:c r="E190" s="8" t="str">
        <x:f>IFERROR(INDEX('Lookup Tables'!$C$5:$C$84,MATCH(C190,'Lookup Tables'!$A$5:$A$84,0)),"Unknown")</x:f>
        <x:v>Small Business</x:v>
      </x:c>
      <x:c r="F190" s="8" t="str">
        <x:v>Jaipur</x:v>
      </x:c>
      <x:c r="G190" s="8" t="str">
        <x:f>IFERROR(INDEX('Lookup Tables'!$N$5:$N$14,MATCH(F190,'Lookup Tables'!$M$5:$M$14,0)),"Unknown")</x:f>
        <x:v>North</x:v>
      </x:c>
      <x:c r="H190" s="8" t="str">
        <x:v>PRD-007</x:v>
      </x:c>
      <x:c r="I190" s="8" t="str">
        <x:f>IFERROR(INDEX('Lookup Tables'!$G$5:$G$16,MATCH(H190,'Lookup Tables'!$F$5:$F$16,0)),"Unknown Product")</x:f>
        <x:v>Electric Kettle</x:v>
      </x:c>
      <x:c r="J190" s="8" t="str">
        <x:f>IFERROR(INDEX('Lookup Tables'!$H$5:$H$16,MATCH(H190,'Lookup Tables'!$F$5:$F$16,0)),"Unknown")</x:f>
        <x:v>Home &amp; Kitchen</x:v>
      </x:c>
      <x:c r="K190" s="8" t="n">
        <x:v>2</x:v>
      </x:c>
      <x:c r="L190" s="9" t="n">
        <x:f>IFERROR(INDEX('Lookup Tables'!$I$5:$I$16,MATCH(H190,'Lookup Tables'!$F$5:$F$16,0)),0)</x:f>
        <x:v>1699</x:v>
      </x:c>
      <x:c r="M190" s="23" t="n">
        <x:f>IF('Raw Data'!M190="",0,'Raw Data'!M190)</x:f>
        <x:v>0.05</x:v>
      </x:c>
      <x:c r="N190" s="9" t="n">
        <x:f>IF(S190="Completed",K190*L190*(1-M190),0)</x:f>
        <x:v>3228.1</x:v>
      </x:c>
      <x:c r="O190" s="9" t="n">
        <x:f>IFERROR(INDEX('Lookup Tables'!$J$5:$J$16,MATCH(H190,'Lookup Tables'!$F$5:$F$16,0)),0)</x:f>
        <x:v>1040</x:v>
      </x:c>
      <x:c r="P190" s="9" t="n">
        <x:f>IF(S190="Completed",K190*O190,0)</x:f>
        <x:v>2080</x:v>
      </x:c>
      <x:c r="Q190" s="9" t="n">
        <x:f>N190-P190</x:f>
        <x:v>1148.1</x:v>
      </x:c>
      <x:c r="R190" s="8" t="str">
        <x:f>IF(LOWER('Raw Data'!N190)="upi","UPI",'Raw Data'!N190)</x:f>
        <x:v>Credit Card</x:v>
      </x:c>
      <x:c r="S190" s="8" t="str">
        <x:v>Completed</x:v>
      </x:c>
      <x:c r="T190" s="8" t="str">
        <x:f>TEXT(B190,"mmm yyyy")</x:f>
        <x:v>Feb 2025</x:v>
      </x:c>
      <x:c r="U190" s="8" t="n">
        <x:f>YEAR(B190)</x:f>
        <x:v>2025</x:v>
      </x:c>
    </x:row>
    <x:row r="191">
      <x:c r="A191" s="8" t="str">
        <x:v>ORD-0187</x:v>
      </x:c>
      <x:c r="B191" s="22" t="n">
        <x:v>45886.25935435185</x:v>
      </x:c>
      <x:c r="C191" s="8" t="str">
        <x:v>CUS-016</x:v>
      </x:c>
      <x:c r="D191" s="8" t="str">
        <x:f>IFERROR(INDEX('Lookup Tables'!$B$5:$B$84,MATCH(C191,'Lookup Tables'!$A$5:$A$84,0)),"Unknown Customer")</x:f>
        <x:v>Pooja Saxena</x:v>
      </x:c>
      <x:c r="E191" s="8" t="str">
        <x:f>IFERROR(INDEX('Lookup Tables'!$C$5:$C$84,MATCH(C191,'Lookup Tables'!$A$5:$A$84,0)),"Unknown")</x:f>
        <x:v>Consumer</x:v>
      </x:c>
      <x:c r="F191" s="8" t="str">
        <x:v>Delhi</x:v>
      </x:c>
      <x:c r="G191" s="8" t="str">
        <x:f>IFERROR(INDEX('Lookup Tables'!$N$5:$N$14,MATCH(F191,'Lookup Tables'!$M$5:$M$14,0)),"Unknown")</x:f>
        <x:v>North</x:v>
      </x:c>
      <x:c r="H191" s="8" t="str">
        <x:v>PRD-003</x:v>
      </x:c>
      <x:c r="I191" s="8" t="str">
        <x:f>IFERROR(INDEX('Lookup Tables'!$G$5:$G$16,MATCH(H191,'Lookup Tables'!$F$5:$F$16,0)),"Unknown Product")</x:f>
        <x:v>USB-C Hub</x:v>
      </x:c>
      <x:c r="J191" s="8" t="str">
        <x:f>IFERROR(INDEX('Lookup Tables'!$H$5:$H$16,MATCH(H191,'Lookup Tables'!$F$5:$F$16,0)),"Unknown")</x:f>
        <x:v>Electronics</x:v>
      </x:c>
      <x:c r="K191" s="8" t="n">
        <x:v>2</x:v>
      </x:c>
      <x:c r="L191" s="9" t="n">
        <x:f>IFERROR(INDEX('Lookup Tables'!$I$5:$I$16,MATCH(H191,'Lookup Tables'!$F$5:$F$16,0)),0)</x:f>
        <x:v>1899</x:v>
      </x:c>
      <x:c r="M191" s="23" t="n">
        <x:f>IF('Raw Data'!M191="",0,'Raw Data'!M191)</x:f>
        <x:v>0.05</x:v>
      </x:c>
      <x:c r="N191" s="9" t="n">
        <x:f>IF(S191="Completed",K191*L191*(1-M191),0)</x:f>
        <x:v>0</x:v>
      </x:c>
      <x:c r="O191" s="9" t="n">
        <x:f>IFERROR(INDEX('Lookup Tables'!$J$5:$J$16,MATCH(H191,'Lookup Tables'!$F$5:$F$16,0)),0)</x:f>
        <x:v>1180</x:v>
      </x:c>
      <x:c r="P191" s="9" t="n">
        <x:f>IF(S191="Completed",K191*O191,0)</x:f>
        <x:v>0</x:v>
      </x:c>
      <x:c r="Q191" s="9" t="n">
        <x:f>N191-P191</x:f>
        <x:v>0</x:v>
      </x:c>
      <x:c r="R191" s="8" t="str">
        <x:f>IF(LOWER('Raw Data'!N191)="upi","UPI",'Raw Data'!N191)</x:f>
        <x:v>Net Banking</x:v>
      </x:c>
      <x:c r="S191" s="8" t="str">
        <x:v>Returned</x:v>
      </x:c>
      <x:c r="T191" s="8" t="str">
        <x:f>TEXT(B191,"mmm yyyy")</x:f>
        <x:v>Aug 2025</x:v>
      </x:c>
      <x:c r="U191" s="8" t="n">
        <x:f>YEAR(B191)</x:f>
        <x:v>2025</x:v>
      </x:c>
    </x:row>
    <x:row r="192">
      <x:c r="A192" s="8" t="str">
        <x:v>ORD-0188</x:v>
      </x:c>
      <x:c r="B192" s="22" t="n">
        <x:v>45943.76850091435</x:v>
      </x:c>
      <x:c r="C192" s="8" t="str">
        <x:v>CUS-016</x:v>
      </x:c>
      <x:c r="D192" s="8" t="str">
        <x:f>IFERROR(INDEX('Lookup Tables'!$B$5:$B$84,MATCH(C192,'Lookup Tables'!$A$5:$A$84,0)),"Unknown Customer")</x:f>
        <x:v>Pooja Saxena</x:v>
      </x:c>
      <x:c r="E192" s="8" t="str">
        <x:f>IFERROR(INDEX('Lookup Tables'!$C$5:$C$84,MATCH(C192,'Lookup Tables'!$A$5:$A$84,0)),"Unknown")</x:f>
        <x:v>Consumer</x:v>
      </x:c>
      <x:c r="F192" s="8" t="str">
        <x:v>Mumbai</x:v>
      </x:c>
      <x:c r="G192" s="8" t="str">
        <x:f>IFERROR(INDEX('Lookup Tables'!$N$5:$N$14,MATCH(F192,'Lookup Tables'!$M$5:$M$14,0)),"Unknown")</x:f>
        <x:v>West</x:v>
      </x:c>
      <x:c r="H192" s="8" t="str">
        <x:v>PRD-006</x:v>
      </x:c>
      <x:c r="I192" s="8" t="str">
        <x:f>IFERROR(INDEX('Lookup Tables'!$G$5:$G$16,MATCH(H192,'Lookup Tables'!$F$5:$F$16,0)),"Unknown Product")</x:f>
        <x:v>Desk Organiser</x:v>
      </x:c>
      <x:c r="J192" s="8" t="str">
        <x:f>IFERROR(INDEX('Lookup Tables'!$H$5:$H$16,MATCH(H192,'Lookup Tables'!$F$5:$F$16,0)),"Unknown")</x:f>
        <x:v>Office Supplies</x:v>
      </x:c>
      <x:c r="K192" s="8" t="n">
        <x:v>5</x:v>
      </x:c>
      <x:c r="L192" s="9" t="n">
        <x:f>IFERROR(INDEX('Lookup Tables'!$I$5:$I$16,MATCH(H192,'Lookup Tables'!$F$5:$F$16,0)),0)</x:f>
        <x:v>699</x:v>
      </x:c>
      <x:c r="M192" s="23" t="n">
        <x:f>IF('Raw Data'!M192="",0,'Raw Data'!M192)</x:f>
        <x:v>0</x:v>
      </x:c>
      <x:c r="N192" s="9" t="n">
        <x:f>IF(S192="Completed",K192*L192*(1-M192),0)</x:f>
        <x:v>3495</x:v>
      </x:c>
      <x:c r="O192" s="9" t="n">
        <x:f>IFERROR(INDEX('Lookup Tables'!$J$5:$J$16,MATCH(H192,'Lookup Tables'!$F$5:$F$16,0)),0)</x:f>
        <x:v>390</x:v>
      </x:c>
      <x:c r="P192" s="9" t="n">
        <x:f>IF(S192="Completed",K192*O192,0)</x:f>
        <x:v>1950</x:v>
      </x:c>
      <x:c r="Q192" s="9" t="n">
        <x:f>N192-P192</x:f>
        <x:v>1545</x:v>
      </x:c>
      <x:c r="R192" s="8" t="str">
        <x:f>IF(LOWER('Raw Data'!N192)="upi","UPI",'Raw Data'!N192)</x:f>
        <x:v>Debit Card</x:v>
      </x:c>
      <x:c r="S192" s="8" t="str">
        <x:v>Completed</x:v>
      </x:c>
      <x:c r="T192" s="8" t="str">
        <x:f>TEXT(B192,"mmm yyyy")</x:f>
        <x:v>Oct 2025</x:v>
      </x:c>
      <x:c r="U192" s="8" t="n">
        <x:f>YEAR(B192)</x:f>
        <x:v>2025</x:v>
      </x:c>
    </x:row>
    <x:row r="193">
      <x:c r="A193" s="8" t="str">
        <x:v>ORD-0189</x:v>
      </x:c>
      <x:c r="B193" s="22" t="n">
        <x:v>45685.84356094908</x:v>
      </x:c>
      <x:c r="C193" s="8" t="str">
        <x:v>CUS-022</x:v>
      </x:c>
      <x:c r="D193" s="8" t="str">
        <x:f>IFERROR(INDEX('Lookup Tables'!$B$5:$B$84,MATCH(C193,'Lookup Tables'!$A$5:$A$84,0)),"Unknown Customer")</x:f>
        <x:v>Diya Patel 2</x:v>
      </x:c>
      <x:c r="E193" s="8" t="str">
        <x:f>IFERROR(INDEX('Lookup Tables'!$C$5:$C$84,MATCH(C193,'Lookup Tables'!$A$5:$A$84,0)),"Unknown")</x:f>
        <x:v>Consumer</x:v>
      </x:c>
      <x:c r="F193" s="8" t="str">
        <x:v>Lucknow</x:v>
      </x:c>
      <x:c r="G193" s="8" t="str">
        <x:f>IFERROR(INDEX('Lookup Tables'!$N$5:$N$14,MATCH(F193,'Lookup Tables'!$M$5:$M$14,0)),"Unknown")</x:f>
        <x:v>North</x:v>
      </x:c>
      <x:c r="H193" s="8" t="str">
        <x:v>PRD-007</x:v>
      </x:c>
      <x:c r="I193" s="8" t="str">
        <x:f>IFERROR(INDEX('Lookup Tables'!$G$5:$G$16,MATCH(H193,'Lookup Tables'!$F$5:$F$16,0)),"Unknown Product")</x:f>
        <x:v>Electric Kettle</x:v>
      </x:c>
      <x:c r="J193" s="8" t="str">
        <x:f>IFERROR(INDEX('Lookup Tables'!$H$5:$H$16,MATCH(H193,'Lookup Tables'!$F$5:$F$16,0)),"Unknown")</x:f>
        <x:v>Home &amp; Kitchen</x:v>
      </x:c>
      <x:c r="K193" s="8" t="n">
        <x:v>4</x:v>
      </x:c>
      <x:c r="L193" s="9" t="n">
        <x:f>IFERROR(INDEX('Lookup Tables'!$I$5:$I$16,MATCH(H193,'Lookup Tables'!$F$5:$F$16,0)),0)</x:f>
        <x:v>1699</x:v>
      </x:c>
      <x:c r="M193" s="23" t="n">
        <x:f>IF('Raw Data'!M193="",0,'Raw Data'!M193)</x:f>
        <x:v>0</x:v>
      </x:c>
      <x:c r="N193" s="9" t="n">
        <x:f>IF(S193="Completed",K193*L193*(1-M193),0)</x:f>
        <x:v>6796</x:v>
      </x:c>
      <x:c r="O193" s="9" t="n">
        <x:f>IFERROR(INDEX('Lookup Tables'!$J$5:$J$16,MATCH(H193,'Lookup Tables'!$F$5:$F$16,0)),0)</x:f>
        <x:v>1040</x:v>
      </x:c>
      <x:c r="P193" s="9" t="n">
        <x:f>IF(S193="Completed",K193*O193,0)</x:f>
        <x:v>4160</x:v>
      </x:c>
      <x:c r="Q193" s="9" t="n">
        <x:f>N193-P193</x:f>
        <x:v>2636</x:v>
      </x:c>
      <x:c r="R193" s="8" t="str">
        <x:f>IF(LOWER('Raw Data'!N193)="upi","UPI",'Raw Data'!N193)</x:f>
        <x:v>Debit Card</x:v>
      </x:c>
      <x:c r="S193" s="8" t="str">
        <x:v>Completed</x:v>
      </x:c>
      <x:c r="T193" s="8" t="str">
        <x:f>TEXT(B193,"mmm yyyy")</x:f>
        <x:v>Jan 2025</x:v>
      </x:c>
      <x:c r="U193" s="8" t="n">
        <x:f>YEAR(B193)</x:f>
        <x:v>2025</x:v>
      </x:c>
    </x:row>
    <x:row r="194">
      <x:c r="A194" s="8" t="str">
        <x:v>ORD-0190</x:v>
      </x:c>
      <x:c r="B194" s="22" t="n">
        <x:v>45818.828771458335</x:v>
      </x:c>
      <x:c r="C194" s="8" t="str">
        <x:v>CUS-015</x:v>
      </x:c>
      <x:c r="D194" s="8" t="str">
        <x:f>IFERROR(INDEX('Lookup Tables'!$B$5:$B$84,MATCH(C194,'Lookup Tables'!$A$5:$A$84,0)),"Unknown Customer")</x:f>
        <x:v>Karan Malhotra</x:v>
      </x:c>
      <x:c r="E194" s="8" t="str">
        <x:f>IFERROR(INDEX('Lookup Tables'!$C$5:$C$84,MATCH(C194,'Lookup Tables'!$A$5:$A$84,0)),"Unknown")</x:f>
        <x:v>Small Business</x:v>
      </x:c>
      <x:c r="F194" s="8" t="str">
        <x:v>Jaipur</x:v>
      </x:c>
      <x:c r="G194" s="8" t="str">
        <x:f>IFERROR(INDEX('Lookup Tables'!$N$5:$N$14,MATCH(F194,'Lookup Tables'!$M$5:$M$14,0)),"Unknown")</x:f>
        <x:v>North</x:v>
      </x:c>
      <x:c r="H194" s="8" t="str">
        <x:v>PRD-002</x:v>
      </x:c>
      <x:c r="I194" s="8" t="str">
        <x:f>IFERROR(INDEX('Lookup Tables'!$G$5:$G$16,MATCH(H194,'Lookup Tables'!$F$5:$F$16,0)),"Unknown Product")</x:f>
        <x:v>Bluetooth Headphones</x:v>
      </x:c>
      <x:c r="J194" s="8" t="str">
        <x:f>IFERROR(INDEX('Lookup Tables'!$H$5:$H$16,MATCH(H194,'Lookup Tables'!$F$5:$F$16,0)),"Unknown")</x:f>
        <x:v>Electronics</x:v>
      </x:c>
      <x:c r="K194" s="8" t="n">
        <x:v>2</x:v>
      </x:c>
      <x:c r="L194" s="9" t="n">
        <x:f>IFERROR(INDEX('Lookup Tables'!$I$5:$I$16,MATCH(H194,'Lookup Tables'!$F$5:$F$16,0)),0)</x:f>
        <x:v>2499</x:v>
      </x:c>
      <x:c r="M194" s="23" t="n">
        <x:f>IF('Raw Data'!M194="",0,'Raw Data'!M194)</x:f>
        <x:v>0</x:v>
      </x:c>
      <x:c r="N194" s="9" t="n">
        <x:f>IF(S194="Completed",K194*L194*(1-M194),0)</x:f>
        <x:v>0</x:v>
      </x:c>
      <x:c r="O194" s="9" t="n">
        <x:f>IFERROR(INDEX('Lookup Tables'!$J$5:$J$16,MATCH(H194,'Lookup Tables'!$F$5:$F$16,0)),0)</x:f>
        <x:v>1620</x:v>
      </x:c>
      <x:c r="P194" s="9" t="n">
        <x:f>IF(S194="Completed",K194*O194,0)</x:f>
        <x:v>0</x:v>
      </x:c>
      <x:c r="Q194" s="9" t="n">
        <x:f>N194-P194</x:f>
        <x:v>0</x:v>
      </x:c>
      <x:c r="R194" s="8" t="str">
        <x:f>IF(LOWER('Raw Data'!N194)="upi","UPI",'Raw Data'!N194)</x:f>
        <x:v>UPI</x:v>
      </x:c>
      <x:c r="S194" s="8" t="str">
        <x:v>Returned</x:v>
      </x:c>
      <x:c r="T194" s="8" t="str">
        <x:f>TEXT(B194,"mmm yyyy")</x:f>
        <x:v>Jun 2025</x:v>
      </x:c>
      <x:c r="U194" s="8" t="n">
        <x:f>YEAR(B194)</x:f>
        <x:v>2025</x:v>
      </x:c>
    </x:row>
    <x:row r="195">
      <x:c r="A195" s="8" t="str">
        <x:v>ORD-0191</x:v>
      </x:c>
      <x:c r="B195" s="22" t="n">
        <x:v>45743.40759793981</x:v>
      </x:c>
      <x:c r="C195" s="8" t="str">
        <x:v>CUS-069</x:v>
      </x:c>
      <x:c r="D195" s="8" t="str">
        <x:f>IFERROR(INDEX('Lookup Tables'!$B$5:$B$84,MATCH(C195,'Lookup Tables'!$A$5:$A$84,0)),"Unknown Customer")</x:f>
        <x:v>Rohan Das 4</x:v>
      </x:c>
      <x:c r="E195" s="8" t="str">
        <x:f>IFERROR(INDEX('Lookup Tables'!$C$5:$C$84,MATCH(C195,'Lookup Tables'!$A$5:$A$84,0)),"Unknown")</x:f>
        <x:v>Small Business</x:v>
      </x:c>
      <x:c r="F195" s="8" t="str">
        <x:v>Delhi</x:v>
      </x:c>
      <x:c r="G195" s="8" t="str">
        <x:f>IFERROR(INDEX('Lookup Tables'!$N$5:$N$14,MATCH(F195,'Lookup Tables'!$M$5:$M$14,0)),"Unknown")</x:f>
        <x:v>North</x:v>
      </x:c>
      <x:c r="H195" s="8" t="str">
        <x:v>PRD-009</x:v>
      </x:c>
      <x:c r="I195" s="8" t="str">
        <x:f>IFERROR(INDEX('Lookup Tables'!$G$5:$G$16,MATCH(H195,'Lookup Tables'!$F$5:$F$16,0)),"Unknown Product")</x:f>
        <x:v>Table Lamp</x:v>
      </x:c>
      <x:c r="J195" s="8" t="str">
        <x:f>IFERROR(INDEX('Lookup Tables'!$H$5:$H$16,MATCH(H195,'Lookup Tables'!$F$5:$F$16,0)),"Unknown")</x:f>
        <x:v>Home &amp; Kitchen</x:v>
      </x:c>
      <x:c r="K195" s="8" t="n">
        <x:v>5</x:v>
      </x:c>
      <x:c r="L195" s="9" t="n">
        <x:f>IFERROR(INDEX('Lookup Tables'!$I$5:$I$16,MATCH(H195,'Lookup Tables'!$F$5:$F$16,0)),0)</x:f>
        <x:v>1499</x:v>
      </x:c>
      <x:c r="M195" s="23" t="n">
        <x:f>IF('Raw Data'!M195="",0,'Raw Data'!M195)</x:f>
        <x:v>0.1</x:v>
      </x:c>
      <x:c r="N195" s="9" t="n">
        <x:f>IF(S195="Completed",K195*L195*(1-M195),0)</x:f>
        <x:v>6745.5</x:v>
      </x:c>
      <x:c r="O195" s="9" t="n">
        <x:f>IFERROR(INDEX('Lookup Tables'!$J$5:$J$16,MATCH(H195,'Lookup Tables'!$F$5:$F$16,0)),0)</x:f>
        <x:v>920</x:v>
      </x:c>
      <x:c r="P195" s="9" t="n">
        <x:f>IF(S195="Completed",K195*O195,0)</x:f>
        <x:v>4600</x:v>
      </x:c>
      <x:c r="Q195" s="9" t="n">
        <x:f>N195-P195</x:f>
        <x:v>2145.5</x:v>
      </x:c>
      <x:c r="R195" s="8" t="str">
        <x:f>IF(LOWER('Raw Data'!N195)="upi","UPI",'Raw Data'!N195)</x:f>
        <x:v>Debit Card</x:v>
      </x:c>
      <x:c r="S195" s="8" t="str">
        <x:v>Completed</x:v>
      </x:c>
      <x:c r="T195" s="8" t="str">
        <x:f>TEXT(B195,"mmm yyyy")</x:f>
        <x:v>Mar 2025</x:v>
      </x:c>
      <x:c r="U195" s="8" t="n">
        <x:f>YEAR(B195)</x:f>
        <x:v>2025</x:v>
      </x:c>
    </x:row>
    <x:row r="196">
      <x:c r="A196" s="8" t="str">
        <x:v>ORD-0192</x:v>
      </x:c>
      <x:c r="B196" s="22" t="n">
        <x:v>45718.36167982639</x:v>
      </x:c>
      <x:c r="C196" s="8" t="str">
        <x:v>CUS-037</x:v>
      </x:c>
      <x:c r="D196" s="8" t="str">
        <x:f>IFERROR(INDEX('Lookup Tables'!$B$5:$B$84,MATCH(C196,'Lookup Tables'!$A$5:$A$84,0)),"Unknown Customer")</x:f>
        <x:v>Vikram Yadav 2</x:v>
      </x:c>
      <x:c r="E196" s="8" t="str">
        <x:f>IFERROR(INDEX('Lookup Tables'!$C$5:$C$84,MATCH(C196,'Lookup Tables'!$A$5:$A$84,0)),"Unknown")</x:f>
        <x:v>Consumer</x:v>
      </x:c>
      <x:c r="F196" s="8" t="str">
        <x:v>Delhi</x:v>
      </x:c>
      <x:c r="G196" s="8" t="str">
        <x:f>IFERROR(INDEX('Lookup Tables'!$N$5:$N$14,MATCH(F196,'Lookup Tables'!$M$5:$M$14,0)),"Unknown")</x:f>
        <x:v>North</x:v>
      </x:c>
      <x:c r="H196" s="8" t="str">
        <x:v>PRD-012</x:v>
      </x:c>
      <x:c r="I196" s="8" t="str">
        <x:f>IFERROR(INDEX('Lookup Tables'!$G$5:$G$16,MATCH(H196,'Lookup Tables'!$F$5:$F$16,0)),"Unknown Product")</x:f>
        <x:v>Stainless Water Bottle</x:v>
      </x:c>
      <x:c r="J196" s="8" t="str">
        <x:f>IFERROR(INDEX('Lookup Tables'!$H$5:$H$16,MATCH(H196,'Lookup Tables'!$F$5:$F$16,0)),"Unknown")</x:f>
        <x:v>Lifestyle</x:v>
      </x:c>
      <x:c r="K196" s="8" t="n">
        <x:v>4</x:v>
      </x:c>
      <x:c r="L196" s="9" t="n">
        <x:f>IFERROR(INDEX('Lookup Tables'!$I$5:$I$16,MATCH(H196,'Lookup Tables'!$F$5:$F$16,0)),0)</x:f>
        <x:v>799</x:v>
      </x:c>
      <x:c r="M196" s="23" t="n">
        <x:f>IF('Raw Data'!M196="",0,'Raw Data'!M196)</x:f>
        <x:v>0.2</x:v>
      </x:c>
      <x:c r="N196" s="9" t="n">
        <x:f>IF(S196="Completed",K196*L196*(1-M196),0)</x:f>
        <x:v>2556.8</x:v>
      </x:c>
      <x:c r="O196" s="9" t="n">
        <x:f>IFERROR(INDEX('Lookup Tables'!$J$5:$J$16,MATCH(H196,'Lookup Tables'!$F$5:$F$16,0)),0)</x:f>
        <x:v>410</x:v>
      </x:c>
      <x:c r="P196" s="9" t="n">
        <x:f>IF(S196="Completed",K196*O196,0)</x:f>
        <x:v>1640</x:v>
      </x:c>
      <x:c r="Q196" s="9" t="n">
        <x:f>N196-P196</x:f>
        <x:v>916.8000000000002</x:v>
      </x:c>
      <x:c r="R196" s="8" t="str">
        <x:f>IF(LOWER('Raw Data'!N196)="upi","UPI",'Raw Data'!N196)</x:f>
        <x:v>UPI</x:v>
      </x:c>
      <x:c r="S196" s="8" t="str">
        <x:v>Completed</x:v>
      </x:c>
      <x:c r="T196" s="8" t="str">
        <x:f>TEXT(B196,"mmm yyyy")</x:f>
        <x:v>Mar 2025</x:v>
      </x:c>
      <x:c r="U196" s="8" t="n">
        <x:f>YEAR(B196)</x:f>
        <x:v>2025</x:v>
      </x:c>
    </x:row>
    <x:row r="197">
      <x:c r="A197" s="8" t="str">
        <x:v>ORD-0193</x:v>
      </x:c>
      <x:c r="B197" s="22" t="n">
        <x:v>45802.75993528935</x:v>
      </x:c>
      <x:c r="C197" s="8" t="str">
        <x:v>CUS-015</x:v>
      </x:c>
      <x:c r="D197" s="8" t="str">
        <x:f>IFERROR(INDEX('Lookup Tables'!$B$5:$B$84,MATCH(C197,'Lookup Tables'!$A$5:$A$84,0)),"Unknown Customer")</x:f>
        <x:v>Karan Malhotra</x:v>
      </x:c>
      <x:c r="E197" s="8" t="str">
        <x:f>IFERROR(INDEX('Lookup Tables'!$C$5:$C$84,MATCH(C197,'Lookup Tables'!$A$5:$A$84,0)),"Unknown")</x:f>
        <x:v>Small Business</x:v>
      </x:c>
      <x:c r="F197" s="8" t="str">
        <x:v>Ahmedabad</x:v>
      </x:c>
      <x:c r="G197" s="8" t="str">
        <x:f>IFERROR(INDEX('Lookup Tables'!$N$5:$N$14,MATCH(F197,'Lookup Tables'!$M$5:$M$14,0)),"Unknown")</x:f>
        <x:v>West</x:v>
      </x:c>
      <x:c r="H197" s="8" t="str">
        <x:v>PRD-003</x:v>
      </x:c>
      <x:c r="I197" s="8" t="str">
        <x:f>IFERROR(INDEX('Lookup Tables'!$G$5:$G$16,MATCH(H197,'Lookup Tables'!$F$5:$F$16,0)),"Unknown Product")</x:f>
        <x:v>USB-C Hub</x:v>
      </x:c>
      <x:c r="J197" s="8" t="str">
        <x:f>IFERROR(INDEX('Lookup Tables'!$H$5:$H$16,MATCH(H197,'Lookup Tables'!$F$5:$F$16,0)),"Unknown")</x:f>
        <x:v>Electronics</x:v>
      </x:c>
      <x:c r="K197" s="8" t="n">
        <x:v>3</x:v>
      </x:c>
      <x:c r="L197" s="9" t="n">
        <x:f>IFERROR(INDEX('Lookup Tables'!$I$5:$I$16,MATCH(H197,'Lookup Tables'!$F$5:$F$16,0)),0)</x:f>
        <x:v>1899</x:v>
      </x:c>
      <x:c r="M197" s="23" t="n">
        <x:f>IF('Raw Data'!M197="",0,'Raw Data'!M197)</x:f>
        <x:v>0.2</x:v>
      </x:c>
      <x:c r="N197" s="9" t="n">
        <x:f>IF(S197="Completed",K197*L197*(1-M197),0)</x:f>
        <x:v>0</x:v>
      </x:c>
      <x:c r="O197" s="9" t="n">
        <x:f>IFERROR(INDEX('Lookup Tables'!$J$5:$J$16,MATCH(H197,'Lookup Tables'!$F$5:$F$16,0)),0)</x:f>
        <x:v>1180</x:v>
      </x:c>
      <x:c r="P197" s="9" t="n">
        <x:f>IF(S197="Completed",K197*O197,0)</x:f>
        <x:v>0</x:v>
      </x:c>
      <x:c r="Q197" s="9" t="n">
        <x:f>N197-P197</x:f>
        <x:v>0</x:v>
      </x:c>
      <x:c r="R197" s="8" t="str">
        <x:f>IF(LOWER('Raw Data'!N197)="upi","UPI",'Raw Data'!N197)</x:f>
        <x:v>Cash on Delivery</x:v>
      </x:c>
      <x:c r="S197" s="8" t="str">
        <x:v>Cancelled</x:v>
      </x:c>
      <x:c r="T197" s="8" t="str">
        <x:f>TEXT(B197,"mmm yyyy")</x:f>
        <x:v>May 2025</x:v>
      </x:c>
      <x:c r="U197" s="8" t="n">
        <x:f>YEAR(B197)</x:f>
        <x:v>2025</x:v>
      </x:c>
    </x:row>
    <x:row r="198">
      <x:c r="A198" s="8" t="str">
        <x:v>ORD-0194</x:v>
      </x:c>
      <x:c r="B198" s="22" t="n">
        <x:v>45747.27917142361</x:v>
      </x:c>
      <x:c r="C198" s="8" t="str">
        <x:v>CUS-002</x:v>
      </x:c>
      <x:c r="D198" s="8" t="str">
        <x:f>IFERROR(INDEX('Lookup Tables'!$B$5:$B$84,MATCH(C198,'Lookup Tables'!$A$5:$A$84,0)),"Unknown Customer")</x:f>
        <x:v>Diya Patel</x:v>
      </x:c>
      <x:c r="E198" s="8" t="str">
        <x:f>IFERROR(INDEX('Lookup Tables'!$C$5:$C$84,MATCH(C198,'Lookup Tables'!$A$5:$A$84,0)),"Unknown")</x:f>
        <x:v>Corporate</x:v>
      </x:c>
      <x:c r="F198" s="8" t="str">
        <x:v>Jaipur</x:v>
      </x:c>
      <x:c r="G198" s="8" t="str">
        <x:f>IFERROR(INDEX('Lookup Tables'!$N$5:$N$14,MATCH(F198,'Lookup Tables'!$M$5:$M$14,0)),"Unknown")</x:f>
        <x:v>North</x:v>
      </x:c>
      <x:c r="H198" s="8" t="str">
        <x:v>PRD-001</x:v>
      </x:c>
      <x:c r="I198" s="8" t="str">
        <x:f>IFERROR(INDEX('Lookup Tables'!$G$5:$G$16,MATCH(H198,'Lookup Tables'!$F$5:$F$16,0)),"Unknown Product")</x:f>
        <x:v>Wireless Mouse</x:v>
      </x:c>
      <x:c r="J198" s="8" t="str">
        <x:f>IFERROR(INDEX('Lookup Tables'!$H$5:$H$16,MATCH(H198,'Lookup Tables'!$F$5:$F$16,0)),"Unknown")</x:f>
        <x:v>Electronics</x:v>
      </x:c>
      <x:c r="K198" s="8" t="n">
        <x:v>1</x:v>
      </x:c>
      <x:c r="L198" s="9" t="n">
        <x:f>IFERROR(INDEX('Lookup Tables'!$I$5:$I$16,MATCH(H198,'Lookup Tables'!$F$5:$F$16,0)),0)</x:f>
        <x:v>899</x:v>
      </x:c>
      <x:c r="M198" s="23" t="n">
        <x:f>IF('Raw Data'!M198="",0,'Raw Data'!M198)</x:f>
        <x:v>0.05</x:v>
      </x:c>
      <x:c r="N198" s="9" t="n">
        <x:f>IF(S198="Completed",K198*L198*(1-M198),0)</x:f>
        <x:v>0</x:v>
      </x:c>
      <x:c r="O198" s="9" t="n">
        <x:f>IFERROR(INDEX('Lookup Tables'!$J$5:$J$16,MATCH(H198,'Lookup Tables'!$F$5:$F$16,0)),0)</x:f>
        <x:v>540</x:v>
      </x:c>
      <x:c r="P198" s="9" t="n">
        <x:f>IF(S198="Completed",K198*O198,0)</x:f>
        <x:v>0</x:v>
      </x:c>
      <x:c r="Q198" s="9" t="n">
        <x:f>N198-P198</x:f>
        <x:v>0</x:v>
      </x:c>
      <x:c r="R198" s="8" t="str">
        <x:f>IF(LOWER('Raw Data'!N198)="upi","UPI",'Raw Data'!N198)</x:f>
        <x:v>Cash on Delivery</x:v>
      </x:c>
      <x:c r="S198" s="8" t="str">
        <x:v>Cancelled</x:v>
      </x:c>
      <x:c r="T198" s="8" t="str">
        <x:f>TEXT(B198,"mmm yyyy")</x:f>
        <x:v>Mar 2025</x:v>
      </x:c>
      <x:c r="U198" s="8" t="n">
        <x:f>YEAR(B198)</x:f>
        <x:v>2025</x:v>
      </x:c>
    </x:row>
    <x:row r="199">
      <x:c r="A199" s="8" t="str">
        <x:v>ORD-0195</x:v>
      </x:c>
      <x:c r="B199" s="22" t="n">
        <x:v>45933.88039579861</x:v>
      </x:c>
      <x:c r="C199" s="8" t="str">
        <x:v>CUS-030</x:v>
      </x:c>
      <x:c r="D199" s="8" t="str">
        <x:f>IFERROR(INDEX('Lookup Tables'!$B$5:$B$84,MATCH(C199,'Lookup Tables'!$A$5:$A$84,0)),"Unknown Customer")</x:f>
        <x:v>Saanvi Iyer 2</x:v>
      </x:c>
      <x:c r="E199" s="8" t="str">
        <x:f>IFERROR(INDEX('Lookup Tables'!$C$5:$C$84,MATCH(C199,'Lookup Tables'!$A$5:$A$84,0)),"Unknown")</x:f>
        <x:v>Small Business</x:v>
      </x:c>
      <x:c r="F199" s="8" t="str">
        <x:v>Hyderabad</x:v>
      </x:c>
      <x:c r="G199" s="8" t="str">
        <x:f>IFERROR(INDEX('Lookup Tables'!$N$5:$N$14,MATCH(F199,'Lookup Tables'!$M$5:$M$14,0)),"Unknown")</x:f>
        <x:v>South</x:v>
      </x:c>
      <x:c r="H199" s="8" t="str">
        <x:v>PRD-004</x:v>
      </x:c>
      <x:c r="I199" s="8" t="str">
        <x:f>IFERROR(INDEX('Lookup Tables'!$G$5:$G$16,MATCH(H199,'Lookup Tables'!$F$5:$F$16,0)),"Unknown Product")</x:f>
        <x:v>Laptop Stand</x:v>
      </x:c>
      <x:c r="J199" s="8" t="str">
        <x:f>IFERROR(INDEX('Lookup Tables'!$H$5:$H$16,MATCH(H199,'Lookup Tables'!$F$5:$F$16,0)),"Unknown")</x:f>
        <x:v>Office Supplies</x:v>
      </x:c>
      <x:c r="K199" s="8" t="n">
        <x:v>4</x:v>
      </x:c>
      <x:c r="L199" s="9" t="n">
        <x:f>IFERROR(INDEX('Lookup Tables'!$I$5:$I$16,MATCH(H199,'Lookup Tables'!$F$5:$F$16,0)),0)</x:f>
        <x:v>1299</x:v>
      </x:c>
      <x:c r="M199" s="23" t="n">
        <x:f>IF('Raw Data'!M199="",0,'Raw Data'!M199)</x:f>
        <x:v>0.2</x:v>
      </x:c>
      <x:c r="N199" s="9" t="n">
        <x:f>IF(S199="Completed",K199*L199*(1-M199),0)</x:f>
        <x:v>4156.8</x:v>
      </x:c>
      <x:c r="O199" s="9" t="n">
        <x:f>IFERROR(INDEX('Lookup Tables'!$J$5:$J$16,MATCH(H199,'Lookup Tables'!$F$5:$F$16,0)),0)</x:f>
        <x:v>760</x:v>
      </x:c>
      <x:c r="P199" s="9" t="n">
        <x:f>IF(S199="Completed",K199*O199,0)</x:f>
        <x:v>3040</x:v>
      </x:c>
      <x:c r="Q199" s="9" t="n">
        <x:f>N199-P199</x:f>
        <x:v>1116.8000000000002</x:v>
      </x:c>
      <x:c r="R199" s="8" t="str">
        <x:f>IF(LOWER('Raw Data'!N199)="upi","UPI",'Raw Data'!N199)</x:f>
        <x:v>UPI</x:v>
      </x:c>
      <x:c r="S199" s="8" t="str">
        <x:v>Completed</x:v>
      </x:c>
      <x:c r="T199" s="8" t="str">
        <x:f>TEXT(B199,"mmm yyyy")</x:f>
        <x:v>Oct 2025</x:v>
      </x:c>
      <x:c r="U199" s="8" t="n">
        <x:f>YEAR(B199)</x:f>
        <x:v>2025</x:v>
      </x:c>
    </x:row>
    <x:row r="200">
      <x:c r="A200" s="8" t="str">
        <x:v>ORD-0196</x:v>
      </x:c>
      <x:c r="B200" s="22" t="n">
        <x:v>45940.929157418985</x:v>
      </x:c>
      <x:c r="C200" s="8" t="str">
        <x:v>CUS-006</x:v>
      </x:c>
      <x:c r="D200" s="8" t="str">
        <x:f>IFERROR(INDEX('Lookup Tables'!$B$5:$B$84,MATCH(C200,'Lookup Tables'!$A$5:$A$84,0)),"Unknown Customer")</x:f>
        <x:v>Isha Mehta</x:v>
      </x:c>
      <x:c r="E200" s="8" t="str">
        <x:f>IFERROR(INDEX('Lookup Tables'!$C$5:$C$84,MATCH(C200,'Lookup Tables'!$A$5:$A$84,0)),"Unknown")</x:f>
        <x:v>Small Business</x:v>
      </x:c>
      <x:c r="F200" s="8" t="str">
        <x:v>Jaipur</x:v>
      </x:c>
      <x:c r="G200" s="8" t="str">
        <x:f>IFERROR(INDEX('Lookup Tables'!$N$5:$N$14,MATCH(F200,'Lookup Tables'!$M$5:$M$14,0)),"Unknown")</x:f>
        <x:v>North</x:v>
      </x:c>
      <x:c r="H200" s="8" t="str">
        <x:v>PRD-007</x:v>
      </x:c>
      <x:c r="I200" s="8" t="str">
        <x:f>IFERROR(INDEX('Lookup Tables'!$G$5:$G$16,MATCH(H200,'Lookup Tables'!$F$5:$F$16,0)),"Unknown Product")</x:f>
        <x:v>Electric Kettle</x:v>
      </x:c>
      <x:c r="J200" s="8" t="str">
        <x:f>IFERROR(INDEX('Lookup Tables'!$H$5:$H$16,MATCH(H200,'Lookup Tables'!$F$5:$F$16,0)),"Unknown")</x:f>
        <x:v>Home &amp; Kitchen</x:v>
      </x:c>
      <x:c r="K200" s="8" t="n">
        <x:v>2</x:v>
      </x:c>
      <x:c r="L200" s="9" t="n">
        <x:f>IFERROR(INDEX('Lookup Tables'!$I$5:$I$16,MATCH(H200,'Lookup Tables'!$F$5:$F$16,0)),0)</x:f>
        <x:v>1699</x:v>
      </x:c>
      <x:c r="M200" s="23" t="n">
        <x:f>IF('Raw Data'!M200="",0,'Raw Data'!M200)</x:f>
        <x:v>0</x:v>
      </x:c>
      <x:c r="N200" s="9" t="n">
        <x:f>IF(S200="Completed",K200*L200*(1-M200),0)</x:f>
        <x:v>3398</x:v>
      </x:c>
      <x:c r="O200" s="9" t="n">
        <x:f>IFERROR(INDEX('Lookup Tables'!$J$5:$J$16,MATCH(H200,'Lookup Tables'!$F$5:$F$16,0)),0)</x:f>
        <x:v>1040</x:v>
      </x:c>
      <x:c r="P200" s="9" t="n">
        <x:f>IF(S200="Completed",K200*O200,0)</x:f>
        <x:v>2080</x:v>
      </x:c>
      <x:c r="Q200" s="9" t="n">
        <x:f>N200-P200</x:f>
        <x:v>1318</x:v>
      </x:c>
      <x:c r="R200" s="8" t="str">
        <x:f>IF(LOWER('Raw Data'!N200)="upi","UPI",'Raw Data'!N200)</x:f>
        <x:v>Cash on Delivery</x:v>
      </x:c>
      <x:c r="S200" s="8" t="str">
        <x:v>Completed</x:v>
      </x:c>
      <x:c r="T200" s="8" t="str">
        <x:f>TEXT(B200,"mmm yyyy")</x:f>
        <x:v>Oct 2025</x:v>
      </x:c>
      <x:c r="U200" s="8" t="n">
        <x:f>YEAR(B200)</x:f>
        <x:v>2025</x:v>
      </x:c>
    </x:row>
    <x:row r="201">
      <x:c r="A201" s="8" t="str">
        <x:v>ORD-0197</x:v>
      </x:c>
      <x:c r="B201" s="22" t="n">
        <x:v>45801.20834326389</x:v>
      </x:c>
      <x:c r="C201" s="8" t="str">
        <x:v>CUS-032</x:v>
      </x:c>
      <x:c r="D201" s="8" t="str">
        <x:f>IFERROR(INDEX('Lookup Tables'!$B$5:$B$84,MATCH(C201,'Lookup Tables'!$A$5:$A$84,0)),"Unknown Customer")</x:f>
        <x:v>Priya Kapoor 2</x:v>
      </x:c>
      <x:c r="E201" s="8" t="str">
        <x:f>IFERROR(INDEX('Lookup Tables'!$C$5:$C$84,MATCH(C201,'Lookup Tables'!$A$5:$A$84,0)),"Unknown")</x:f>
        <x:v>Corporate</x:v>
      </x:c>
      <x:c r="F201" s="8" t="str">
        <x:v>Kolkata</x:v>
      </x:c>
      <x:c r="G201" s="8" t="str">
        <x:f>IFERROR(INDEX('Lookup Tables'!$N$5:$N$14,MATCH(F201,'Lookup Tables'!$M$5:$M$14,0)),"Unknown")</x:f>
        <x:v>East</x:v>
      </x:c>
      <x:c r="H201" s="8" t="str">
        <x:v>PRD-006</x:v>
      </x:c>
      <x:c r="I201" s="8" t="str">
        <x:f>IFERROR(INDEX('Lookup Tables'!$G$5:$G$16,MATCH(H201,'Lookup Tables'!$F$5:$F$16,0)),"Unknown Product")</x:f>
        <x:v>Desk Organiser</x:v>
      </x:c>
      <x:c r="J201" s="8" t="str">
        <x:f>IFERROR(INDEX('Lookup Tables'!$H$5:$H$16,MATCH(H201,'Lookup Tables'!$F$5:$F$16,0)),"Unknown")</x:f>
        <x:v>Office Supplies</x:v>
      </x:c>
      <x:c r="K201" s="8" t="n">
        <x:v>1</x:v>
      </x:c>
      <x:c r="L201" s="9" t="n">
        <x:f>IFERROR(INDEX('Lookup Tables'!$I$5:$I$16,MATCH(H201,'Lookup Tables'!$F$5:$F$16,0)),0)</x:f>
        <x:v>699</x:v>
      </x:c>
      <x:c r="M201" s="23" t="n">
        <x:f>IF('Raw Data'!M201="",0,'Raw Data'!M201)</x:f>
        <x:v>0</x:v>
      </x:c>
      <x:c r="N201" s="9" t="n">
        <x:f>IF(S201="Completed",K201*L201*(1-M201),0)</x:f>
        <x:v>699</x:v>
      </x:c>
      <x:c r="O201" s="9" t="n">
        <x:f>IFERROR(INDEX('Lookup Tables'!$J$5:$J$16,MATCH(H201,'Lookup Tables'!$F$5:$F$16,0)),0)</x:f>
        <x:v>390</x:v>
      </x:c>
      <x:c r="P201" s="9" t="n">
        <x:f>IF(S201="Completed",K201*O201,0)</x:f>
        <x:v>390</x:v>
      </x:c>
      <x:c r="Q201" s="9" t="n">
        <x:f>N201-P201</x:f>
        <x:v>309</x:v>
      </x:c>
      <x:c r="R201" s="8" t="str">
        <x:f>IF(LOWER('Raw Data'!N201)="upi","UPI",'Raw Data'!N201)</x:f>
        <x:v>Cash on Delivery</x:v>
      </x:c>
      <x:c r="S201" s="8" t="str">
        <x:v>Completed</x:v>
      </x:c>
      <x:c r="T201" s="8" t="str">
        <x:f>TEXT(B201,"mmm yyyy")</x:f>
        <x:v>May 2025</x:v>
      </x:c>
      <x:c r="U201" s="8" t="n">
        <x:f>YEAR(B201)</x:f>
        <x:v>2025</x:v>
      </x:c>
    </x:row>
    <x:row r="202">
      <x:c r="A202" s="8" t="str">
        <x:v>ORD-0198</x:v>
      </x:c>
      <x:c r="B202" s="22" t="n">
        <x:v>45713.47206695602</x:v>
      </x:c>
      <x:c r="C202" s="8" t="str">
        <x:v>CUS-037</x:v>
      </x:c>
      <x:c r="D202" s="8" t="str">
        <x:f>IFERROR(INDEX('Lookup Tables'!$B$5:$B$84,MATCH(C202,'Lookup Tables'!$A$5:$A$84,0)),"Unknown Customer")</x:f>
        <x:v>Vikram Yadav 2</x:v>
      </x:c>
      <x:c r="E202" s="8" t="str">
        <x:f>IFERROR(INDEX('Lookup Tables'!$C$5:$C$84,MATCH(C202,'Lookup Tables'!$A$5:$A$84,0)),"Unknown")</x:f>
        <x:v>Consumer</x:v>
      </x:c>
      <x:c r="F202" s="8" t="str">
        <x:v>Chennai</x:v>
      </x:c>
      <x:c r="G202" s="8" t="str">
        <x:f>IFERROR(INDEX('Lookup Tables'!$N$5:$N$14,MATCH(F202,'Lookup Tables'!$M$5:$M$14,0)),"Unknown")</x:f>
        <x:v>South</x:v>
      </x:c>
      <x:c r="H202" s="8" t="str">
        <x:v>PRD-005</x:v>
      </x:c>
      <x:c r="I202" s="8" t="str">
        <x:f>IFERROR(INDEX('Lookup Tables'!$G$5:$G$16,MATCH(H202,'Lookup Tables'!$F$5:$F$16,0)),"Unknown Product")</x:f>
        <x:v>Executive Notebook</x:v>
      </x:c>
      <x:c r="J202" s="8" t="str">
        <x:f>IFERROR(INDEX('Lookup Tables'!$H$5:$H$16,MATCH(H202,'Lookup Tables'!$F$5:$F$16,0)),"Unknown")</x:f>
        <x:v>Office Supplies</x:v>
      </x:c>
      <x:c r="K202" s="8" t="n">
        <x:v>5</x:v>
      </x:c>
      <x:c r="L202" s="9" t="n">
        <x:f>IFERROR(INDEX('Lookup Tables'!$I$5:$I$16,MATCH(H202,'Lookup Tables'!$F$5:$F$16,0)),0)</x:f>
        <x:v>349</x:v>
      </x:c>
      <x:c r="M202" s="23" t="n">
        <x:f>IF('Raw Data'!M202="",0,'Raw Data'!M202)</x:f>
        <x:v>0.15</x:v>
      </x:c>
      <x:c r="N202" s="9" t="n">
        <x:f>IF(S202="Completed",K202*L202*(1-M202),0)</x:f>
        <x:v>1483.25</x:v>
      </x:c>
      <x:c r="O202" s="9" t="n">
        <x:f>IFERROR(INDEX('Lookup Tables'!$J$5:$J$16,MATCH(H202,'Lookup Tables'!$F$5:$F$16,0)),0)</x:f>
        <x:v>170</x:v>
      </x:c>
      <x:c r="P202" s="9" t="n">
        <x:f>IF(S202="Completed",K202*O202,0)</x:f>
        <x:v>850</x:v>
      </x:c>
      <x:c r="Q202" s="9" t="n">
        <x:f>N202-P202</x:f>
        <x:v>633.25</x:v>
      </x:c>
      <x:c r="R202" s="8" t="str">
        <x:f>IF(LOWER('Raw Data'!N202)="upi","UPI",'Raw Data'!N202)</x:f>
        <x:v>UPI</x:v>
      </x:c>
      <x:c r="S202" s="8" t="str">
        <x:v>Completed</x:v>
      </x:c>
      <x:c r="T202" s="8" t="str">
        <x:f>TEXT(B202,"mmm yyyy")</x:f>
        <x:v>Feb 2025</x:v>
      </x:c>
      <x:c r="U202" s="8" t="n">
        <x:f>YEAR(B202)</x:f>
        <x:v>2025</x:v>
      </x:c>
    </x:row>
    <x:row r="203">
      <x:c r="A203" s="8" t="str">
        <x:v>ORD-0199</x:v>
      </x:c>
      <x:c r="B203" s="22" t="n">
        <x:v>46008.42859472222</x:v>
      </x:c>
      <x:c r="C203" s="8" t="str">
        <x:v>CUS-022</x:v>
      </x:c>
      <x:c r="D203" s="8" t="str">
        <x:f>IFERROR(INDEX('Lookup Tables'!$B$5:$B$84,MATCH(C203,'Lookup Tables'!$A$5:$A$84,0)),"Unknown Customer")</x:f>
        <x:v>Diya Patel 2</x:v>
      </x:c>
      <x:c r="E203" s="8" t="str">
        <x:f>IFERROR(INDEX('Lookup Tables'!$C$5:$C$84,MATCH(C203,'Lookup Tables'!$A$5:$A$84,0)),"Unknown")</x:f>
        <x:v>Consumer</x:v>
      </x:c>
      <x:c r="F203" s="8" t="str">
        <x:v>Jaipur</x:v>
      </x:c>
      <x:c r="G203" s="8" t="str">
        <x:f>IFERROR(INDEX('Lookup Tables'!$N$5:$N$14,MATCH(F203,'Lookup Tables'!$M$5:$M$14,0)),"Unknown")</x:f>
        <x:v>North</x:v>
      </x:c>
      <x:c r="H203" s="8" t="str">
        <x:v>PRD-004</x:v>
      </x:c>
      <x:c r="I203" s="8" t="str">
        <x:f>IFERROR(INDEX('Lookup Tables'!$G$5:$G$16,MATCH(H203,'Lookup Tables'!$F$5:$F$16,0)),"Unknown Product")</x:f>
        <x:v>Laptop Stand</x:v>
      </x:c>
      <x:c r="J203" s="8" t="str">
        <x:f>IFERROR(INDEX('Lookup Tables'!$H$5:$H$16,MATCH(H203,'Lookup Tables'!$F$5:$F$16,0)),"Unknown")</x:f>
        <x:v>Office Supplies</x:v>
      </x:c>
      <x:c r="K203" s="8" t="n">
        <x:v>4</x:v>
      </x:c>
      <x:c r="L203" s="9" t="n">
        <x:f>IFERROR(INDEX('Lookup Tables'!$I$5:$I$16,MATCH(H203,'Lookup Tables'!$F$5:$F$16,0)),0)</x:f>
        <x:v>1299</x:v>
      </x:c>
      <x:c r="M203" s="23" t="n">
        <x:f>IF('Raw Data'!M203="",0,'Raw Data'!M203)</x:f>
        <x:v>0.05</x:v>
      </x:c>
      <x:c r="N203" s="9" t="n">
        <x:f>IF(S203="Completed",K203*L203*(1-M203),0)</x:f>
        <x:v>4936.2</x:v>
      </x:c>
      <x:c r="O203" s="9" t="n">
        <x:f>IFERROR(INDEX('Lookup Tables'!$J$5:$J$16,MATCH(H203,'Lookup Tables'!$F$5:$F$16,0)),0)</x:f>
        <x:v>760</x:v>
      </x:c>
      <x:c r="P203" s="9" t="n">
        <x:f>IF(S203="Completed",K203*O203,0)</x:f>
        <x:v>3040</x:v>
      </x:c>
      <x:c r="Q203" s="9" t="n">
        <x:f>N203-P203</x:f>
        <x:v>1896.1999999999998</x:v>
      </x:c>
      <x:c r="R203" s="8" t="str">
        <x:f>IF(LOWER('Raw Data'!N203)="upi","UPI",'Raw Data'!N203)</x:f>
        <x:v>Debit Card</x:v>
      </x:c>
      <x:c r="S203" s="8" t="str">
        <x:v>Completed</x:v>
      </x:c>
      <x:c r="T203" s="8" t="str">
        <x:f>TEXT(B203,"mmm yyyy")</x:f>
        <x:v>Dec 2025</x:v>
      </x:c>
      <x:c r="U203" s="8" t="n">
        <x:f>YEAR(B203)</x:f>
        <x:v>2025</x:v>
      </x:c>
    </x:row>
    <x:row r="204">
      <x:c r="A204" s="8" t="str">
        <x:v>ORD-0200</x:v>
      </x:c>
      <x:c r="B204" s="22" t="n">
        <x:v>45896.33812709491</x:v>
      </x:c>
      <x:c r="C204" s="8" t="str">
        <x:v>CUS-036</x:v>
      </x:c>
      <x:c r="D204" s="8" t="str">
        <x:f>IFERROR(INDEX('Lookup Tables'!$B$5:$B$84,MATCH(C204,'Lookup Tables'!$A$5:$A$84,0)),"Unknown Customer")</x:f>
        <x:v>Pooja Saxena 2</x:v>
      </x:c>
      <x:c r="E204" s="8" t="str">
        <x:f>IFERROR(INDEX('Lookup Tables'!$C$5:$C$84,MATCH(C204,'Lookup Tables'!$A$5:$A$84,0)),"Unknown")</x:f>
        <x:v>Small Business</x:v>
      </x:c>
      <x:c r="F204" s="8" t="str">
        <x:v>Pune</x:v>
      </x:c>
      <x:c r="G204" s="8" t="str">
        <x:f>IFERROR(INDEX('Lookup Tables'!$N$5:$N$14,MATCH(F204,'Lookup Tables'!$M$5:$M$14,0)),"Unknown")</x:f>
        <x:v>West</x:v>
      </x:c>
      <x:c r="H204" s="8" t="str">
        <x:v>PRD-007</x:v>
      </x:c>
      <x:c r="I204" s="8" t="str">
        <x:f>IFERROR(INDEX('Lookup Tables'!$G$5:$G$16,MATCH(H204,'Lookup Tables'!$F$5:$F$16,0)),"Unknown Product")</x:f>
        <x:v>Electric Kettle</x:v>
      </x:c>
      <x:c r="J204" s="8" t="str">
        <x:f>IFERROR(INDEX('Lookup Tables'!$H$5:$H$16,MATCH(H204,'Lookup Tables'!$F$5:$F$16,0)),"Unknown")</x:f>
        <x:v>Home &amp; Kitchen</x:v>
      </x:c>
      <x:c r="K204" s="8" t="n">
        <x:v>4</x:v>
      </x:c>
      <x:c r="L204" s="9" t="n">
        <x:f>IFERROR(INDEX('Lookup Tables'!$I$5:$I$16,MATCH(H204,'Lookup Tables'!$F$5:$F$16,0)),0)</x:f>
        <x:v>1699</x:v>
      </x:c>
      <x:c r="M204" s="23" t="n">
        <x:f>IF('Raw Data'!M204="",0,'Raw Data'!M204)</x:f>
        <x:v>0</x:v>
      </x:c>
      <x:c r="N204" s="9" t="n">
        <x:f>IF(S204="Completed",K204*L204*(1-M204),0)</x:f>
        <x:v>0</x:v>
      </x:c>
      <x:c r="O204" s="9" t="n">
        <x:f>IFERROR(INDEX('Lookup Tables'!$J$5:$J$16,MATCH(H204,'Lookup Tables'!$F$5:$F$16,0)),0)</x:f>
        <x:v>1040</x:v>
      </x:c>
      <x:c r="P204" s="9" t="n">
        <x:f>IF(S204="Completed",K204*O204,0)</x:f>
        <x:v>0</x:v>
      </x:c>
      <x:c r="Q204" s="9" t="n">
        <x:f>N204-P204</x:f>
        <x:v>0</x:v>
      </x:c>
      <x:c r="R204" s="8" t="str">
        <x:f>IF(LOWER('Raw Data'!N204)="upi","UPI",'Raw Data'!N204)</x:f>
        <x:v>Credit Card</x:v>
      </x:c>
      <x:c r="S204" s="8" t="str">
        <x:v>Returned</x:v>
      </x:c>
      <x:c r="T204" s="8" t="str">
        <x:f>TEXT(B204,"mmm yyyy")</x:f>
        <x:v>Aug 2025</x:v>
      </x:c>
      <x:c r="U204" s="8" t="n">
        <x:f>YEAR(B204)</x:f>
        <x:v>2025</x:v>
      </x:c>
    </x:row>
    <x:row r="205">
      <x:c r="A205" s="8" t="str">
        <x:v>ORD-0201</x:v>
      </x:c>
      <x:c r="B205" s="22" t="n">
        <x:v>45839.79992237269</x:v>
      </x:c>
      <x:c r="C205" s="8" t="str">
        <x:v>CUS-012</x:v>
      </x:c>
      <x:c r="D205" s="8" t="str">
        <x:f>IFERROR(INDEX('Lookup Tables'!$B$5:$B$84,MATCH(C205,'Lookup Tables'!$A$5:$A$84,0)),"Unknown Customer")</x:f>
        <x:v>Priya Kapoor</x:v>
      </x:c>
      <x:c r="E205" s="8" t="str">
        <x:f>IFERROR(INDEX('Lookup Tables'!$C$5:$C$84,MATCH(C205,'Lookup Tables'!$A$5:$A$84,0)),"Unknown")</x:f>
        <x:v>Small Business</x:v>
      </x:c>
      <x:c r="F205" s="8" t="str">
        <x:v>Hyderabad</x:v>
      </x:c>
      <x:c r="G205" s="8" t="str">
        <x:f>IFERROR(INDEX('Lookup Tables'!$N$5:$N$14,MATCH(F205,'Lookup Tables'!$M$5:$M$14,0)),"Unknown")</x:f>
        <x:v>South</x:v>
      </x:c>
      <x:c r="H205" s="8" t="str">
        <x:v>PRD-011</x:v>
      </x:c>
      <x:c r="I205" s="8" t="str">
        <x:f>IFERROR(INDEX('Lookup Tables'!$G$5:$G$16,MATCH(H205,'Lookup Tables'!$F$5:$F$16,0)),"Unknown Product")</x:f>
        <x:v>Classic Wallet</x:v>
      </x:c>
      <x:c r="J205" s="8" t="str">
        <x:f>IFERROR(INDEX('Lookup Tables'!$H$5:$H$16,MATCH(H205,'Lookup Tables'!$F$5:$F$16,0)),"Unknown")</x:f>
        <x:v>Fashion</x:v>
      </x:c>
      <x:c r="K205" s="8" t="n">
        <x:v>3</x:v>
      </x:c>
      <x:c r="L205" s="9" t="n">
        <x:f>IFERROR(INDEX('Lookup Tables'!$I$5:$I$16,MATCH(H205,'Lookup Tables'!$F$5:$F$16,0)),0)</x:f>
        <x:v>1199</x:v>
      </x:c>
      <x:c r="M205" s="23" t="n">
        <x:f>IF('Raw Data'!M205="",0,'Raw Data'!M205)</x:f>
        <x:v>0.15</x:v>
      </x:c>
      <x:c r="N205" s="9" t="n">
        <x:f>IF(S205="Completed",K205*L205*(1-M205),0)</x:f>
        <x:v>3057.45</x:v>
      </x:c>
      <x:c r="O205" s="9" t="n">
        <x:f>IFERROR(INDEX('Lookup Tables'!$J$5:$J$16,MATCH(H205,'Lookup Tables'!$F$5:$F$16,0)),0)</x:f>
        <x:v>690</x:v>
      </x:c>
      <x:c r="P205" s="9" t="n">
        <x:f>IF(S205="Completed",K205*O205,0)</x:f>
        <x:v>2070</x:v>
      </x:c>
      <x:c r="Q205" s="9" t="n">
        <x:f>N205-P205</x:f>
        <x:v>987.4499999999998</x:v>
      </x:c>
      <x:c r="R205" s="8" t="str">
        <x:f>IF(LOWER('Raw Data'!N205)="upi","UPI",'Raw Data'!N205)</x:f>
        <x:v>Credit Card</x:v>
      </x:c>
      <x:c r="S205" s="8" t="str">
        <x:v>Completed</x:v>
      </x:c>
      <x:c r="T205" s="8" t="str">
        <x:f>TEXT(B205,"mmm yyyy")</x:f>
        <x:v>Jul 2025</x:v>
      </x:c>
      <x:c r="U205" s="8" t="n">
        <x:f>YEAR(B205)</x:f>
        <x:v>2025</x:v>
      </x:c>
    </x:row>
    <x:row r="206">
      <x:c r="A206" s="8" t="str">
        <x:v>ORD-0202</x:v>
      </x:c>
      <x:c r="B206" s="22" t="n">
        <x:v>45916.24506085648</x:v>
      </x:c>
      <x:c r="C206" s="8" t="str">
        <x:v>CUS-058</x:v>
      </x:c>
      <x:c r="D206" s="8" t="str">
        <x:f>IFERROR(INDEX('Lookup Tables'!$B$5:$B$84,MATCH(C206,'Lookup Tables'!$A$5:$A$84,0)),"Unknown Customer")</x:f>
        <x:v>Nisha Bansal 3</x:v>
      </x:c>
      <x:c r="E206" s="8" t="str">
        <x:f>IFERROR(INDEX('Lookup Tables'!$C$5:$C$84,MATCH(C206,'Lookup Tables'!$A$5:$A$84,0)),"Unknown")</x:f>
        <x:v>Consumer</x:v>
      </x:c>
      <x:c r="F206" s="8" t="str">
        <x:v>Pune</x:v>
      </x:c>
      <x:c r="G206" s="8" t="str">
        <x:f>IFERROR(INDEX('Lookup Tables'!$N$5:$N$14,MATCH(F206,'Lookup Tables'!$M$5:$M$14,0)),"Unknown")</x:f>
        <x:v>West</x:v>
      </x:c>
      <x:c r="H206" s="8" t="str">
        <x:v>PRD-003</x:v>
      </x:c>
      <x:c r="I206" s="8" t="str">
        <x:f>IFERROR(INDEX('Lookup Tables'!$G$5:$G$16,MATCH(H206,'Lookup Tables'!$F$5:$F$16,0)),"Unknown Product")</x:f>
        <x:v>USB-C Hub</x:v>
      </x:c>
      <x:c r="J206" s="8" t="str">
        <x:f>IFERROR(INDEX('Lookup Tables'!$H$5:$H$16,MATCH(H206,'Lookup Tables'!$F$5:$F$16,0)),"Unknown")</x:f>
        <x:v>Electronics</x:v>
      </x:c>
      <x:c r="K206" s="8" t="n">
        <x:v>3</x:v>
      </x:c>
      <x:c r="L206" s="9" t="n">
        <x:f>IFERROR(INDEX('Lookup Tables'!$I$5:$I$16,MATCH(H206,'Lookup Tables'!$F$5:$F$16,0)),0)</x:f>
        <x:v>1899</x:v>
      </x:c>
      <x:c r="M206" s="23" t="n">
        <x:f>IF('Raw Data'!M206="",0,'Raw Data'!M206)</x:f>
        <x:v>0.2</x:v>
      </x:c>
      <x:c r="N206" s="9" t="n">
        <x:f>IF(S206="Completed",K206*L206*(1-M206),0)</x:f>
        <x:v>0</x:v>
      </x:c>
      <x:c r="O206" s="9" t="n">
        <x:f>IFERROR(INDEX('Lookup Tables'!$J$5:$J$16,MATCH(H206,'Lookup Tables'!$F$5:$F$16,0)),0)</x:f>
        <x:v>1180</x:v>
      </x:c>
      <x:c r="P206" s="9" t="n">
        <x:f>IF(S206="Completed",K206*O206,0)</x:f>
        <x:v>0</x:v>
      </x:c>
      <x:c r="Q206" s="9" t="n">
        <x:f>N206-P206</x:f>
        <x:v>0</x:v>
      </x:c>
      <x:c r="R206" s="8" t="str">
        <x:f>IF(LOWER('Raw Data'!N206)="upi","UPI",'Raw Data'!N206)</x:f>
        <x:v>Cash on Delivery</x:v>
      </x:c>
      <x:c r="S206" s="8" t="str">
        <x:v>Cancelled</x:v>
      </x:c>
      <x:c r="T206" s="8" t="str">
        <x:f>TEXT(B206,"mmm yyyy")</x:f>
        <x:v>Sep 2025</x:v>
      </x:c>
      <x:c r="U206" s="8" t="n">
        <x:f>YEAR(B206)</x:f>
        <x:v>2025</x:v>
      </x:c>
    </x:row>
    <x:row r="207">
      <x:c r="A207" s="8" t="str">
        <x:v>ORD-0203</x:v>
      </x:c>
      <x:c r="B207" s="22" t="n">
        <x:v>45764.01430877315</x:v>
      </x:c>
      <x:c r="C207" s="8" t="str">
        <x:v>CUS-024</x:v>
      </x:c>
      <x:c r="D207" s="8" t="str">
        <x:f>IFERROR(INDEX('Lookup Tables'!$B$5:$B$84,MATCH(C207,'Lookup Tables'!$A$5:$A$84,0)),"Unknown Customer")</x:f>
        <x:v>Ananya Gupta 2</x:v>
      </x:c>
      <x:c r="E207" s="8" t="str">
        <x:f>IFERROR(INDEX('Lookup Tables'!$C$5:$C$84,MATCH(C207,'Lookup Tables'!$A$5:$A$84,0)),"Unknown")</x:f>
        <x:v>Small Business</x:v>
      </x:c>
      <x:c r="F207" s="8" t="str">
        <x:v>Hyderabad</x:v>
      </x:c>
      <x:c r="G207" s="8" t="str">
        <x:f>IFERROR(INDEX('Lookup Tables'!$N$5:$N$14,MATCH(F207,'Lookup Tables'!$M$5:$M$14,0)),"Unknown")</x:f>
        <x:v>South</x:v>
      </x:c>
      <x:c r="H207" s="8" t="str">
        <x:v>PRD-006</x:v>
      </x:c>
      <x:c r="I207" s="8" t="str">
        <x:f>IFERROR(INDEX('Lookup Tables'!$G$5:$G$16,MATCH(H207,'Lookup Tables'!$F$5:$F$16,0)),"Unknown Product")</x:f>
        <x:v>Desk Organiser</x:v>
      </x:c>
      <x:c r="J207" s="8" t="str">
        <x:f>IFERROR(INDEX('Lookup Tables'!$H$5:$H$16,MATCH(H207,'Lookup Tables'!$F$5:$F$16,0)),"Unknown")</x:f>
        <x:v>Office Supplies</x:v>
      </x:c>
      <x:c r="K207" s="8" t="n">
        <x:v>1</x:v>
      </x:c>
      <x:c r="L207" s="9" t="n">
        <x:f>IFERROR(INDEX('Lookup Tables'!$I$5:$I$16,MATCH(H207,'Lookup Tables'!$F$5:$F$16,0)),0)</x:f>
        <x:v>699</x:v>
      </x:c>
      <x:c r="M207" s="23" t="n">
        <x:f>IF('Raw Data'!M207="",0,'Raw Data'!M207)</x:f>
        <x:v>0.1</x:v>
      </x:c>
      <x:c r="N207" s="9" t="n">
        <x:f>IF(S207="Completed",K207*L207*(1-M207),0)</x:f>
        <x:v>0</x:v>
      </x:c>
      <x:c r="O207" s="9" t="n">
        <x:f>IFERROR(INDEX('Lookup Tables'!$J$5:$J$16,MATCH(H207,'Lookup Tables'!$F$5:$F$16,0)),0)</x:f>
        <x:v>390</x:v>
      </x:c>
      <x:c r="P207" s="9" t="n">
        <x:f>IF(S207="Completed",K207*O207,0)</x:f>
        <x:v>0</x:v>
      </x:c>
      <x:c r="Q207" s="9" t="n">
        <x:f>N207-P207</x:f>
        <x:v>0</x:v>
      </x:c>
      <x:c r="R207" s="8" t="str">
        <x:f>IF(LOWER('Raw Data'!N207)="upi","UPI",'Raw Data'!N207)</x:f>
        <x:v>Cash on Delivery</x:v>
      </x:c>
      <x:c r="S207" s="8" t="str">
        <x:v>Returned</x:v>
      </x:c>
      <x:c r="T207" s="8" t="str">
        <x:f>TEXT(B207,"mmm yyyy")</x:f>
        <x:v>Apr 2025</x:v>
      </x:c>
      <x:c r="U207" s="8" t="n">
        <x:f>YEAR(B207)</x:f>
        <x:v>2025</x:v>
      </x:c>
    </x:row>
    <x:row r="208">
      <x:c r="A208" s="8" t="str">
        <x:v>ORD-0204</x:v>
      </x:c>
      <x:c r="B208" s="22" t="n">
        <x:v>45832.93329663194</x:v>
      </x:c>
      <x:c r="C208" s="8" t="str">
        <x:v>CUS-025</x:v>
      </x:c>
      <x:c r="D208" s="8" t="str">
        <x:f>IFERROR(INDEX('Lookup Tables'!$B$5:$B$84,MATCH(C208,'Lookup Tables'!$A$5:$A$84,0)),"Unknown Customer")</x:f>
        <x:v>Arjun Verma 2</x:v>
      </x:c>
      <x:c r="E208" s="8" t="str">
        <x:f>IFERROR(INDEX('Lookup Tables'!$C$5:$C$84,MATCH(C208,'Lookup Tables'!$A$5:$A$84,0)),"Unknown")</x:f>
        <x:v>Consumer</x:v>
      </x:c>
      <x:c r="F208" s="8" t="str">
        <x:v>Pune</x:v>
      </x:c>
      <x:c r="G208" s="8" t="str">
        <x:f>IFERROR(INDEX('Lookup Tables'!$N$5:$N$14,MATCH(F208,'Lookup Tables'!$M$5:$M$14,0)),"Unknown")</x:f>
        <x:v>West</x:v>
      </x:c>
      <x:c r="H208" s="8" t="str">
        <x:v>PRD-010</x:v>
      </x:c>
      <x:c r="I208" s="8" t="str">
        <x:f>IFERROR(INDEX('Lookup Tables'!$G$5:$G$16,MATCH(H208,'Lookup Tables'!$F$5:$F$16,0)),"Unknown Product")</x:f>
        <x:v>Travel Backpack</x:v>
      </x:c>
      <x:c r="J208" s="8" t="str">
        <x:f>IFERROR(INDEX('Lookup Tables'!$H$5:$H$16,MATCH(H208,'Lookup Tables'!$F$5:$F$16,0)),"Unknown")</x:f>
        <x:v>Fashion</x:v>
      </x:c>
      <x:c r="K208" s="8" t="n">
        <x:v>2</x:v>
      </x:c>
      <x:c r="L208" s="9" t="n">
        <x:f>IFERROR(INDEX('Lookup Tables'!$I$5:$I$16,MATCH(H208,'Lookup Tables'!$F$5:$F$16,0)),0)</x:f>
        <x:v>2199</x:v>
      </x:c>
      <x:c r="M208" s="23" t="n">
        <x:f>IF('Raw Data'!M208="",0,'Raw Data'!M208)</x:f>
        <x:v>0.15</x:v>
      </x:c>
      <x:c r="N208" s="9" t="n">
        <x:f>IF(S208="Completed",K208*L208*(1-M208),0)</x:f>
        <x:v>3738.2999999999997</x:v>
      </x:c>
      <x:c r="O208" s="9" t="n">
        <x:f>IFERROR(INDEX('Lookup Tables'!$J$5:$J$16,MATCH(H208,'Lookup Tables'!$F$5:$F$16,0)),0)</x:f>
        <x:v>1380</x:v>
      </x:c>
      <x:c r="P208" s="9" t="n">
        <x:f>IF(S208="Completed",K208*O208,0)</x:f>
        <x:v>2760</x:v>
      </x:c>
      <x:c r="Q208" s="9" t="n">
        <x:f>N208-P208</x:f>
        <x:v>978.2999999999997</x:v>
      </x:c>
      <x:c r="R208" s="8" t="str">
        <x:f>IF(LOWER('Raw Data'!N208)="upi","UPI",'Raw Data'!N208)</x:f>
        <x:v>Cash on Delivery</x:v>
      </x:c>
      <x:c r="S208" s="8" t="str">
        <x:v>Completed</x:v>
      </x:c>
      <x:c r="T208" s="8" t="str">
        <x:f>TEXT(B208,"mmm yyyy")</x:f>
        <x:v>Jun 2025</x:v>
      </x:c>
      <x:c r="U208" s="8" t="n">
        <x:f>YEAR(B208)</x:f>
        <x:v>2025</x:v>
      </x:c>
    </x:row>
    <x:row r="209">
      <x:c r="A209" s="8" t="str">
        <x:v>ORD-0205</x:v>
      </x:c>
      <x:c r="B209" s="22" t="n">
        <x:v>45697.17650815972</x:v>
      </x:c>
      <x:c r="C209" s="8" t="str">
        <x:v>CUS-057</x:v>
      </x:c>
      <x:c r="D209" s="8" t="str">
        <x:f>IFERROR(INDEX('Lookup Tables'!$B$5:$B$84,MATCH(C209,'Lookup Tables'!$A$5:$A$84,0)),"Unknown Customer")</x:f>
        <x:v>Vikram Yadav 3</x:v>
      </x:c>
      <x:c r="E209" s="8" t="str">
        <x:f>IFERROR(INDEX('Lookup Tables'!$C$5:$C$84,MATCH(C209,'Lookup Tables'!$A$5:$A$84,0)),"Unknown")</x:f>
        <x:v>Small Business</x:v>
      </x:c>
      <x:c r="F209" s="8" t="str">
        <x:v>Bengaluru</x:v>
      </x:c>
      <x:c r="G209" s="8" t="str">
        <x:f>IFERROR(INDEX('Lookup Tables'!$N$5:$N$14,MATCH(F209,'Lookup Tables'!$M$5:$M$14,0)),"Unknown")</x:f>
        <x:v>South</x:v>
      </x:c>
      <x:c r="H209" s="8" t="str">
        <x:v>PRD-007</x:v>
      </x:c>
      <x:c r="I209" s="8" t="str">
        <x:f>IFERROR(INDEX('Lookup Tables'!$G$5:$G$16,MATCH(H209,'Lookup Tables'!$F$5:$F$16,0)),"Unknown Product")</x:f>
        <x:v>Electric Kettle</x:v>
      </x:c>
      <x:c r="J209" s="8" t="str">
        <x:f>IFERROR(INDEX('Lookup Tables'!$H$5:$H$16,MATCH(H209,'Lookup Tables'!$F$5:$F$16,0)),"Unknown")</x:f>
        <x:v>Home &amp; Kitchen</x:v>
      </x:c>
      <x:c r="K209" s="8" t="n">
        <x:v>2</x:v>
      </x:c>
      <x:c r="L209" s="9" t="n">
        <x:f>IFERROR(INDEX('Lookup Tables'!$I$5:$I$16,MATCH(H209,'Lookup Tables'!$F$5:$F$16,0)),0)</x:f>
        <x:v>1699</x:v>
      </x:c>
      <x:c r="M209" s="23" t="n">
        <x:f>IF('Raw Data'!M209="",0,'Raw Data'!M209)</x:f>
        <x:v>0.2</x:v>
      </x:c>
      <x:c r="N209" s="9" t="n">
        <x:f>IF(S209="Completed",K209*L209*(1-M209),0)</x:f>
        <x:v>2718.4</x:v>
      </x:c>
      <x:c r="O209" s="9" t="n">
        <x:f>IFERROR(INDEX('Lookup Tables'!$J$5:$J$16,MATCH(H209,'Lookup Tables'!$F$5:$F$16,0)),0)</x:f>
        <x:v>1040</x:v>
      </x:c>
      <x:c r="P209" s="9" t="n">
        <x:f>IF(S209="Completed",K209*O209,0)</x:f>
        <x:v>2080</x:v>
      </x:c>
      <x:c r="Q209" s="9" t="n">
        <x:f>N209-P209</x:f>
        <x:v>638.4000000000001</x:v>
      </x:c>
      <x:c r="R209" s="8" t="str">
        <x:f>IF(LOWER('Raw Data'!N209)="upi","UPI",'Raw Data'!N209)</x:f>
        <x:v>Cash on Delivery</x:v>
      </x:c>
      <x:c r="S209" s="8" t="str">
        <x:v>Completed</x:v>
      </x:c>
      <x:c r="T209" s="8" t="str">
        <x:f>TEXT(B209,"mmm yyyy")</x:f>
        <x:v>Feb 2025</x:v>
      </x:c>
      <x:c r="U209" s="8" t="n">
        <x:f>YEAR(B209)</x:f>
        <x:v>2025</x:v>
      </x:c>
    </x:row>
    <x:row r="210">
      <x:c r="A210" s="8" t="str">
        <x:v>ORD-0206</x:v>
      </x:c>
      <x:c r="B210" s="22" t="n">
        <x:v>45827.04610708333</x:v>
      </x:c>
      <x:c r="C210" s="8" t="str">
        <x:v>CUS-069</x:v>
      </x:c>
      <x:c r="D210" s="8" t="str">
        <x:f>IFERROR(INDEX('Lookup Tables'!$B$5:$B$84,MATCH(C210,'Lookup Tables'!$A$5:$A$84,0)),"Unknown Customer")</x:f>
        <x:v>Rohan Das 4</x:v>
      </x:c>
      <x:c r="E210" s="8" t="str">
        <x:f>IFERROR(INDEX('Lookup Tables'!$C$5:$C$84,MATCH(C210,'Lookup Tables'!$A$5:$A$84,0)),"Unknown")</x:f>
        <x:v>Small Business</x:v>
      </x:c>
      <x:c r="F210" s="8" t="str">
        <x:v>Hyderabad</x:v>
      </x:c>
      <x:c r="G210" s="8" t="str">
        <x:f>IFERROR(INDEX('Lookup Tables'!$N$5:$N$14,MATCH(F210,'Lookup Tables'!$M$5:$M$14,0)),"Unknown")</x:f>
        <x:v>South</x:v>
      </x:c>
      <x:c r="H210" s="8" t="str">
        <x:v>PRD-001</x:v>
      </x:c>
      <x:c r="I210" s="8" t="str">
        <x:f>IFERROR(INDEX('Lookup Tables'!$G$5:$G$16,MATCH(H210,'Lookup Tables'!$F$5:$F$16,0)),"Unknown Product")</x:f>
        <x:v>Wireless Mouse</x:v>
      </x:c>
      <x:c r="J210" s="8" t="str">
        <x:f>IFERROR(INDEX('Lookup Tables'!$H$5:$H$16,MATCH(H210,'Lookup Tables'!$F$5:$F$16,0)),"Unknown")</x:f>
        <x:v>Electronics</x:v>
      </x:c>
      <x:c r="K210" s="8" t="n">
        <x:v>4</x:v>
      </x:c>
      <x:c r="L210" s="9" t="n">
        <x:f>IFERROR(INDEX('Lookup Tables'!$I$5:$I$16,MATCH(H210,'Lookup Tables'!$F$5:$F$16,0)),0)</x:f>
        <x:v>899</x:v>
      </x:c>
      <x:c r="M210" s="23" t="n">
        <x:f>IF('Raw Data'!M210="",0,'Raw Data'!M210)</x:f>
        <x:v>0.2</x:v>
      </x:c>
      <x:c r="N210" s="9" t="n">
        <x:f>IF(S210="Completed",K210*L210*(1-M210),0)</x:f>
        <x:v>0</x:v>
      </x:c>
      <x:c r="O210" s="9" t="n">
        <x:f>IFERROR(INDEX('Lookup Tables'!$J$5:$J$16,MATCH(H210,'Lookup Tables'!$F$5:$F$16,0)),0)</x:f>
        <x:v>540</x:v>
      </x:c>
      <x:c r="P210" s="9" t="n">
        <x:f>IF(S210="Completed",K210*O210,0)</x:f>
        <x:v>0</x:v>
      </x:c>
      <x:c r="Q210" s="9" t="n">
        <x:f>N210-P210</x:f>
        <x:v>0</x:v>
      </x:c>
      <x:c r="R210" s="8" t="str">
        <x:f>IF(LOWER('Raw Data'!N210)="upi","UPI",'Raw Data'!N210)</x:f>
        <x:v>Debit Card</x:v>
      </x:c>
      <x:c r="S210" s="8" t="str">
        <x:v>Returned</x:v>
      </x:c>
      <x:c r="T210" s="8" t="str">
        <x:f>TEXT(B210,"mmm yyyy")</x:f>
        <x:v>Jun 2025</x:v>
      </x:c>
      <x:c r="U210" s="8" t="n">
        <x:f>YEAR(B210)</x:f>
        <x:v>2025</x:v>
      </x:c>
    </x:row>
    <x:row r="211">
      <x:c r="A211" s="8" t="str">
        <x:v>ORD-0207</x:v>
      </x:c>
      <x:c r="B211" s="22" t="n">
        <x:v>46004.00979065972</x:v>
      </x:c>
      <x:c r="C211" s="8" t="str">
        <x:v>CUS-009</x:v>
      </x:c>
      <x:c r="D211" s="8" t="str">
        <x:f>IFERROR(INDEX('Lookup Tables'!$B$5:$B$84,MATCH(C211,'Lookup Tables'!$A$5:$A$84,0)),"Unknown Customer")</x:f>
        <x:v>Rohan Das</x:v>
      </x:c>
      <x:c r="E211" s="8" t="str">
        <x:f>IFERROR(INDEX('Lookup Tables'!$C$5:$C$84,MATCH(C211,'Lookup Tables'!$A$5:$A$84,0)),"Unknown")</x:f>
        <x:v>Small Business</x:v>
      </x:c>
      <x:c r="F211" s="8" t="str">
        <x:v>Kolkata</x:v>
      </x:c>
      <x:c r="G211" s="8" t="str">
        <x:f>IFERROR(INDEX('Lookup Tables'!$N$5:$N$14,MATCH(F211,'Lookup Tables'!$M$5:$M$14,0)),"Unknown")</x:f>
        <x:v>East</x:v>
      </x:c>
      <x:c r="H211" s="8" t="str">
        <x:v>PRD-011</x:v>
      </x:c>
      <x:c r="I211" s="8" t="str">
        <x:f>IFERROR(INDEX('Lookup Tables'!$G$5:$G$16,MATCH(H211,'Lookup Tables'!$F$5:$F$16,0)),"Unknown Product")</x:f>
        <x:v>Classic Wallet</x:v>
      </x:c>
      <x:c r="J211" s="8" t="str">
        <x:f>IFERROR(INDEX('Lookup Tables'!$H$5:$H$16,MATCH(H211,'Lookup Tables'!$F$5:$F$16,0)),"Unknown")</x:f>
        <x:v>Fashion</x:v>
      </x:c>
      <x:c r="K211" s="8" t="n">
        <x:v>3</x:v>
      </x:c>
      <x:c r="L211" s="9" t="n">
        <x:f>IFERROR(INDEX('Lookup Tables'!$I$5:$I$16,MATCH(H211,'Lookup Tables'!$F$5:$F$16,0)),0)</x:f>
        <x:v>1199</x:v>
      </x:c>
      <x:c r="M211" s="23" t="n">
        <x:f>IF('Raw Data'!M211="",0,'Raw Data'!M211)</x:f>
        <x:v>0.1</x:v>
      </x:c>
      <x:c r="N211" s="9" t="n">
        <x:f>IF(S211="Completed",K211*L211*(1-M211),0)</x:f>
        <x:v>3237.3</x:v>
      </x:c>
      <x:c r="O211" s="9" t="n">
        <x:f>IFERROR(INDEX('Lookup Tables'!$J$5:$J$16,MATCH(H211,'Lookup Tables'!$F$5:$F$16,0)),0)</x:f>
        <x:v>690</x:v>
      </x:c>
      <x:c r="P211" s="9" t="n">
        <x:f>IF(S211="Completed",K211*O211,0)</x:f>
        <x:v>2070</x:v>
      </x:c>
      <x:c r="Q211" s="9" t="n">
        <x:f>N211-P211</x:f>
        <x:v>1167.3000000000002</x:v>
      </x:c>
      <x:c r="R211" s="8" t="str">
        <x:f>IF(LOWER('Raw Data'!N211)="upi","UPI",'Raw Data'!N211)</x:f>
        <x:v>Cash on Delivery</x:v>
      </x:c>
      <x:c r="S211" s="8" t="str">
        <x:v>Completed</x:v>
      </x:c>
      <x:c r="T211" s="8" t="str">
        <x:f>TEXT(B211,"mmm yyyy")</x:f>
        <x:v>Dec 2025</x:v>
      </x:c>
      <x:c r="U211" s="8" t="n">
        <x:f>YEAR(B211)</x:f>
        <x:v>2025</x:v>
      </x:c>
    </x:row>
    <x:row r="212">
      <x:c r="A212" s="8" t="str">
        <x:v>ORD-0208</x:v>
      </x:c>
      <x:c r="B212" s="22" t="n">
        <x:v>45908.79741516204</x:v>
      </x:c>
      <x:c r="C212" s="8" t="str">
        <x:v>CUS-048</x:v>
      </x:c>
      <x:c r="D212" s="8" t="str">
        <x:f>IFERROR(INDEX('Lookup Tables'!$B$5:$B$84,MATCH(C212,'Lookup Tables'!$A$5:$A$84,0)),"Unknown Customer")</x:f>
        <x:v>Meera Nair 3</x:v>
      </x:c>
      <x:c r="E212" s="8" t="str">
        <x:f>IFERROR(INDEX('Lookup Tables'!$C$5:$C$84,MATCH(C212,'Lookup Tables'!$A$5:$A$84,0)),"Unknown")</x:f>
        <x:v>Small Business</x:v>
      </x:c>
      <x:c r="F212" s="8" t="str">
        <x:v>Bengaluru</x:v>
      </x:c>
      <x:c r="G212" s="8" t="str">
        <x:f>IFERROR(INDEX('Lookup Tables'!$N$5:$N$14,MATCH(F212,'Lookup Tables'!$M$5:$M$14,0)),"Unknown")</x:f>
        <x:v>South</x:v>
      </x:c>
      <x:c r="H212" s="8" t="str">
        <x:v>PRD-007</x:v>
      </x:c>
      <x:c r="I212" s="8" t="str">
        <x:f>IFERROR(INDEX('Lookup Tables'!$G$5:$G$16,MATCH(H212,'Lookup Tables'!$F$5:$F$16,0)),"Unknown Product")</x:f>
        <x:v>Electric Kettle</x:v>
      </x:c>
      <x:c r="J212" s="8" t="str">
        <x:f>IFERROR(INDEX('Lookup Tables'!$H$5:$H$16,MATCH(H212,'Lookup Tables'!$F$5:$F$16,0)),"Unknown")</x:f>
        <x:v>Home &amp; Kitchen</x:v>
      </x:c>
      <x:c r="K212" s="8" t="n">
        <x:v>5</x:v>
      </x:c>
      <x:c r="L212" s="9" t="n">
        <x:f>IFERROR(INDEX('Lookup Tables'!$I$5:$I$16,MATCH(H212,'Lookup Tables'!$F$5:$F$16,0)),0)</x:f>
        <x:v>1699</x:v>
      </x:c>
      <x:c r="M212" s="23" t="n">
        <x:f>IF('Raw Data'!M212="",0,'Raw Data'!M212)</x:f>
        <x:v>0</x:v>
      </x:c>
      <x:c r="N212" s="9" t="n">
        <x:f>IF(S212="Completed",K212*L212*(1-M212),0)</x:f>
        <x:v>8495</x:v>
      </x:c>
      <x:c r="O212" s="9" t="n">
        <x:f>IFERROR(INDEX('Lookup Tables'!$J$5:$J$16,MATCH(H212,'Lookup Tables'!$F$5:$F$16,0)),0)</x:f>
        <x:v>1040</x:v>
      </x:c>
      <x:c r="P212" s="9" t="n">
        <x:f>IF(S212="Completed",K212*O212,0)</x:f>
        <x:v>5200</x:v>
      </x:c>
      <x:c r="Q212" s="9" t="n">
        <x:f>N212-P212</x:f>
        <x:v>3295</x:v>
      </x:c>
      <x:c r="R212" s="8" t="str">
        <x:f>IF(LOWER('Raw Data'!N212)="upi","UPI",'Raw Data'!N212)</x:f>
        <x:v>UPI</x:v>
      </x:c>
      <x:c r="S212" s="8" t="str">
        <x:v>Completed</x:v>
      </x:c>
      <x:c r="T212" s="8" t="str">
        <x:f>TEXT(B212,"mmm yyyy")</x:f>
        <x:v>Sep 2025</x:v>
      </x:c>
      <x:c r="U212" s="8" t="n">
        <x:f>YEAR(B212)</x:f>
        <x:v>2025</x:v>
      </x:c>
    </x:row>
    <x:row r="213">
      <x:c r="A213" s="8" t="str">
        <x:v>ORD-0209</x:v>
      </x:c>
      <x:c r="B213" s="22" t="n">
        <x:v>45819.7463287963</x:v>
      </x:c>
      <x:c r="C213" s="8" t="str">
        <x:v>CUS-004</x:v>
      </x:c>
      <x:c r="D213" s="8" t="str">
        <x:f>IFERROR(INDEX('Lookup Tables'!$B$5:$B$84,MATCH(C213,'Lookup Tables'!$A$5:$A$84,0)),"Unknown Customer")</x:f>
        <x:v>Ananya Gupta</x:v>
      </x:c>
      <x:c r="E213" s="8" t="str">
        <x:f>IFERROR(INDEX('Lookup Tables'!$C$5:$C$84,MATCH(C213,'Lookup Tables'!$A$5:$A$84,0)),"Unknown")</x:f>
        <x:v>Consumer</x:v>
      </x:c>
      <x:c r="F213" s="8" t="str">
        <x:v>Ahmedabad</x:v>
      </x:c>
      <x:c r="G213" s="8" t="str">
        <x:f>IFERROR(INDEX('Lookup Tables'!$N$5:$N$14,MATCH(F213,'Lookup Tables'!$M$5:$M$14,0)),"Unknown")</x:f>
        <x:v>West</x:v>
      </x:c>
      <x:c r="H213" s="8" t="str">
        <x:v>PRD-008</x:v>
      </x:c>
      <x:c r="I213" s="8" t="str">
        <x:f>IFERROR(INDEX('Lookup Tables'!$G$5:$G$16,MATCH(H213,'Lookup Tables'!$F$5:$F$16,0)),"Unknown Product")</x:f>
        <x:v>Storage Container Set</x:v>
      </x:c>
      <x:c r="J213" s="8" t="str">
        <x:f>IFERROR(INDEX('Lookup Tables'!$H$5:$H$16,MATCH(H213,'Lookup Tables'!$F$5:$F$16,0)),"Unknown")</x:f>
        <x:v>Home &amp; Kitchen</x:v>
      </x:c>
      <x:c r="K213" s="8" t="n">
        <x:v>5</x:v>
      </x:c>
      <x:c r="L213" s="9" t="n">
        <x:f>IFERROR(INDEX('Lookup Tables'!$I$5:$I$16,MATCH(H213,'Lookup Tables'!$F$5:$F$16,0)),0)</x:f>
        <x:v>999</x:v>
      </x:c>
      <x:c r="M213" s="23" t="n">
        <x:f>IF('Raw Data'!M213="",0,'Raw Data'!M213)</x:f>
        <x:v>0.2</x:v>
      </x:c>
      <x:c r="N213" s="9" t="n">
        <x:f>IF(S213="Completed",K213*L213*(1-M213),0)</x:f>
        <x:v>0</x:v>
      </x:c>
      <x:c r="O213" s="9" t="n">
        <x:f>IFERROR(INDEX('Lookup Tables'!$J$5:$J$16,MATCH(H213,'Lookup Tables'!$F$5:$F$16,0)),0)</x:f>
        <x:v>580</x:v>
      </x:c>
      <x:c r="P213" s="9" t="n">
        <x:f>IF(S213="Completed",K213*O213,0)</x:f>
        <x:v>0</x:v>
      </x:c>
      <x:c r="Q213" s="9" t="n">
        <x:f>N213-P213</x:f>
        <x:v>0</x:v>
      </x:c>
      <x:c r="R213" s="8" t="str">
        <x:f>IF(LOWER('Raw Data'!N213)="upi","UPI",'Raw Data'!N213)</x:f>
        <x:v>Net Banking</x:v>
      </x:c>
      <x:c r="S213" s="8" t="str">
        <x:v>Returned</x:v>
      </x:c>
      <x:c r="T213" s="8" t="str">
        <x:f>TEXT(B213,"mmm yyyy")</x:f>
        <x:v>Jun 2025</x:v>
      </x:c>
      <x:c r="U213" s="8" t="n">
        <x:f>YEAR(B213)</x:f>
        <x:v>2025</x:v>
      </x:c>
    </x:row>
    <x:row r="214">
      <x:c r="A214" s="8" t="str">
        <x:v>ORD-0210</x:v>
      </x:c>
      <x:c r="B214" s="22" t="n">
        <x:v>45809.22580746528</x:v>
      </x:c>
      <x:c r="C214" s="8" t="str">
        <x:v>CUS-021</x:v>
      </x:c>
      <x:c r="D214" s="8" t="str">
        <x:f>IFERROR(INDEX('Lookup Tables'!$B$5:$B$84,MATCH(C214,'Lookup Tables'!$A$5:$A$84,0)),"Unknown Customer")</x:f>
        <x:v>Aarav Sharma 2</x:v>
      </x:c>
      <x:c r="E214" s="8" t="str">
        <x:f>IFERROR(INDEX('Lookup Tables'!$C$5:$C$84,MATCH(C214,'Lookup Tables'!$A$5:$A$84,0)),"Unknown")</x:f>
        <x:v>Small Business</x:v>
      </x:c>
      <x:c r="F214" s="8" t="str">
        <x:v>Jaipur</x:v>
      </x:c>
      <x:c r="G214" s="8" t="str">
        <x:f>IFERROR(INDEX('Lookup Tables'!$N$5:$N$14,MATCH(F214,'Lookup Tables'!$M$5:$M$14,0)),"Unknown")</x:f>
        <x:v>North</x:v>
      </x:c>
      <x:c r="H214" s="8" t="str">
        <x:v>PRD-001</x:v>
      </x:c>
      <x:c r="I214" s="8" t="str">
        <x:f>IFERROR(INDEX('Lookup Tables'!$G$5:$G$16,MATCH(H214,'Lookup Tables'!$F$5:$F$16,0)),"Unknown Product")</x:f>
        <x:v>Wireless Mouse</x:v>
      </x:c>
      <x:c r="J214" s="8" t="str">
        <x:f>IFERROR(INDEX('Lookup Tables'!$H$5:$H$16,MATCH(H214,'Lookup Tables'!$F$5:$F$16,0)),"Unknown")</x:f>
        <x:v>Electronics</x:v>
      </x:c>
      <x:c r="K214" s="8" t="n">
        <x:v>3</x:v>
      </x:c>
      <x:c r="L214" s="9" t="n">
        <x:f>IFERROR(INDEX('Lookup Tables'!$I$5:$I$16,MATCH(H214,'Lookup Tables'!$F$5:$F$16,0)),0)</x:f>
        <x:v>899</x:v>
      </x:c>
      <x:c r="M214" s="23" t="n">
        <x:f>IF('Raw Data'!M214="",0,'Raw Data'!M214)</x:f>
        <x:v>0</x:v>
      </x:c>
      <x:c r="N214" s="9" t="n">
        <x:f>IF(S214="Completed",K214*L214*(1-M214),0)</x:f>
        <x:v>2697</x:v>
      </x:c>
      <x:c r="O214" s="9" t="n">
        <x:f>IFERROR(INDEX('Lookup Tables'!$J$5:$J$16,MATCH(H214,'Lookup Tables'!$F$5:$F$16,0)),0)</x:f>
        <x:v>540</x:v>
      </x:c>
      <x:c r="P214" s="9" t="n">
        <x:f>IF(S214="Completed",K214*O214,0)</x:f>
        <x:v>1620</x:v>
      </x:c>
      <x:c r="Q214" s="9" t="n">
        <x:f>N214-P214</x:f>
        <x:v>1077</x:v>
      </x:c>
      <x:c r="R214" s="8" t="str">
        <x:f>IF(LOWER('Raw Data'!N214)="upi","UPI",'Raw Data'!N214)</x:f>
        <x:v>Cash on Delivery</x:v>
      </x:c>
      <x:c r="S214" s="8" t="str">
        <x:v>Completed</x:v>
      </x:c>
      <x:c r="T214" s="8" t="str">
        <x:f>TEXT(B214,"mmm yyyy")</x:f>
        <x:v>Jun 2025</x:v>
      </x:c>
      <x:c r="U214" s="8" t="n">
        <x:f>YEAR(B214)</x:f>
        <x:v>2025</x:v>
      </x:c>
    </x:row>
    <x:row r="215">
      <x:c r="A215" s="8" t="str">
        <x:v>ORD-0211</x:v>
      </x:c>
      <x:c r="B215" s="22" t="n">
        <x:v>45764.66781774306</x:v>
      </x:c>
      <x:c r="C215" s="8" t="str">
        <x:v>CUS-049</x:v>
      </x:c>
      <x:c r="D215" s="8" t="str">
        <x:f>IFERROR(INDEX('Lookup Tables'!$B$5:$B$84,MATCH(C215,'Lookup Tables'!$A$5:$A$84,0)),"Unknown Customer")</x:f>
        <x:v>Rohan Das 3</x:v>
      </x:c>
      <x:c r="E215" s="8" t="str">
        <x:f>IFERROR(INDEX('Lookup Tables'!$C$5:$C$84,MATCH(C215,'Lookup Tables'!$A$5:$A$84,0)),"Unknown")</x:f>
        <x:v>Consumer</x:v>
      </x:c>
      <x:c r="F215" s="8" t="str">
        <x:v>Chennai</x:v>
      </x:c>
      <x:c r="G215" s="8" t="str">
        <x:f>IFERROR(INDEX('Lookup Tables'!$N$5:$N$14,MATCH(F215,'Lookup Tables'!$M$5:$M$14,0)),"Unknown")</x:f>
        <x:v>South</x:v>
      </x:c>
      <x:c r="H215" s="8" t="str">
        <x:v>PRD-010</x:v>
      </x:c>
      <x:c r="I215" s="8" t="str">
        <x:f>IFERROR(INDEX('Lookup Tables'!$G$5:$G$16,MATCH(H215,'Lookup Tables'!$F$5:$F$16,0)),"Unknown Product")</x:f>
        <x:v>Travel Backpack</x:v>
      </x:c>
      <x:c r="J215" s="8" t="str">
        <x:f>IFERROR(INDEX('Lookup Tables'!$H$5:$H$16,MATCH(H215,'Lookup Tables'!$F$5:$F$16,0)),"Unknown")</x:f>
        <x:v>Fashion</x:v>
      </x:c>
      <x:c r="K215" s="8" t="n">
        <x:v>2</x:v>
      </x:c>
      <x:c r="L215" s="9" t="n">
        <x:f>IFERROR(INDEX('Lookup Tables'!$I$5:$I$16,MATCH(H215,'Lookup Tables'!$F$5:$F$16,0)),0)</x:f>
        <x:v>2199</x:v>
      </x:c>
      <x:c r="M215" s="23" t="n">
        <x:f>IF('Raw Data'!M215="",0,'Raw Data'!M215)</x:f>
        <x:v>0.05</x:v>
      </x:c>
      <x:c r="N215" s="9" t="n">
        <x:f>IF(S215="Completed",K215*L215*(1-M215),0)</x:f>
        <x:v>0</x:v>
      </x:c>
      <x:c r="O215" s="9" t="n">
        <x:f>IFERROR(INDEX('Lookup Tables'!$J$5:$J$16,MATCH(H215,'Lookup Tables'!$F$5:$F$16,0)),0)</x:f>
        <x:v>1380</x:v>
      </x:c>
      <x:c r="P215" s="9" t="n">
        <x:f>IF(S215="Completed",K215*O215,0)</x:f>
        <x:v>0</x:v>
      </x:c>
      <x:c r="Q215" s="9" t="n">
        <x:f>N215-P215</x:f>
        <x:v>0</x:v>
      </x:c>
      <x:c r="R215" s="8" t="str">
        <x:f>IF(LOWER('Raw Data'!N215)="upi","UPI",'Raw Data'!N215)</x:f>
        <x:v>Net Banking</x:v>
      </x:c>
      <x:c r="S215" s="8" t="str">
        <x:v>Cancelled</x:v>
      </x:c>
      <x:c r="T215" s="8" t="str">
        <x:f>TEXT(B215,"mmm yyyy")</x:f>
        <x:v>Apr 2025</x:v>
      </x:c>
      <x:c r="U215" s="8" t="n">
        <x:f>YEAR(B215)</x:f>
        <x:v>2025</x:v>
      </x:c>
    </x:row>
    <x:row r="216">
      <x:c r="A216" s="8" t="str">
        <x:v>ORD-0212</x:v>
      </x:c>
      <x:c r="B216" s="22" t="n">
        <x:v>45699.39500030092</x:v>
      </x:c>
      <x:c r="C216" s="8" t="str">
        <x:v>CUS-068</x:v>
      </x:c>
      <x:c r="D216" s="8" t="str">
        <x:f>IFERROR(INDEX('Lookup Tables'!$B$5:$B$84,MATCH(C216,'Lookup Tables'!$A$5:$A$84,0)),"Unknown Customer")</x:f>
        <x:v>Meera Nair 4</x:v>
      </x:c>
      <x:c r="E216" s="8" t="str">
        <x:f>IFERROR(INDEX('Lookup Tables'!$C$5:$C$84,MATCH(C216,'Lookup Tables'!$A$5:$A$84,0)),"Unknown")</x:f>
        <x:v>Corporate</x:v>
      </x:c>
      <x:c r="F216" s="8" t="str">
        <x:v>Jaipur</x:v>
      </x:c>
      <x:c r="G216" s="8" t="str">
        <x:f>IFERROR(INDEX('Lookup Tables'!$N$5:$N$14,MATCH(F216,'Lookup Tables'!$M$5:$M$14,0)),"Unknown")</x:f>
        <x:v>North</x:v>
      </x:c>
      <x:c r="H216" s="8" t="str">
        <x:v>PRD-010</x:v>
      </x:c>
      <x:c r="I216" s="8" t="str">
        <x:f>IFERROR(INDEX('Lookup Tables'!$G$5:$G$16,MATCH(H216,'Lookup Tables'!$F$5:$F$16,0)),"Unknown Product")</x:f>
        <x:v>Travel Backpack</x:v>
      </x:c>
      <x:c r="J216" s="8" t="str">
        <x:f>IFERROR(INDEX('Lookup Tables'!$H$5:$H$16,MATCH(H216,'Lookup Tables'!$F$5:$F$16,0)),"Unknown")</x:f>
        <x:v>Fashion</x:v>
      </x:c>
      <x:c r="K216" s="8" t="n">
        <x:v>3</x:v>
      </x:c>
      <x:c r="L216" s="9" t="n">
        <x:f>IFERROR(INDEX('Lookup Tables'!$I$5:$I$16,MATCH(H216,'Lookup Tables'!$F$5:$F$16,0)),0)</x:f>
        <x:v>2199</x:v>
      </x:c>
      <x:c r="M216" s="23" t="n">
        <x:f>IF('Raw Data'!M216="",0,'Raw Data'!M216)</x:f>
        <x:v>0.05</x:v>
      </x:c>
      <x:c r="N216" s="9" t="n">
        <x:f>IF(S216="Completed",K216*L216*(1-M216),0)</x:f>
        <x:v>6267.15</x:v>
      </x:c>
      <x:c r="O216" s="9" t="n">
        <x:f>IFERROR(INDEX('Lookup Tables'!$J$5:$J$16,MATCH(H216,'Lookup Tables'!$F$5:$F$16,0)),0)</x:f>
        <x:v>1380</x:v>
      </x:c>
      <x:c r="P216" s="9" t="n">
        <x:f>IF(S216="Completed",K216*O216,0)</x:f>
        <x:v>4140</x:v>
      </x:c>
      <x:c r="Q216" s="9" t="n">
        <x:f>N216-P216</x:f>
        <x:v>2127.1499999999996</x:v>
      </x:c>
      <x:c r="R216" s="8" t="str">
        <x:f>IF(LOWER('Raw Data'!N216)="upi","UPI",'Raw Data'!N216)</x:f>
        <x:v>Debit Card</x:v>
      </x:c>
      <x:c r="S216" s="8" t="str">
        <x:v>Completed</x:v>
      </x:c>
      <x:c r="T216" s="8" t="str">
        <x:f>TEXT(B216,"mmm yyyy")</x:f>
        <x:v>Feb 2025</x:v>
      </x:c>
      <x:c r="U216" s="8" t="n">
        <x:f>YEAR(B216)</x:f>
        <x:v>2025</x:v>
      </x:c>
    </x:row>
    <x:row r="217">
      <x:c r="A217" s="8" t="str">
        <x:v>ORD-0213</x:v>
      </x:c>
      <x:c r="B217" s="22" t="n">
        <x:v>45939.87247542824</x:v>
      </x:c>
      <x:c r="C217" s="8" t="str">
        <x:v>CUS-032</x:v>
      </x:c>
      <x:c r="D217" s="8" t="str">
        <x:f>IFERROR(INDEX('Lookup Tables'!$B$5:$B$84,MATCH(C217,'Lookup Tables'!$A$5:$A$84,0)),"Unknown Customer")</x:f>
        <x:v>Priya Kapoor 2</x:v>
      </x:c>
      <x:c r="E217" s="8" t="str">
        <x:f>IFERROR(INDEX('Lookup Tables'!$C$5:$C$84,MATCH(C217,'Lookup Tables'!$A$5:$A$84,0)),"Unknown")</x:f>
        <x:v>Corporate</x:v>
      </x:c>
      <x:c r="F217" s="8" t="str">
        <x:v>Jaipur</x:v>
      </x:c>
      <x:c r="G217" s="8" t="str">
        <x:f>IFERROR(INDEX('Lookup Tables'!$N$5:$N$14,MATCH(F217,'Lookup Tables'!$M$5:$M$14,0)),"Unknown")</x:f>
        <x:v>North</x:v>
      </x:c>
      <x:c r="H217" s="8" t="str">
        <x:v>PRD-012</x:v>
      </x:c>
      <x:c r="I217" s="8" t="str">
        <x:f>IFERROR(INDEX('Lookup Tables'!$G$5:$G$16,MATCH(H217,'Lookup Tables'!$F$5:$F$16,0)),"Unknown Product")</x:f>
        <x:v>Stainless Water Bottle</x:v>
      </x:c>
      <x:c r="J217" s="8" t="str">
        <x:f>IFERROR(INDEX('Lookup Tables'!$H$5:$H$16,MATCH(H217,'Lookup Tables'!$F$5:$F$16,0)),"Unknown")</x:f>
        <x:v>Lifestyle</x:v>
      </x:c>
      <x:c r="K217" s="8" t="n">
        <x:v>2</x:v>
      </x:c>
      <x:c r="L217" s="9" t="n">
        <x:f>IFERROR(INDEX('Lookup Tables'!$I$5:$I$16,MATCH(H217,'Lookup Tables'!$F$5:$F$16,0)),0)</x:f>
        <x:v>799</x:v>
      </x:c>
      <x:c r="M217" s="23" t="n">
        <x:f>IF('Raw Data'!M217="",0,'Raw Data'!M217)</x:f>
        <x:v>0</x:v>
      </x:c>
      <x:c r="N217" s="9" t="n">
        <x:f>IF(S217="Completed",K217*L217*(1-M217),0)</x:f>
        <x:v>0</x:v>
      </x:c>
      <x:c r="O217" s="9" t="n">
        <x:f>IFERROR(INDEX('Lookup Tables'!$J$5:$J$16,MATCH(H217,'Lookup Tables'!$F$5:$F$16,0)),0)</x:f>
        <x:v>410</x:v>
      </x:c>
      <x:c r="P217" s="9" t="n">
        <x:f>IF(S217="Completed",K217*O217,0)</x:f>
        <x:v>0</x:v>
      </x:c>
      <x:c r="Q217" s="9" t="n">
        <x:f>N217-P217</x:f>
        <x:v>0</x:v>
      </x:c>
      <x:c r="R217" s="8" t="str">
        <x:f>IF(LOWER('Raw Data'!N217)="upi","UPI",'Raw Data'!N217)</x:f>
        <x:v>Credit Card</x:v>
      </x:c>
      <x:c r="S217" s="8" t="str">
        <x:v>Returned</x:v>
      </x:c>
      <x:c r="T217" s="8" t="str">
        <x:f>TEXT(B217,"mmm yyyy")</x:f>
        <x:v>Oct 2025</x:v>
      </x:c>
      <x:c r="U217" s="8" t="n">
        <x:f>YEAR(B217)</x:f>
        <x:v>2025</x:v>
      </x:c>
    </x:row>
    <x:row r="218">
      <x:c r="A218" s="8" t="str">
        <x:v>ORD-0214</x:v>
      </x:c>
      <x:c r="B218" s="22" t="n">
        <x:v>45960.5410541088</x:v>
      </x:c>
      <x:c r="C218" s="8" t="str">
        <x:v>CUS-024</x:v>
      </x:c>
      <x:c r="D218" s="8" t="str">
        <x:f>IFERROR(INDEX('Lookup Tables'!$B$5:$B$84,MATCH(C218,'Lookup Tables'!$A$5:$A$84,0)),"Unknown Customer")</x:f>
        <x:v>Ananya Gupta 2</x:v>
      </x:c>
      <x:c r="E218" s="8" t="str">
        <x:f>IFERROR(INDEX('Lookup Tables'!$C$5:$C$84,MATCH(C218,'Lookup Tables'!$A$5:$A$84,0)),"Unknown")</x:f>
        <x:v>Small Business</x:v>
      </x:c>
      <x:c r="F218" s="8" t="str">
        <x:v>Jaipur</x:v>
      </x:c>
      <x:c r="G218" s="8" t="str">
        <x:f>IFERROR(INDEX('Lookup Tables'!$N$5:$N$14,MATCH(F218,'Lookup Tables'!$M$5:$M$14,0)),"Unknown")</x:f>
        <x:v>North</x:v>
      </x:c>
      <x:c r="H218" s="8" t="str">
        <x:v>PRD-012</x:v>
      </x:c>
      <x:c r="I218" s="8" t="str">
        <x:f>IFERROR(INDEX('Lookup Tables'!$G$5:$G$16,MATCH(H218,'Lookup Tables'!$F$5:$F$16,0)),"Unknown Product")</x:f>
        <x:v>Stainless Water Bottle</x:v>
      </x:c>
      <x:c r="J218" s="8" t="str">
        <x:f>IFERROR(INDEX('Lookup Tables'!$H$5:$H$16,MATCH(H218,'Lookup Tables'!$F$5:$F$16,0)),"Unknown")</x:f>
        <x:v>Lifestyle</x:v>
      </x:c>
      <x:c r="K218" s="8" t="n">
        <x:v>1</x:v>
      </x:c>
      <x:c r="L218" s="9" t="n">
        <x:f>IFERROR(INDEX('Lookup Tables'!$I$5:$I$16,MATCH(H218,'Lookup Tables'!$F$5:$F$16,0)),0)</x:f>
        <x:v>799</x:v>
      </x:c>
      <x:c r="M218" s="23" t="n">
        <x:f>IF('Raw Data'!M218="",0,'Raw Data'!M218)</x:f>
        <x:v>0</x:v>
      </x:c>
      <x:c r="N218" s="9" t="n">
        <x:f>IF(S218="Completed",K218*L218*(1-M218),0)</x:f>
        <x:v>0</x:v>
      </x:c>
      <x:c r="O218" s="9" t="n">
        <x:f>IFERROR(INDEX('Lookup Tables'!$J$5:$J$16,MATCH(H218,'Lookup Tables'!$F$5:$F$16,0)),0)</x:f>
        <x:v>410</x:v>
      </x:c>
      <x:c r="P218" s="9" t="n">
        <x:f>IF(S218="Completed",K218*O218,0)</x:f>
        <x:v>0</x:v>
      </x:c>
      <x:c r="Q218" s="9" t="n">
        <x:f>N218-P218</x:f>
        <x:v>0</x:v>
      </x:c>
      <x:c r="R218" s="8" t="str">
        <x:f>IF(LOWER('Raw Data'!N218)="upi","UPI",'Raw Data'!N218)</x:f>
        <x:v>Cash on Delivery</x:v>
      </x:c>
      <x:c r="S218" s="8" t="str">
        <x:v>Returned</x:v>
      </x:c>
      <x:c r="T218" s="8" t="str">
        <x:f>TEXT(B218,"mmm yyyy")</x:f>
        <x:v>Oct 2025</x:v>
      </x:c>
      <x:c r="U218" s="8" t="n">
        <x:f>YEAR(B218)</x:f>
        <x:v>2025</x:v>
      </x:c>
    </x:row>
    <x:row r="219">
      <x:c r="A219" s="8" t="str">
        <x:v>ORD-0215</x:v>
      </x:c>
      <x:c r="B219" s="22" t="n">
        <x:v>45660.342619282404</x:v>
      </x:c>
      <x:c r="C219" s="8" t="str">
        <x:v>CUS-024</x:v>
      </x:c>
      <x:c r="D219" s="8" t="str">
        <x:f>IFERROR(INDEX('Lookup Tables'!$B$5:$B$84,MATCH(C219,'Lookup Tables'!$A$5:$A$84,0)),"Unknown Customer")</x:f>
        <x:v>Ananya Gupta 2</x:v>
      </x:c>
      <x:c r="E219" s="8" t="str">
        <x:f>IFERROR(INDEX('Lookup Tables'!$C$5:$C$84,MATCH(C219,'Lookup Tables'!$A$5:$A$84,0)),"Unknown")</x:f>
        <x:v>Small Business</x:v>
      </x:c>
      <x:c r="F219" s="8" t="str">
        <x:v>Kolkata</x:v>
      </x:c>
      <x:c r="G219" s="8" t="str">
        <x:f>IFERROR(INDEX('Lookup Tables'!$N$5:$N$14,MATCH(F219,'Lookup Tables'!$M$5:$M$14,0)),"Unknown")</x:f>
        <x:v>East</x:v>
      </x:c>
      <x:c r="H219" s="8" t="str">
        <x:v>PRD-011</x:v>
      </x:c>
      <x:c r="I219" s="8" t="str">
        <x:f>IFERROR(INDEX('Lookup Tables'!$G$5:$G$16,MATCH(H219,'Lookup Tables'!$F$5:$F$16,0)),"Unknown Product")</x:f>
        <x:v>Classic Wallet</x:v>
      </x:c>
      <x:c r="J219" s="8" t="str">
        <x:f>IFERROR(INDEX('Lookup Tables'!$H$5:$H$16,MATCH(H219,'Lookup Tables'!$F$5:$F$16,0)),"Unknown")</x:f>
        <x:v>Fashion</x:v>
      </x:c>
      <x:c r="K219" s="8" t="n">
        <x:v>2</x:v>
      </x:c>
      <x:c r="L219" s="9" t="n">
        <x:f>IFERROR(INDEX('Lookup Tables'!$I$5:$I$16,MATCH(H219,'Lookup Tables'!$F$5:$F$16,0)),0)</x:f>
        <x:v>1199</x:v>
      </x:c>
      <x:c r="M219" s="23" t="n">
        <x:f>IF('Raw Data'!M219="",0,'Raw Data'!M219)</x:f>
        <x:v>0.05</x:v>
      </x:c>
      <x:c r="N219" s="9" t="n">
        <x:f>IF(S219="Completed",K219*L219*(1-M219),0)</x:f>
        <x:v>0</x:v>
      </x:c>
      <x:c r="O219" s="9" t="n">
        <x:f>IFERROR(INDEX('Lookup Tables'!$J$5:$J$16,MATCH(H219,'Lookup Tables'!$F$5:$F$16,0)),0)</x:f>
        <x:v>690</x:v>
      </x:c>
      <x:c r="P219" s="9" t="n">
        <x:f>IF(S219="Completed",K219*O219,0)</x:f>
        <x:v>0</x:v>
      </x:c>
      <x:c r="Q219" s="9" t="n">
        <x:f>N219-P219</x:f>
        <x:v>0</x:v>
      </x:c>
      <x:c r="R219" s="8" t="str">
        <x:f>IF(LOWER('Raw Data'!N219)="upi","UPI",'Raw Data'!N219)</x:f>
        <x:v>UPI</x:v>
      </x:c>
      <x:c r="S219" s="8" t="str">
        <x:v>Returned</x:v>
      </x:c>
      <x:c r="T219" s="8" t="str">
        <x:f>TEXT(B219,"mmm yyyy")</x:f>
        <x:v>Jan 2025</x:v>
      </x:c>
      <x:c r="U219" s="8" t="n">
        <x:f>YEAR(B219)</x:f>
        <x:v>2025</x:v>
      </x:c>
    </x:row>
    <x:row r="220">
      <x:c r="A220" s="8" t="str">
        <x:v>ORD-0216</x:v>
      </x:c>
      <x:c r="B220" s="22" t="n">
        <x:v>45726.47796480324</x:v>
      </x:c>
      <x:c r="C220" s="8" t="str">
        <x:v>CUS-005</x:v>
      </x:c>
      <x:c r="D220" s="8" t="str">
        <x:f>IFERROR(INDEX('Lookup Tables'!$B$5:$B$84,MATCH(C220,'Lookup Tables'!$A$5:$A$84,0)),"Unknown Customer")</x:f>
        <x:v>Arjun Verma</x:v>
      </x:c>
      <x:c r="E220" s="8" t="str">
        <x:f>IFERROR(INDEX('Lookup Tables'!$C$5:$C$84,MATCH(C220,'Lookup Tables'!$A$5:$A$84,0)),"Unknown")</x:f>
        <x:v>Corporate</x:v>
      </x:c>
      <x:c r="F220" s="8" t="str">
        <x:v>Pune</x:v>
      </x:c>
      <x:c r="G220" s="8" t="str">
        <x:f>IFERROR(INDEX('Lookup Tables'!$N$5:$N$14,MATCH(F220,'Lookup Tables'!$M$5:$M$14,0)),"Unknown")</x:f>
        <x:v>West</x:v>
      </x:c>
      <x:c r="H220" s="8" t="str">
        <x:v>PRD-009</x:v>
      </x:c>
      <x:c r="I220" s="8" t="str">
        <x:f>IFERROR(INDEX('Lookup Tables'!$G$5:$G$16,MATCH(H220,'Lookup Tables'!$F$5:$F$16,0)),"Unknown Product")</x:f>
        <x:v>Table Lamp</x:v>
      </x:c>
      <x:c r="J220" s="8" t="str">
        <x:f>IFERROR(INDEX('Lookup Tables'!$H$5:$H$16,MATCH(H220,'Lookup Tables'!$F$5:$F$16,0)),"Unknown")</x:f>
        <x:v>Home &amp; Kitchen</x:v>
      </x:c>
      <x:c r="K220" s="8" t="n">
        <x:v>1</x:v>
      </x:c>
      <x:c r="L220" s="9" t="n">
        <x:f>IFERROR(INDEX('Lookup Tables'!$I$5:$I$16,MATCH(H220,'Lookup Tables'!$F$5:$F$16,0)),0)</x:f>
        <x:v>1499</x:v>
      </x:c>
      <x:c r="M220" s="23" t="n">
        <x:f>IF('Raw Data'!M220="",0,'Raw Data'!M220)</x:f>
        <x:v>0.1</x:v>
      </x:c>
      <x:c r="N220" s="9" t="n">
        <x:f>IF(S220="Completed",K220*L220*(1-M220),0)</x:f>
        <x:v>1349.1000000000001</x:v>
      </x:c>
      <x:c r="O220" s="9" t="n">
        <x:f>IFERROR(INDEX('Lookup Tables'!$J$5:$J$16,MATCH(H220,'Lookup Tables'!$F$5:$F$16,0)),0)</x:f>
        <x:v>920</x:v>
      </x:c>
      <x:c r="P220" s="9" t="n">
        <x:f>IF(S220="Completed",K220*O220,0)</x:f>
        <x:v>920</x:v>
      </x:c>
      <x:c r="Q220" s="9" t="n">
        <x:f>N220-P220</x:f>
        <x:v>429.10000000000014</x:v>
      </x:c>
      <x:c r="R220" s="8" t="str">
        <x:f>IF(LOWER('Raw Data'!N220)="upi","UPI",'Raw Data'!N220)</x:f>
        <x:v>Cash on Delivery</x:v>
      </x:c>
      <x:c r="S220" s="8" t="str">
        <x:v>Completed</x:v>
      </x:c>
      <x:c r="T220" s="8" t="str">
        <x:f>TEXT(B220,"mmm yyyy")</x:f>
        <x:v>Mar 2025</x:v>
      </x:c>
      <x:c r="U220" s="8" t="n">
        <x:f>YEAR(B220)</x:f>
        <x:v>2025</x:v>
      </x:c>
    </x:row>
    <x:row r="221">
      <x:c r="A221" s="8" t="str">
        <x:v>ORD-0217</x:v>
      </x:c>
      <x:c r="B221" s="22" t="n">
        <x:v>45923.24577429398</x:v>
      </x:c>
      <x:c r="C221" s="8" t="str">
        <x:v>CUS-041</x:v>
      </x:c>
      <x:c r="D221" s="8" t="str">
        <x:f>IFERROR(INDEX('Lookup Tables'!$B$5:$B$84,MATCH(C221,'Lookup Tables'!$A$5:$A$84,0)),"Unknown Customer")</x:f>
        <x:v>Aarav Sharma 3</x:v>
      </x:c>
      <x:c r="E221" s="8" t="str">
        <x:f>IFERROR(INDEX('Lookup Tables'!$C$5:$C$84,MATCH(C221,'Lookup Tables'!$A$5:$A$84,0)),"Unknown")</x:f>
        <x:v>Corporate</x:v>
      </x:c>
      <x:c r="F221" s="8" t="str">
        <x:v>Pune</x:v>
      </x:c>
      <x:c r="G221" s="8" t="str">
        <x:f>IFERROR(INDEX('Lookup Tables'!$N$5:$N$14,MATCH(F221,'Lookup Tables'!$M$5:$M$14,0)),"Unknown")</x:f>
        <x:v>West</x:v>
      </x:c>
      <x:c r="H221" s="8" t="str">
        <x:v>PRD-008</x:v>
      </x:c>
      <x:c r="I221" s="8" t="str">
        <x:f>IFERROR(INDEX('Lookup Tables'!$G$5:$G$16,MATCH(H221,'Lookup Tables'!$F$5:$F$16,0)),"Unknown Product")</x:f>
        <x:v>Storage Container Set</x:v>
      </x:c>
      <x:c r="J221" s="8" t="str">
        <x:f>IFERROR(INDEX('Lookup Tables'!$H$5:$H$16,MATCH(H221,'Lookup Tables'!$F$5:$F$16,0)),"Unknown")</x:f>
        <x:v>Home &amp; Kitchen</x:v>
      </x:c>
      <x:c r="K221" s="8" t="n">
        <x:v>3</x:v>
      </x:c>
      <x:c r="L221" s="9" t="n">
        <x:f>IFERROR(INDEX('Lookup Tables'!$I$5:$I$16,MATCH(H221,'Lookup Tables'!$F$5:$F$16,0)),0)</x:f>
        <x:v>999</x:v>
      </x:c>
      <x:c r="M221" s="23" t="n">
        <x:f>IF('Raw Data'!M221="",0,'Raw Data'!M221)</x:f>
        <x:v>0</x:v>
      </x:c>
      <x:c r="N221" s="9" t="n">
        <x:f>IF(S221="Completed",K221*L221*(1-M221),0)</x:f>
        <x:v>0</x:v>
      </x:c>
      <x:c r="O221" s="9" t="n">
        <x:f>IFERROR(INDEX('Lookup Tables'!$J$5:$J$16,MATCH(H221,'Lookup Tables'!$F$5:$F$16,0)),0)</x:f>
        <x:v>580</x:v>
      </x:c>
      <x:c r="P221" s="9" t="n">
        <x:f>IF(S221="Completed",K221*O221,0)</x:f>
        <x:v>0</x:v>
      </x:c>
      <x:c r="Q221" s="9" t="n">
        <x:f>N221-P221</x:f>
        <x:v>0</x:v>
      </x:c>
      <x:c r="R221" s="8" t="str">
        <x:f>IF(LOWER('Raw Data'!N221)="upi","UPI",'Raw Data'!N221)</x:f>
        <x:v>Cash on Delivery</x:v>
      </x:c>
      <x:c r="S221" s="8" t="str">
        <x:v>Returned</x:v>
      </x:c>
      <x:c r="T221" s="8" t="str">
        <x:f>TEXT(B221,"mmm yyyy")</x:f>
        <x:v>Sep 2025</x:v>
      </x:c>
      <x:c r="U221" s="8" t="n">
        <x:f>YEAR(B221)</x:f>
        <x:v>2025</x:v>
      </x:c>
    </x:row>
    <x:row r="222">
      <x:c r="A222" s="8" t="str">
        <x:v>ORD-0218</x:v>
      </x:c>
      <x:c r="B222" s="22" t="n">
        <x:v>45908.577859363424</x:v>
      </x:c>
      <x:c r="C222" s="8" t="str">
        <x:v>CUS-001</x:v>
      </x:c>
      <x:c r="D222" s="8" t="str">
        <x:f>IFERROR(INDEX('Lookup Tables'!$B$5:$B$84,MATCH(C222,'Lookup Tables'!$A$5:$A$84,0)),"Unknown Customer")</x:f>
        <x:v>Aarav Sharma</x:v>
      </x:c>
      <x:c r="E222" s="8" t="str">
        <x:f>IFERROR(INDEX('Lookup Tables'!$C$5:$C$84,MATCH(C222,'Lookup Tables'!$A$5:$A$84,0)),"Unknown")</x:f>
        <x:v>Consumer</x:v>
      </x:c>
      <x:c r="F222" s="8" t="str">
        <x:v>Ahmedabad</x:v>
      </x:c>
      <x:c r="G222" s="8" t="str">
        <x:f>IFERROR(INDEX('Lookup Tables'!$N$5:$N$14,MATCH(F222,'Lookup Tables'!$M$5:$M$14,0)),"Unknown")</x:f>
        <x:v>West</x:v>
      </x:c>
      <x:c r="H222" s="8" t="str">
        <x:v>PRD-002</x:v>
      </x:c>
      <x:c r="I222" s="8" t="str">
        <x:f>IFERROR(INDEX('Lookup Tables'!$G$5:$G$16,MATCH(H222,'Lookup Tables'!$F$5:$F$16,0)),"Unknown Product")</x:f>
        <x:v>Bluetooth Headphones</x:v>
      </x:c>
      <x:c r="J222" s="8" t="str">
        <x:f>IFERROR(INDEX('Lookup Tables'!$H$5:$H$16,MATCH(H222,'Lookup Tables'!$F$5:$F$16,0)),"Unknown")</x:f>
        <x:v>Electronics</x:v>
      </x:c>
      <x:c r="K222" s="8" t="n">
        <x:v>4</x:v>
      </x:c>
      <x:c r="L222" s="9" t="n">
        <x:f>IFERROR(INDEX('Lookup Tables'!$I$5:$I$16,MATCH(H222,'Lookup Tables'!$F$5:$F$16,0)),0)</x:f>
        <x:v>2499</x:v>
      </x:c>
      <x:c r="M222" s="23" t="n">
        <x:f>IF('Raw Data'!M222="",0,'Raw Data'!M222)</x:f>
        <x:v>0.2</x:v>
      </x:c>
      <x:c r="N222" s="9" t="n">
        <x:f>IF(S222="Completed",K222*L222*(1-M222),0)</x:f>
        <x:v>7996.8</x:v>
      </x:c>
      <x:c r="O222" s="9" t="n">
        <x:f>IFERROR(INDEX('Lookup Tables'!$J$5:$J$16,MATCH(H222,'Lookup Tables'!$F$5:$F$16,0)),0)</x:f>
        <x:v>1620</x:v>
      </x:c>
      <x:c r="P222" s="9" t="n">
        <x:f>IF(S222="Completed",K222*O222,0)</x:f>
        <x:v>6480</x:v>
      </x:c>
      <x:c r="Q222" s="9" t="n">
        <x:f>N222-P222</x:f>
        <x:v>1516.8000000000002</x:v>
      </x:c>
      <x:c r="R222" s="8" t="str">
        <x:f>IF(LOWER('Raw Data'!N222)="upi","UPI",'Raw Data'!N222)</x:f>
        <x:v>Credit Card</x:v>
      </x:c>
      <x:c r="S222" s="8" t="str">
        <x:v>Completed</x:v>
      </x:c>
      <x:c r="T222" s="8" t="str">
        <x:f>TEXT(B222,"mmm yyyy")</x:f>
        <x:v>Sep 2025</x:v>
      </x:c>
      <x:c r="U222" s="8" t="n">
        <x:f>YEAR(B222)</x:f>
        <x:v>2025</x:v>
      </x:c>
    </x:row>
    <x:row r="223">
      <x:c r="A223" s="8" t="str">
        <x:v>ORD-0219</x:v>
      </x:c>
      <x:c r="B223" s="22" t="n">
        <x:v>45751.249792905095</x:v>
      </x:c>
      <x:c r="C223" s="8" t="str">
        <x:v>CUS-047</x:v>
      </x:c>
      <x:c r="D223" s="8" t="str">
        <x:f>IFERROR(INDEX('Lookup Tables'!$B$5:$B$84,MATCH(C223,'Lookup Tables'!$A$5:$A$84,0)),"Unknown Customer")</x:f>
        <x:v>Kabir Khan 3</x:v>
      </x:c>
      <x:c r="E223" s="8" t="str">
        <x:f>IFERROR(INDEX('Lookup Tables'!$C$5:$C$84,MATCH(C223,'Lookup Tables'!$A$5:$A$84,0)),"Unknown")</x:f>
        <x:v>Corporate</x:v>
      </x:c>
      <x:c r="F223" s="8" t="str">
        <x:v>Delhi</x:v>
      </x:c>
      <x:c r="G223" s="8" t="str">
        <x:f>IFERROR(INDEX('Lookup Tables'!$N$5:$N$14,MATCH(F223,'Lookup Tables'!$M$5:$M$14,0)),"Unknown")</x:f>
        <x:v>North</x:v>
      </x:c>
      <x:c r="H223" s="8" t="str">
        <x:v>PRD-006</x:v>
      </x:c>
      <x:c r="I223" s="8" t="str">
        <x:f>IFERROR(INDEX('Lookup Tables'!$G$5:$G$16,MATCH(H223,'Lookup Tables'!$F$5:$F$16,0)),"Unknown Product")</x:f>
        <x:v>Desk Organiser</x:v>
      </x:c>
      <x:c r="J223" s="8" t="str">
        <x:f>IFERROR(INDEX('Lookup Tables'!$H$5:$H$16,MATCH(H223,'Lookup Tables'!$F$5:$F$16,0)),"Unknown")</x:f>
        <x:v>Office Supplies</x:v>
      </x:c>
      <x:c r="K223" s="8" t="n">
        <x:v>2</x:v>
      </x:c>
      <x:c r="L223" s="9" t="n">
        <x:f>IFERROR(INDEX('Lookup Tables'!$I$5:$I$16,MATCH(H223,'Lookup Tables'!$F$5:$F$16,0)),0)</x:f>
        <x:v>699</x:v>
      </x:c>
      <x:c r="M223" s="23" t="n">
        <x:f>IF('Raw Data'!M223="",0,'Raw Data'!M223)</x:f>
        <x:v>0.2</x:v>
      </x:c>
      <x:c r="N223" s="9" t="n">
        <x:f>IF(S223="Completed",K223*L223*(1-M223),0)</x:f>
        <x:v>0</x:v>
      </x:c>
      <x:c r="O223" s="9" t="n">
        <x:f>IFERROR(INDEX('Lookup Tables'!$J$5:$J$16,MATCH(H223,'Lookup Tables'!$F$5:$F$16,0)),0)</x:f>
        <x:v>390</x:v>
      </x:c>
      <x:c r="P223" s="9" t="n">
        <x:f>IF(S223="Completed",K223*O223,0)</x:f>
        <x:v>0</x:v>
      </x:c>
      <x:c r="Q223" s="9" t="n">
        <x:f>N223-P223</x:f>
        <x:v>0</x:v>
      </x:c>
      <x:c r="R223" s="8" t="str">
        <x:f>IF(LOWER('Raw Data'!N223)="upi","UPI",'Raw Data'!N223)</x:f>
        <x:v>UPI</x:v>
      </x:c>
      <x:c r="S223" s="8" t="str">
        <x:v>Returned</x:v>
      </x:c>
      <x:c r="T223" s="8" t="str">
        <x:f>TEXT(B223,"mmm yyyy")</x:f>
        <x:v>Apr 2025</x:v>
      </x:c>
      <x:c r="U223" s="8" t="n">
        <x:f>YEAR(B223)</x:f>
        <x:v>2025</x:v>
      </x:c>
    </x:row>
    <x:row r="224">
      <x:c r="A224" s="8" t="str">
        <x:v>ORD-0220</x:v>
      </x:c>
      <x:c r="B224" s="22" t="n">
        <x:v>45925.26477511574</x:v>
      </x:c>
      <x:c r="C224" s="8" t="str">
        <x:v>CUS-027</x:v>
      </x:c>
      <x:c r="D224" s="8" t="str">
        <x:f>IFERROR(INDEX('Lookup Tables'!$B$5:$B$84,MATCH(C224,'Lookup Tables'!$A$5:$A$84,0)),"Unknown Customer")</x:f>
        <x:v>Kabir Khan 2</x:v>
      </x:c>
      <x:c r="E224" s="8" t="str">
        <x:f>IFERROR(INDEX('Lookup Tables'!$C$5:$C$84,MATCH(C224,'Lookup Tables'!$A$5:$A$84,0)),"Unknown")</x:f>
        <x:v>Small Business</x:v>
      </x:c>
      <x:c r="F224" s="8" t="str">
        <x:v>Lucknow</x:v>
      </x:c>
      <x:c r="G224" s="8" t="str">
        <x:f>IFERROR(INDEX('Lookup Tables'!$N$5:$N$14,MATCH(F224,'Lookup Tables'!$M$5:$M$14,0)),"Unknown")</x:f>
        <x:v>North</x:v>
      </x:c>
      <x:c r="H224" s="8" t="str">
        <x:v>PRD-007</x:v>
      </x:c>
      <x:c r="I224" s="8" t="str">
        <x:f>IFERROR(INDEX('Lookup Tables'!$G$5:$G$16,MATCH(H224,'Lookup Tables'!$F$5:$F$16,0)),"Unknown Product")</x:f>
        <x:v>Electric Kettle</x:v>
      </x:c>
      <x:c r="J224" s="8" t="str">
        <x:f>IFERROR(INDEX('Lookup Tables'!$H$5:$H$16,MATCH(H224,'Lookup Tables'!$F$5:$F$16,0)),"Unknown")</x:f>
        <x:v>Home &amp; Kitchen</x:v>
      </x:c>
      <x:c r="K224" s="8" t="n">
        <x:v>2</x:v>
      </x:c>
      <x:c r="L224" s="9" t="n">
        <x:f>IFERROR(INDEX('Lookup Tables'!$I$5:$I$16,MATCH(H224,'Lookup Tables'!$F$5:$F$16,0)),0)</x:f>
        <x:v>1699</x:v>
      </x:c>
      <x:c r="M224" s="23" t="n">
        <x:f>IF('Raw Data'!M224="",0,'Raw Data'!M224)</x:f>
        <x:v>0</x:v>
      </x:c>
      <x:c r="N224" s="9" t="n">
        <x:f>IF(S224="Completed",K224*L224*(1-M224),0)</x:f>
        <x:v>3398</x:v>
      </x:c>
      <x:c r="O224" s="9" t="n">
        <x:f>IFERROR(INDEX('Lookup Tables'!$J$5:$J$16,MATCH(H224,'Lookup Tables'!$F$5:$F$16,0)),0)</x:f>
        <x:v>1040</x:v>
      </x:c>
      <x:c r="P224" s="9" t="n">
        <x:f>IF(S224="Completed",K224*O224,0)</x:f>
        <x:v>2080</x:v>
      </x:c>
      <x:c r="Q224" s="9" t="n">
        <x:f>N224-P224</x:f>
        <x:v>1318</x:v>
      </x:c>
      <x:c r="R224" s="8" t="str">
        <x:f>IF(LOWER('Raw Data'!N224)="upi","UPI",'Raw Data'!N224)</x:f>
        <x:v>Debit Card</x:v>
      </x:c>
      <x:c r="S224" s="8" t="str">
        <x:v>Completed</x:v>
      </x:c>
      <x:c r="T224" s="8" t="str">
        <x:f>TEXT(B224,"mmm yyyy")</x:f>
        <x:v>Sep 2025</x:v>
      </x:c>
      <x:c r="U224" s="8" t="n">
        <x:f>YEAR(B224)</x:f>
        <x:v>2025</x:v>
      </x:c>
    </x:row>
    <x:row r="225">
      <x:c r="A225" s="8" t="str">
        <x:v>ORD-0221</x:v>
      </x:c>
      <x:c r="B225" s="22" t="n">
        <x:v>45688.6583837037</x:v>
      </x:c>
      <x:c r="C225" s="8" t="str">
        <x:v>CUS-010</x:v>
      </x:c>
      <x:c r="D225" s="8" t="str">
        <x:f>IFERROR(INDEX('Lookup Tables'!$B$5:$B$84,MATCH(C225,'Lookup Tables'!$A$5:$A$84,0)),"Unknown Customer")</x:f>
        <x:v>Saanvi Iyer</x:v>
      </x:c>
      <x:c r="E225" s="8" t="str">
        <x:f>IFERROR(INDEX('Lookup Tables'!$C$5:$C$84,MATCH(C225,'Lookup Tables'!$A$5:$A$84,0)),"Unknown")</x:f>
        <x:v>Consumer</x:v>
      </x:c>
      <x:c r="F225" s="8" t="str">
        <x:v>Delhi</x:v>
      </x:c>
      <x:c r="G225" s="8" t="str">
        <x:f>IFERROR(INDEX('Lookup Tables'!$N$5:$N$14,MATCH(F225,'Lookup Tables'!$M$5:$M$14,0)),"Unknown")</x:f>
        <x:v>North</x:v>
      </x:c>
      <x:c r="H225" s="8" t="str">
        <x:v>PRD-004</x:v>
      </x:c>
      <x:c r="I225" s="8" t="str">
        <x:f>IFERROR(INDEX('Lookup Tables'!$G$5:$G$16,MATCH(H225,'Lookup Tables'!$F$5:$F$16,0)),"Unknown Product")</x:f>
        <x:v>Laptop Stand</x:v>
      </x:c>
      <x:c r="J225" s="8" t="str">
        <x:f>IFERROR(INDEX('Lookup Tables'!$H$5:$H$16,MATCH(H225,'Lookup Tables'!$F$5:$F$16,0)),"Unknown")</x:f>
        <x:v>Office Supplies</x:v>
      </x:c>
      <x:c r="K225" s="8" t="n">
        <x:v>4</x:v>
      </x:c>
      <x:c r="L225" s="9" t="n">
        <x:f>IFERROR(INDEX('Lookup Tables'!$I$5:$I$16,MATCH(H225,'Lookup Tables'!$F$5:$F$16,0)),0)</x:f>
        <x:v>1299</x:v>
      </x:c>
      <x:c r="M225" s="23" t="n">
        <x:f>IF('Raw Data'!M225="",0,'Raw Data'!M225)</x:f>
        <x:v>0.15</x:v>
      </x:c>
      <x:c r="N225" s="9" t="n">
        <x:f>IF(S225="Completed",K225*L225*(1-M225),0)</x:f>
        <x:v>0</x:v>
      </x:c>
      <x:c r="O225" s="9" t="n">
        <x:f>IFERROR(INDEX('Lookup Tables'!$J$5:$J$16,MATCH(H225,'Lookup Tables'!$F$5:$F$16,0)),0)</x:f>
        <x:v>760</x:v>
      </x:c>
      <x:c r="P225" s="9" t="n">
        <x:f>IF(S225="Completed",K225*O225,0)</x:f>
        <x:v>0</x:v>
      </x:c>
      <x:c r="Q225" s="9" t="n">
        <x:f>N225-P225</x:f>
        <x:v>0</x:v>
      </x:c>
      <x:c r="R225" s="8" t="str">
        <x:f>IF(LOWER('Raw Data'!N225)="upi","UPI",'Raw Data'!N225)</x:f>
        <x:v>Net Banking</x:v>
      </x:c>
      <x:c r="S225" s="8" t="str">
        <x:v>Returned</x:v>
      </x:c>
      <x:c r="T225" s="8" t="str">
        <x:f>TEXT(B225,"mmm yyyy")</x:f>
        <x:v>Jan 2025</x:v>
      </x:c>
      <x:c r="U225" s="8" t="n">
        <x:f>YEAR(B225)</x:f>
        <x:v>2025</x:v>
      </x:c>
    </x:row>
    <x:row r="226">
      <x:c r="A226" s="8" t="str">
        <x:v>ORD-0222</x:v>
      </x:c>
      <x:c r="B226" s="22" t="n">
        <x:v>45853.700958298614</x:v>
      </x:c>
      <x:c r="C226" s="8" t="str">
        <x:v>CUS-024</x:v>
      </x:c>
      <x:c r="D226" s="8" t="str">
        <x:f>IFERROR(INDEX('Lookup Tables'!$B$5:$B$84,MATCH(C226,'Lookup Tables'!$A$5:$A$84,0)),"Unknown Customer")</x:f>
        <x:v>Ananya Gupta 2</x:v>
      </x:c>
      <x:c r="E226" s="8" t="str">
        <x:f>IFERROR(INDEX('Lookup Tables'!$C$5:$C$84,MATCH(C226,'Lookup Tables'!$A$5:$A$84,0)),"Unknown")</x:f>
        <x:v>Small Business</x:v>
      </x:c>
      <x:c r="F226" s="8" t="str">
        <x:v>Hyderabad</x:v>
      </x:c>
      <x:c r="G226" s="8" t="str">
        <x:f>IFERROR(INDEX('Lookup Tables'!$N$5:$N$14,MATCH(F226,'Lookup Tables'!$M$5:$M$14,0)),"Unknown")</x:f>
        <x:v>South</x:v>
      </x:c>
      <x:c r="H226" s="8" t="str">
        <x:v>PRD-012</x:v>
      </x:c>
      <x:c r="I226" s="8" t="str">
        <x:f>IFERROR(INDEX('Lookup Tables'!$G$5:$G$16,MATCH(H226,'Lookup Tables'!$F$5:$F$16,0)),"Unknown Product")</x:f>
        <x:v>Stainless Water Bottle</x:v>
      </x:c>
      <x:c r="J226" s="8" t="str">
        <x:f>IFERROR(INDEX('Lookup Tables'!$H$5:$H$16,MATCH(H226,'Lookup Tables'!$F$5:$F$16,0)),"Unknown")</x:f>
        <x:v>Lifestyle</x:v>
      </x:c>
      <x:c r="K226" s="8" t="n">
        <x:v>1</x:v>
      </x:c>
      <x:c r="L226" s="9" t="n">
        <x:f>IFERROR(INDEX('Lookup Tables'!$I$5:$I$16,MATCH(H226,'Lookup Tables'!$F$5:$F$16,0)),0)</x:f>
        <x:v>799</x:v>
      </x:c>
      <x:c r="M226" s="23" t="n">
        <x:f>IF('Raw Data'!M226="",0,'Raw Data'!M226)</x:f>
        <x:v>0.2</x:v>
      </x:c>
      <x:c r="N226" s="9" t="n">
        <x:f>IF(S226="Completed",K226*L226*(1-M226),0)</x:f>
        <x:v>639.2</x:v>
      </x:c>
      <x:c r="O226" s="9" t="n">
        <x:f>IFERROR(INDEX('Lookup Tables'!$J$5:$J$16,MATCH(H226,'Lookup Tables'!$F$5:$F$16,0)),0)</x:f>
        <x:v>410</x:v>
      </x:c>
      <x:c r="P226" s="9" t="n">
        <x:f>IF(S226="Completed",K226*O226,0)</x:f>
        <x:v>410</x:v>
      </x:c>
      <x:c r="Q226" s="9" t="n">
        <x:f>N226-P226</x:f>
        <x:v>229.20000000000005</x:v>
      </x:c>
      <x:c r="R226" s="8" t="str">
        <x:f>IF(LOWER('Raw Data'!N226)="upi","UPI",'Raw Data'!N226)</x:f>
        <x:v>Credit Card</x:v>
      </x:c>
      <x:c r="S226" s="8" t="str">
        <x:v>Completed</x:v>
      </x:c>
      <x:c r="T226" s="8" t="str">
        <x:f>TEXT(B226,"mmm yyyy")</x:f>
        <x:v>Jul 2025</x:v>
      </x:c>
      <x:c r="U226" s="8" t="n">
        <x:f>YEAR(B226)</x:f>
        <x:v>2025</x:v>
      </x:c>
    </x:row>
    <x:row r="227">
      <x:c r="A227" s="8" t="str">
        <x:v>ORD-0223</x:v>
      </x:c>
      <x:c r="B227" s="22" t="n">
        <x:v>45724.66675244213</x:v>
      </x:c>
      <x:c r="C227" s="8" t="str">
        <x:v>CUS-075</x:v>
      </x:c>
      <x:c r="D227" s="8" t="str">
        <x:f>IFERROR(INDEX('Lookup Tables'!$B$5:$B$84,MATCH(C227,'Lookup Tables'!$A$5:$A$84,0)),"Unknown Customer")</x:f>
        <x:v>Karan Malhotra 4</x:v>
      </x:c>
      <x:c r="E227" s="8" t="str">
        <x:f>IFERROR(INDEX('Lookup Tables'!$C$5:$C$84,MATCH(C227,'Lookup Tables'!$A$5:$A$84,0)),"Unknown")</x:f>
        <x:v>Small Business</x:v>
      </x:c>
      <x:c r="F227" s="8" t="str">
        <x:v>Lucknow</x:v>
      </x:c>
      <x:c r="G227" s="8" t="str">
        <x:f>IFERROR(INDEX('Lookup Tables'!$N$5:$N$14,MATCH(F227,'Lookup Tables'!$M$5:$M$14,0)),"Unknown")</x:f>
        <x:v>North</x:v>
      </x:c>
      <x:c r="H227" s="8" t="str">
        <x:v>PRD-011</x:v>
      </x:c>
      <x:c r="I227" s="8" t="str">
        <x:f>IFERROR(INDEX('Lookup Tables'!$G$5:$G$16,MATCH(H227,'Lookup Tables'!$F$5:$F$16,0)),"Unknown Product")</x:f>
        <x:v>Classic Wallet</x:v>
      </x:c>
      <x:c r="J227" s="8" t="str">
        <x:f>IFERROR(INDEX('Lookup Tables'!$H$5:$H$16,MATCH(H227,'Lookup Tables'!$F$5:$F$16,0)),"Unknown")</x:f>
        <x:v>Fashion</x:v>
      </x:c>
      <x:c r="K227" s="8" t="n">
        <x:v>1</x:v>
      </x:c>
      <x:c r="L227" s="9" t="n">
        <x:f>IFERROR(INDEX('Lookup Tables'!$I$5:$I$16,MATCH(H227,'Lookup Tables'!$F$5:$F$16,0)),0)</x:f>
        <x:v>1199</x:v>
      </x:c>
      <x:c r="M227" s="23" t="n">
        <x:f>IF('Raw Data'!M227="",0,'Raw Data'!M227)</x:f>
        <x:v>0.05</x:v>
      </x:c>
      <x:c r="N227" s="9" t="n">
        <x:f>IF(S227="Completed",K227*L227*(1-M227),0)</x:f>
        <x:v>1139.05</x:v>
      </x:c>
      <x:c r="O227" s="9" t="n">
        <x:f>IFERROR(INDEX('Lookup Tables'!$J$5:$J$16,MATCH(H227,'Lookup Tables'!$F$5:$F$16,0)),0)</x:f>
        <x:v>690</x:v>
      </x:c>
      <x:c r="P227" s="9" t="n">
        <x:f>IF(S227="Completed",K227*O227,0)</x:f>
        <x:v>690</x:v>
      </x:c>
      <x:c r="Q227" s="9" t="n">
        <x:f>N227-P227</x:f>
        <x:v>449.04999999999995</x:v>
      </x:c>
      <x:c r="R227" s="8" t="str">
        <x:f>IF(LOWER('Raw Data'!N227)="upi","UPI",'Raw Data'!N227)</x:f>
        <x:v>Debit Card</x:v>
      </x:c>
      <x:c r="S227" s="8" t="str">
        <x:v>Completed</x:v>
      </x:c>
      <x:c r="T227" s="8" t="str">
        <x:f>TEXT(B227,"mmm yyyy")</x:f>
        <x:v>Mar 2025</x:v>
      </x:c>
      <x:c r="U227" s="8" t="n">
        <x:f>YEAR(B227)</x:f>
        <x:v>2025</x:v>
      </x:c>
    </x:row>
    <x:row r="228">
      <x:c r="A228" s="8" t="str">
        <x:v>ORD-0224</x:v>
      </x:c>
      <x:c r="B228" s="22" t="n">
        <x:v>45940.06411784722</x:v>
      </x:c>
      <x:c r="C228" s="8" t="str">
        <x:v>CUS-071</x:v>
      </x:c>
      <x:c r="D228" s="8" t="str">
        <x:f>IFERROR(INDEX('Lookup Tables'!$B$5:$B$84,MATCH(C228,'Lookup Tables'!$A$5:$A$84,0)),"Unknown Customer")</x:f>
        <x:v>Aditya Joshi 4</x:v>
      </x:c>
      <x:c r="E228" s="8" t="str">
        <x:f>IFERROR(INDEX('Lookup Tables'!$C$5:$C$84,MATCH(C228,'Lookup Tables'!$A$5:$A$84,0)),"Unknown")</x:f>
        <x:v>Corporate</x:v>
      </x:c>
      <x:c r="F228" s="8" t="str">
        <x:v>Mumbai</x:v>
      </x:c>
      <x:c r="G228" s="8" t="str">
        <x:f>IFERROR(INDEX('Lookup Tables'!$N$5:$N$14,MATCH(F228,'Lookup Tables'!$M$5:$M$14,0)),"Unknown")</x:f>
        <x:v>West</x:v>
      </x:c>
      <x:c r="H228" s="8" t="str">
        <x:v>PRD-008</x:v>
      </x:c>
      <x:c r="I228" s="8" t="str">
        <x:f>IFERROR(INDEX('Lookup Tables'!$G$5:$G$16,MATCH(H228,'Lookup Tables'!$F$5:$F$16,0)),"Unknown Product")</x:f>
        <x:v>Storage Container Set</x:v>
      </x:c>
      <x:c r="J228" s="8" t="str">
        <x:f>IFERROR(INDEX('Lookup Tables'!$H$5:$H$16,MATCH(H228,'Lookup Tables'!$F$5:$F$16,0)),"Unknown")</x:f>
        <x:v>Home &amp; Kitchen</x:v>
      </x:c>
      <x:c r="K228" s="8" t="n">
        <x:v>3</x:v>
      </x:c>
      <x:c r="L228" s="9" t="n">
        <x:f>IFERROR(INDEX('Lookup Tables'!$I$5:$I$16,MATCH(H228,'Lookup Tables'!$F$5:$F$16,0)),0)</x:f>
        <x:v>999</x:v>
      </x:c>
      <x:c r="M228" s="23" t="n">
        <x:f>IF('Raw Data'!M228="",0,'Raw Data'!M228)</x:f>
        <x:v>0.15</x:v>
      </x:c>
      <x:c r="N228" s="9" t="n">
        <x:f>IF(S228="Completed",K228*L228*(1-M228),0)</x:f>
        <x:v>2547.45</x:v>
      </x:c>
      <x:c r="O228" s="9" t="n">
        <x:f>IFERROR(INDEX('Lookup Tables'!$J$5:$J$16,MATCH(H228,'Lookup Tables'!$F$5:$F$16,0)),0)</x:f>
        <x:v>580</x:v>
      </x:c>
      <x:c r="P228" s="9" t="n">
        <x:f>IF(S228="Completed",K228*O228,0)</x:f>
        <x:v>1740</x:v>
      </x:c>
      <x:c r="Q228" s="9" t="n">
        <x:f>N228-P228</x:f>
        <x:v>807.4499999999998</x:v>
      </x:c>
      <x:c r="R228" s="8" t="str">
        <x:f>IF(LOWER('Raw Data'!N228)="upi","UPI",'Raw Data'!N228)</x:f>
        <x:v>UPI</x:v>
      </x:c>
      <x:c r="S228" s="8" t="str">
        <x:v>Completed</x:v>
      </x:c>
      <x:c r="T228" s="8" t="str">
        <x:f>TEXT(B228,"mmm yyyy")</x:f>
        <x:v>Oct 2025</x:v>
      </x:c>
      <x:c r="U228" s="8" t="n">
        <x:f>YEAR(B228)</x:f>
        <x:v>2025</x:v>
      </x:c>
    </x:row>
    <x:row r="229">
      <x:c r="A229" s="8" t="str">
        <x:v>ORD-0225</x:v>
      </x:c>
      <x:c r="B229" s="22" t="n">
        <x:v>45956.45417701389</x:v>
      </x:c>
      <x:c r="C229" s="8" t="str">
        <x:v>CUS-053</x:v>
      </x:c>
      <x:c r="D229" s="8" t="str">
        <x:f>IFERROR(INDEX('Lookup Tables'!$B$5:$B$84,MATCH(C229,'Lookup Tables'!$A$5:$A$84,0)),"Unknown Customer")</x:f>
        <x:v>Rahul Mishra 3</x:v>
      </x:c>
      <x:c r="E229" s="8" t="str">
        <x:f>IFERROR(INDEX('Lookup Tables'!$C$5:$C$84,MATCH(C229,'Lookup Tables'!$A$5:$A$84,0)),"Unknown")</x:f>
        <x:v>Corporate</x:v>
      </x:c>
      <x:c r="F229" s="8" t="str">
        <x:v>Bengaluru</x:v>
      </x:c>
      <x:c r="G229" s="8" t="str">
        <x:f>IFERROR(INDEX('Lookup Tables'!$N$5:$N$14,MATCH(F229,'Lookup Tables'!$M$5:$M$14,0)),"Unknown")</x:f>
        <x:v>South</x:v>
      </x:c>
      <x:c r="H229" s="8" t="str">
        <x:v>PRD-003</x:v>
      </x:c>
      <x:c r="I229" s="8" t="str">
        <x:f>IFERROR(INDEX('Lookup Tables'!$G$5:$G$16,MATCH(H229,'Lookup Tables'!$F$5:$F$16,0)),"Unknown Product")</x:f>
        <x:v>USB-C Hub</x:v>
      </x:c>
      <x:c r="J229" s="8" t="str">
        <x:f>IFERROR(INDEX('Lookup Tables'!$H$5:$H$16,MATCH(H229,'Lookup Tables'!$F$5:$F$16,0)),"Unknown")</x:f>
        <x:v>Electronics</x:v>
      </x:c>
      <x:c r="K229" s="8" t="n">
        <x:v>2</x:v>
      </x:c>
      <x:c r="L229" s="9" t="n">
        <x:f>IFERROR(INDEX('Lookup Tables'!$I$5:$I$16,MATCH(H229,'Lookup Tables'!$F$5:$F$16,0)),0)</x:f>
        <x:v>1899</x:v>
      </x:c>
      <x:c r="M229" s="23" t="n">
        <x:f>IF('Raw Data'!M229="",0,'Raw Data'!M229)</x:f>
        <x:v>0</x:v>
      </x:c>
      <x:c r="N229" s="9" t="n">
        <x:f>IF(S229="Completed",K229*L229*(1-M229),0)</x:f>
        <x:v>3798</x:v>
      </x:c>
      <x:c r="O229" s="9" t="n">
        <x:f>IFERROR(INDEX('Lookup Tables'!$J$5:$J$16,MATCH(H229,'Lookup Tables'!$F$5:$F$16,0)),0)</x:f>
        <x:v>1180</x:v>
      </x:c>
      <x:c r="P229" s="9" t="n">
        <x:f>IF(S229="Completed",K229*O229,0)</x:f>
        <x:v>2360</x:v>
      </x:c>
      <x:c r="Q229" s="9" t="n">
        <x:f>N229-P229</x:f>
        <x:v>1438</x:v>
      </x:c>
      <x:c r="R229" s="8" t="str">
        <x:f>IF(LOWER('Raw Data'!N229)="upi","UPI",'Raw Data'!N229)</x:f>
        <x:v>Debit Card</x:v>
      </x:c>
      <x:c r="S229" s="8" t="str">
        <x:v>Completed</x:v>
      </x:c>
      <x:c r="T229" s="8" t="str">
        <x:f>TEXT(B229,"mmm yyyy")</x:f>
        <x:v>Oct 2025</x:v>
      </x:c>
      <x:c r="U229" s="8" t="n">
        <x:f>YEAR(B229)</x:f>
        <x:v>2025</x:v>
      </x:c>
    </x:row>
    <x:row r="230">
      <x:c r="A230" s="8" t="str">
        <x:v>ORD-0226</x:v>
      </x:c>
      <x:c r="B230" s="22" t="n">
        <x:v>45968.762015092594</x:v>
      </x:c>
      <x:c r="C230" s="8" t="str">
        <x:v>CUS-064</x:v>
      </x:c>
      <x:c r="D230" s="8" t="str">
        <x:f>IFERROR(INDEX('Lookup Tables'!$B$5:$B$84,MATCH(C230,'Lookup Tables'!$A$5:$A$84,0)),"Unknown Customer")</x:f>
        <x:v>Ananya Gupta 4</x:v>
      </x:c>
      <x:c r="E230" s="8" t="str">
        <x:f>IFERROR(INDEX('Lookup Tables'!$C$5:$C$84,MATCH(C230,'Lookup Tables'!$A$5:$A$84,0)),"Unknown")</x:f>
        <x:v>Consumer</x:v>
      </x:c>
      <x:c r="F230" s="8" t="str">
        <x:v>Mumbai</x:v>
      </x:c>
      <x:c r="G230" s="8" t="str">
        <x:f>IFERROR(INDEX('Lookup Tables'!$N$5:$N$14,MATCH(F230,'Lookup Tables'!$M$5:$M$14,0)),"Unknown")</x:f>
        <x:v>West</x:v>
      </x:c>
      <x:c r="H230" s="8" t="str">
        <x:v>PRD-002</x:v>
      </x:c>
      <x:c r="I230" s="8" t="str">
        <x:f>IFERROR(INDEX('Lookup Tables'!$G$5:$G$16,MATCH(H230,'Lookup Tables'!$F$5:$F$16,0)),"Unknown Product")</x:f>
        <x:v>Bluetooth Headphones</x:v>
      </x:c>
      <x:c r="J230" s="8" t="str">
        <x:f>IFERROR(INDEX('Lookup Tables'!$H$5:$H$16,MATCH(H230,'Lookup Tables'!$F$5:$F$16,0)),"Unknown")</x:f>
        <x:v>Electronics</x:v>
      </x:c>
      <x:c r="K230" s="8" t="n">
        <x:v>1</x:v>
      </x:c>
      <x:c r="L230" s="9" t="n">
        <x:f>IFERROR(INDEX('Lookup Tables'!$I$5:$I$16,MATCH(H230,'Lookup Tables'!$F$5:$F$16,0)),0)</x:f>
        <x:v>2499</x:v>
      </x:c>
      <x:c r="M230" s="23" t="n">
        <x:f>IF('Raw Data'!M230="",0,'Raw Data'!M230)</x:f>
        <x:v>0</x:v>
      </x:c>
      <x:c r="N230" s="9" t="n">
        <x:f>IF(S230="Completed",K230*L230*(1-M230),0)</x:f>
        <x:v>0</x:v>
      </x:c>
      <x:c r="O230" s="9" t="n">
        <x:f>IFERROR(INDEX('Lookup Tables'!$J$5:$J$16,MATCH(H230,'Lookup Tables'!$F$5:$F$16,0)),0)</x:f>
        <x:v>1620</x:v>
      </x:c>
      <x:c r="P230" s="9" t="n">
        <x:f>IF(S230="Completed",K230*O230,0)</x:f>
        <x:v>0</x:v>
      </x:c>
      <x:c r="Q230" s="9" t="n">
        <x:f>N230-P230</x:f>
        <x:v>0</x:v>
      </x:c>
      <x:c r="R230" s="8" t="str">
        <x:f>IF(LOWER('Raw Data'!N230)="upi","UPI",'Raw Data'!N230)</x:f>
        <x:v>Cash on Delivery</x:v>
      </x:c>
      <x:c r="S230" s="8" t="str">
        <x:v>Returned</x:v>
      </x:c>
      <x:c r="T230" s="8" t="str">
        <x:f>TEXT(B230,"mmm yyyy")</x:f>
        <x:v>Nov 2025</x:v>
      </x:c>
      <x:c r="U230" s="8" t="n">
        <x:f>YEAR(B230)</x:f>
        <x:v>2025</x:v>
      </x:c>
    </x:row>
    <x:row r="231">
      <x:c r="A231" s="8" t="str">
        <x:v>ORD-0227</x:v>
      </x:c>
      <x:c r="B231" s="22" t="n">
        <x:v>45660.414628101855</x:v>
      </x:c>
      <x:c r="C231" s="8" t="str">
        <x:v>CUS-044</x:v>
      </x:c>
      <x:c r="D231" s="8" t="str">
        <x:f>IFERROR(INDEX('Lookup Tables'!$B$5:$B$84,MATCH(C231,'Lookup Tables'!$A$5:$A$84,0)),"Unknown Customer")</x:f>
        <x:v>Ananya Gupta 3</x:v>
      </x:c>
      <x:c r="E231" s="8" t="str">
        <x:f>IFERROR(INDEX('Lookup Tables'!$C$5:$C$84,MATCH(C231,'Lookup Tables'!$A$5:$A$84,0)),"Unknown")</x:f>
        <x:v>Corporate</x:v>
      </x:c>
      <x:c r="F231" s="8" t="str">
        <x:v>Hyderabad</x:v>
      </x:c>
      <x:c r="G231" s="8" t="str">
        <x:f>IFERROR(INDEX('Lookup Tables'!$N$5:$N$14,MATCH(F231,'Lookup Tables'!$M$5:$M$14,0)),"Unknown")</x:f>
        <x:v>South</x:v>
      </x:c>
      <x:c r="H231" s="8" t="str">
        <x:v>PRD-008</x:v>
      </x:c>
      <x:c r="I231" s="8" t="str">
        <x:f>IFERROR(INDEX('Lookup Tables'!$G$5:$G$16,MATCH(H231,'Lookup Tables'!$F$5:$F$16,0)),"Unknown Product")</x:f>
        <x:v>Storage Container Set</x:v>
      </x:c>
      <x:c r="J231" s="8" t="str">
        <x:f>IFERROR(INDEX('Lookup Tables'!$H$5:$H$16,MATCH(H231,'Lookup Tables'!$F$5:$F$16,0)),"Unknown")</x:f>
        <x:v>Home &amp; Kitchen</x:v>
      </x:c>
      <x:c r="K231" s="8" t="n">
        <x:v>2</x:v>
      </x:c>
      <x:c r="L231" s="9" t="n">
        <x:f>IFERROR(INDEX('Lookup Tables'!$I$5:$I$16,MATCH(H231,'Lookup Tables'!$F$5:$F$16,0)),0)</x:f>
        <x:v>999</x:v>
      </x:c>
      <x:c r="M231" s="23" t="n">
        <x:f>IF('Raw Data'!M231="",0,'Raw Data'!M231)</x:f>
        <x:v>0.05</x:v>
      </x:c>
      <x:c r="N231" s="9" t="n">
        <x:f>IF(S231="Completed",K231*L231*(1-M231),0)</x:f>
        <x:v>0</x:v>
      </x:c>
      <x:c r="O231" s="9" t="n">
        <x:f>IFERROR(INDEX('Lookup Tables'!$J$5:$J$16,MATCH(H231,'Lookup Tables'!$F$5:$F$16,0)),0)</x:f>
        <x:v>580</x:v>
      </x:c>
      <x:c r="P231" s="9" t="n">
        <x:f>IF(S231="Completed",K231*O231,0)</x:f>
        <x:v>0</x:v>
      </x:c>
      <x:c r="Q231" s="9" t="n">
        <x:f>N231-P231</x:f>
        <x:v>0</x:v>
      </x:c>
      <x:c r="R231" s="8" t="str">
        <x:f>IF(LOWER('Raw Data'!N231)="upi","UPI",'Raw Data'!N231)</x:f>
        <x:v>UPI</x:v>
      </x:c>
      <x:c r="S231" s="8" t="str">
        <x:v>Returned</x:v>
      </x:c>
      <x:c r="T231" s="8" t="str">
        <x:f>TEXT(B231,"mmm yyyy")</x:f>
        <x:v>Jan 2025</x:v>
      </x:c>
      <x:c r="U231" s="8" t="n">
        <x:f>YEAR(B231)</x:f>
        <x:v>2025</x:v>
      </x:c>
    </x:row>
    <x:row r="232">
      <x:c r="A232" s="8" t="str">
        <x:v>ORD-0228</x:v>
      </x:c>
      <x:c r="B232" s="22" t="n">
        <x:v>45675.590879131945</x:v>
      </x:c>
      <x:c r="C232" s="8" t="str">
        <x:v>CUS-013</x:v>
      </x:c>
      <x:c r="D232" s="8" t="str">
        <x:f>IFERROR(INDEX('Lookup Tables'!$B$5:$B$84,MATCH(C232,'Lookup Tables'!$A$5:$A$84,0)),"Unknown Customer")</x:f>
        <x:v>Rahul Mishra</x:v>
      </x:c>
      <x:c r="E232" s="8" t="str">
        <x:f>IFERROR(INDEX('Lookup Tables'!$C$5:$C$84,MATCH(C232,'Lookup Tables'!$A$5:$A$84,0)),"Unknown")</x:f>
        <x:v>Consumer</x:v>
      </x:c>
      <x:c r="F232" s="8" t="str">
        <x:v>Pune</x:v>
      </x:c>
      <x:c r="G232" s="8" t="str">
        <x:f>IFERROR(INDEX('Lookup Tables'!$N$5:$N$14,MATCH(F232,'Lookup Tables'!$M$5:$M$14,0)),"Unknown")</x:f>
        <x:v>West</x:v>
      </x:c>
      <x:c r="H232" s="8" t="str">
        <x:v>PRD-002</x:v>
      </x:c>
      <x:c r="I232" s="8" t="str">
        <x:f>IFERROR(INDEX('Lookup Tables'!$G$5:$G$16,MATCH(H232,'Lookup Tables'!$F$5:$F$16,0)),"Unknown Product")</x:f>
        <x:v>Bluetooth Headphones</x:v>
      </x:c>
      <x:c r="J232" s="8" t="str">
        <x:f>IFERROR(INDEX('Lookup Tables'!$H$5:$H$16,MATCH(H232,'Lookup Tables'!$F$5:$F$16,0)),"Unknown")</x:f>
        <x:v>Electronics</x:v>
      </x:c>
      <x:c r="K232" s="8" t="n">
        <x:v>5</x:v>
      </x:c>
      <x:c r="L232" s="9" t="n">
        <x:f>IFERROR(INDEX('Lookup Tables'!$I$5:$I$16,MATCH(H232,'Lookup Tables'!$F$5:$F$16,0)),0)</x:f>
        <x:v>2499</x:v>
      </x:c>
      <x:c r="M232" s="23" t="n">
        <x:f>IF('Raw Data'!M232="",0,'Raw Data'!M232)</x:f>
        <x:v>0.2</x:v>
      </x:c>
      <x:c r="N232" s="9" t="n">
        <x:f>IF(S232="Completed",K232*L232*(1-M232),0)</x:f>
        <x:v>0</x:v>
      </x:c>
      <x:c r="O232" s="9" t="n">
        <x:f>IFERROR(INDEX('Lookup Tables'!$J$5:$J$16,MATCH(H232,'Lookup Tables'!$F$5:$F$16,0)),0)</x:f>
        <x:v>1620</x:v>
      </x:c>
      <x:c r="P232" s="9" t="n">
        <x:f>IF(S232="Completed",K232*O232,0)</x:f>
        <x:v>0</x:v>
      </x:c>
      <x:c r="Q232" s="9" t="n">
        <x:f>N232-P232</x:f>
        <x:v>0</x:v>
      </x:c>
      <x:c r="R232" s="8" t="str">
        <x:f>IF(LOWER('Raw Data'!N232)="upi","UPI",'Raw Data'!N232)</x:f>
        <x:v>Debit Card</x:v>
      </x:c>
      <x:c r="S232" s="8" t="str">
        <x:v>Returned</x:v>
      </x:c>
      <x:c r="T232" s="8" t="str">
        <x:f>TEXT(B232,"mmm yyyy")</x:f>
        <x:v>Jan 2025</x:v>
      </x:c>
      <x:c r="U232" s="8" t="n">
        <x:f>YEAR(B232)</x:f>
        <x:v>2025</x:v>
      </x:c>
    </x:row>
    <x:row r="233">
      <x:c r="A233" s="8" t="str">
        <x:v>ORD-0229</x:v>
      </x:c>
      <x:c r="B233" s="22" t="n">
        <x:v>45894.91744775463</x:v>
      </x:c>
      <x:c r="C233" s="8" t="str">
        <x:v>CUS-006</x:v>
      </x:c>
      <x:c r="D233" s="8" t="str">
        <x:f>IFERROR(INDEX('Lookup Tables'!$B$5:$B$84,MATCH(C233,'Lookup Tables'!$A$5:$A$84,0)),"Unknown Customer")</x:f>
        <x:v>Isha Mehta</x:v>
      </x:c>
      <x:c r="E233" s="8" t="str">
        <x:f>IFERROR(INDEX('Lookup Tables'!$C$5:$C$84,MATCH(C233,'Lookup Tables'!$A$5:$A$84,0)),"Unknown")</x:f>
        <x:v>Small Business</x:v>
      </x:c>
      <x:c r="F233" s="8" t="str">
        <x:v>Lucknow</x:v>
      </x:c>
      <x:c r="G233" s="8" t="str">
        <x:f>IFERROR(INDEX('Lookup Tables'!$N$5:$N$14,MATCH(F233,'Lookup Tables'!$M$5:$M$14,0)),"Unknown")</x:f>
        <x:v>North</x:v>
      </x:c>
      <x:c r="H233" s="8" t="str">
        <x:v>PRD-012</x:v>
      </x:c>
      <x:c r="I233" s="8" t="str">
        <x:f>IFERROR(INDEX('Lookup Tables'!$G$5:$G$16,MATCH(H233,'Lookup Tables'!$F$5:$F$16,0)),"Unknown Product")</x:f>
        <x:v>Stainless Water Bottle</x:v>
      </x:c>
      <x:c r="J233" s="8" t="str">
        <x:f>IFERROR(INDEX('Lookup Tables'!$H$5:$H$16,MATCH(H233,'Lookup Tables'!$F$5:$F$16,0)),"Unknown")</x:f>
        <x:v>Lifestyle</x:v>
      </x:c>
      <x:c r="K233" s="8" t="n">
        <x:v>2</x:v>
      </x:c>
      <x:c r="L233" s="9" t="n">
        <x:f>IFERROR(INDEX('Lookup Tables'!$I$5:$I$16,MATCH(H233,'Lookup Tables'!$F$5:$F$16,0)),0)</x:f>
        <x:v>799</x:v>
      </x:c>
      <x:c r="M233" s="23" t="n">
        <x:f>IF('Raw Data'!M233="",0,'Raw Data'!M233)</x:f>
        <x:v>0.05</x:v>
      </x:c>
      <x:c r="N233" s="9" t="n">
        <x:f>IF(S233="Completed",K233*L233*(1-M233),0)</x:f>
        <x:v>0</x:v>
      </x:c>
      <x:c r="O233" s="9" t="n">
        <x:f>IFERROR(INDEX('Lookup Tables'!$J$5:$J$16,MATCH(H233,'Lookup Tables'!$F$5:$F$16,0)),0)</x:f>
        <x:v>410</x:v>
      </x:c>
      <x:c r="P233" s="9" t="n">
        <x:f>IF(S233="Completed",K233*O233,0)</x:f>
        <x:v>0</x:v>
      </x:c>
      <x:c r="Q233" s="9" t="n">
        <x:f>N233-P233</x:f>
        <x:v>0</x:v>
      </x:c>
      <x:c r="R233" s="8" t="str">
        <x:f>IF(LOWER('Raw Data'!N233)="upi","UPI",'Raw Data'!N233)</x:f>
        <x:v>UPI</x:v>
      </x:c>
      <x:c r="S233" s="8" t="str">
        <x:v>Returned</x:v>
      </x:c>
      <x:c r="T233" s="8" t="str">
        <x:f>TEXT(B233,"mmm yyyy")</x:f>
        <x:v>Aug 2025</x:v>
      </x:c>
      <x:c r="U233" s="8" t="n">
        <x:f>YEAR(B233)</x:f>
        <x:v>2025</x:v>
      </x:c>
    </x:row>
    <x:row r="234">
      <x:c r="A234" s="8" t="str">
        <x:v>ORD-0230</x:v>
      </x:c>
      <x:c r="B234" s="22" t="n">
        <x:v>45994.26293362268</x:v>
      </x:c>
      <x:c r="C234" s="8" t="str">
        <x:v>CUS-022</x:v>
      </x:c>
      <x:c r="D234" s="8" t="str">
        <x:f>IFERROR(INDEX('Lookup Tables'!$B$5:$B$84,MATCH(C234,'Lookup Tables'!$A$5:$A$84,0)),"Unknown Customer")</x:f>
        <x:v>Diya Patel 2</x:v>
      </x:c>
      <x:c r="E234" s="8" t="str">
        <x:f>IFERROR(INDEX('Lookup Tables'!$C$5:$C$84,MATCH(C234,'Lookup Tables'!$A$5:$A$84,0)),"Unknown")</x:f>
        <x:v>Consumer</x:v>
      </x:c>
      <x:c r="F234" s="8" t="str">
        <x:v>Ahmedabad</x:v>
      </x:c>
      <x:c r="G234" s="8" t="str">
        <x:f>IFERROR(INDEX('Lookup Tables'!$N$5:$N$14,MATCH(F234,'Lookup Tables'!$M$5:$M$14,0)),"Unknown")</x:f>
        <x:v>West</x:v>
      </x:c>
      <x:c r="H234" s="8" t="str">
        <x:v>PRD-009</x:v>
      </x:c>
      <x:c r="I234" s="8" t="str">
        <x:f>IFERROR(INDEX('Lookup Tables'!$G$5:$G$16,MATCH(H234,'Lookup Tables'!$F$5:$F$16,0)),"Unknown Product")</x:f>
        <x:v>Table Lamp</x:v>
      </x:c>
      <x:c r="J234" s="8" t="str">
        <x:f>IFERROR(INDEX('Lookup Tables'!$H$5:$H$16,MATCH(H234,'Lookup Tables'!$F$5:$F$16,0)),"Unknown")</x:f>
        <x:v>Home &amp; Kitchen</x:v>
      </x:c>
      <x:c r="K234" s="8" t="n">
        <x:v>5</x:v>
      </x:c>
      <x:c r="L234" s="9" t="n">
        <x:f>IFERROR(INDEX('Lookup Tables'!$I$5:$I$16,MATCH(H234,'Lookup Tables'!$F$5:$F$16,0)),0)</x:f>
        <x:v>1499</x:v>
      </x:c>
      <x:c r="M234" s="23" t="n">
        <x:f>IF('Raw Data'!M234="",0,'Raw Data'!M234)</x:f>
        <x:v>0.05</x:v>
      </x:c>
      <x:c r="N234" s="9" t="n">
        <x:f>IF(S234="Completed",K234*L234*(1-M234),0)</x:f>
        <x:v>7120.25</x:v>
      </x:c>
      <x:c r="O234" s="9" t="n">
        <x:f>IFERROR(INDEX('Lookup Tables'!$J$5:$J$16,MATCH(H234,'Lookup Tables'!$F$5:$F$16,0)),0)</x:f>
        <x:v>920</x:v>
      </x:c>
      <x:c r="P234" s="9" t="n">
        <x:f>IF(S234="Completed",K234*O234,0)</x:f>
        <x:v>4600</x:v>
      </x:c>
      <x:c r="Q234" s="9" t="n">
        <x:f>N234-P234</x:f>
        <x:v>2520.25</x:v>
      </x:c>
      <x:c r="R234" s="8" t="str">
        <x:f>IF(LOWER('Raw Data'!N234)="upi","UPI",'Raw Data'!N234)</x:f>
        <x:v>Cash on Delivery</x:v>
      </x:c>
      <x:c r="S234" s="8" t="str">
        <x:v>Completed</x:v>
      </x:c>
      <x:c r="T234" s="8" t="str">
        <x:f>TEXT(B234,"mmm yyyy")</x:f>
        <x:v>Dec 2025</x:v>
      </x:c>
      <x:c r="U234" s="8" t="n">
        <x:f>YEAR(B234)</x:f>
        <x:v>2025</x:v>
      </x:c>
    </x:row>
    <x:row r="235">
      <x:c r="A235" s="8" t="str">
        <x:v>ORD-0231</x:v>
      </x:c>
      <x:c r="B235" s="22" t="n">
        <x:v>45970.36237484954</x:v>
      </x:c>
      <x:c r="C235" s="8" t="str">
        <x:v>CUS-043</x:v>
      </x:c>
      <x:c r="D235" s="8" t="str">
        <x:f>IFERROR(INDEX('Lookup Tables'!$B$5:$B$84,MATCH(C235,'Lookup Tables'!$A$5:$A$84,0)),"Unknown Customer")</x:f>
        <x:v>Vihaan Singh 3</x:v>
      </x:c>
      <x:c r="E235" s="8" t="str">
        <x:f>IFERROR(INDEX('Lookup Tables'!$C$5:$C$84,MATCH(C235,'Lookup Tables'!$A$5:$A$84,0)),"Unknown")</x:f>
        <x:v>Consumer</x:v>
      </x:c>
      <x:c r="F235" s="8" t="str">
        <x:v>Pune</x:v>
      </x:c>
      <x:c r="G235" s="8" t="str">
        <x:f>IFERROR(INDEX('Lookup Tables'!$N$5:$N$14,MATCH(F235,'Lookup Tables'!$M$5:$M$14,0)),"Unknown")</x:f>
        <x:v>West</x:v>
      </x:c>
      <x:c r="H235" s="8" t="str">
        <x:v>PRD-005</x:v>
      </x:c>
      <x:c r="I235" s="8" t="str">
        <x:f>IFERROR(INDEX('Lookup Tables'!$G$5:$G$16,MATCH(H235,'Lookup Tables'!$F$5:$F$16,0)),"Unknown Product")</x:f>
        <x:v>Executive Notebook</x:v>
      </x:c>
      <x:c r="J235" s="8" t="str">
        <x:f>IFERROR(INDEX('Lookup Tables'!$H$5:$H$16,MATCH(H235,'Lookup Tables'!$F$5:$F$16,0)),"Unknown")</x:f>
        <x:v>Office Supplies</x:v>
      </x:c>
      <x:c r="K235" s="8" t="n">
        <x:v>1</x:v>
      </x:c>
      <x:c r="L235" s="9" t="n">
        <x:f>IFERROR(INDEX('Lookup Tables'!$I$5:$I$16,MATCH(H235,'Lookup Tables'!$F$5:$F$16,0)),0)</x:f>
        <x:v>349</x:v>
      </x:c>
      <x:c r="M235" s="23" t="n">
        <x:f>IF('Raw Data'!M235="",0,'Raw Data'!M235)</x:f>
        <x:v>0.2</x:v>
      </x:c>
      <x:c r="N235" s="9" t="n">
        <x:f>IF(S235="Completed",K235*L235*(1-M235),0)</x:f>
        <x:v>279.2</x:v>
      </x:c>
      <x:c r="O235" s="9" t="n">
        <x:f>IFERROR(INDEX('Lookup Tables'!$J$5:$J$16,MATCH(H235,'Lookup Tables'!$F$5:$F$16,0)),0)</x:f>
        <x:v>170</x:v>
      </x:c>
      <x:c r="P235" s="9" t="n">
        <x:f>IF(S235="Completed",K235*O235,0)</x:f>
        <x:v>170</x:v>
      </x:c>
      <x:c r="Q235" s="9" t="n">
        <x:f>N235-P235</x:f>
        <x:v>109.19999999999999</x:v>
      </x:c>
      <x:c r="R235" s="8" t="str">
        <x:f>IF(LOWER('Raw Data'!N235)="upi","UPI",'Raw Data'!N235)</x:f>
        <x:v>Net Banking</x:v>
      </x:c>
      <x:c r="S235" s="8" t="str">
        <x:v>Completed</x:v>
      </x:c>
      <x:c r="T235" s="8" t="str">
        <x:f>TEXT(B235,"mmm yyyy")</x:f>
        <x:v>Nov 2025</x:v>
      </x:c>
      <x:c r="U235" s="8" t="n">
        <x:f>YEAR(B235)</x:f>
        <x:v>2025</x:v>
      </x:c>
    </x:row>
    <x:row r="236">
      <x:c r="A236" s="8" t="str">
        <x:v>ORD-0232</x:v>
      </x:c>
      <x:c r="B236" s="22" t="n">
        <x:v>45984.139417349536</x:v>
      </x:c>
      <x:c r="C236" s="8" t="str">
        <x:v>CUS-044</x:v>
      </x:c>
      <x:c r="D236" s="8" t="str">
        <x:f>IFERROR(INDEX('Lookup Tables'!$B$5:$B$84,MATCH(C236,'Lookup Tables'!$A$5:$A$84,0)),"Unknown Customer")</x:f>
        <x:v>Ananya Gupta 3</x:v>
      </x:c>
      <x:c r="E236" s="8" t="str">
        <x:f>IFERROR(INDEX('Lookup Tables'!$C$5:$C$84,MATCH(C236,'Lookup Tables'!$A$5:$A$84,0)),"Unknown")</x:f>
        <x:v>Corporate</x:v>
      </x:c>
      <x:c r="F236" s="8" t="str">
        <x:v>Kolkata</x:v>
      </x:c>
      <x:c r="G236" s="8" t="str">
        <x:f>IFERROR(INDEX('Lookup Tables'!$N$5:$N$14,MATCH(F236,'Lookup Tables'!$M$5:$M$14,0)),"Unknown")</x:f>
        <x:v>East</x:v>
      </x:c>
      <x:c r="H236" s="8" t="str">
        <x:v>PRD-010</x:v>
      </x:c>
      <x:c r="I236" s="8" t="str">
        <x:f>IFERROR(INDEX('Lookup Tables'!$G$5:$G$16,MATCH(H236,'Lookup Tables'!$F$5:$F$16,0)),"Unknown Product")</x:f>
        <x:v>Travel Backpack</x:v>
      </x:c>
      <x:c r="J236" s="8" t="str">
        <x:f>IFERROR(INDEX('Lookup Tables'!$H$5:$H$16,MATCH(H236,'Lookup Tables'!$F$5:$F$16,0)),"Unknown")</x:f>
        <x:v>Fashion</x:v>
      </x:c>
      <x:c r="K236" s="8" t="n">
        <x:v>3</x:v>
      </x:c>
      <x:c r="L236" s="9" t="n">
        <x:f>IFERROR(INDEX('Lookup Tables'!$I$5:$I$16,MATCH(H236,'Lookup Tables'!$F$5:$F$16,0)),0)</x:f>
        <x:v>2199</x:v>
      </x:c>
      <x:c r="M236" s="23" t="n">
        <x:f>IF('Raw Data'!M236="",0,'Raw Data'!M236)</x:f>
        <x:v>0.1</x:v>
      </x:c>
      <x:c r="N236" s="9" t="n">
        <x:f>IF(S236="Completed",K236*L236*(1-M236),0)</x:f>
        <x:v>5937.3</x:v>
      </x:c>
      <x:c r="O236" s="9" t="n">
        <x:f>IFERROR(INDEX('Lookup Tables'!$J$5:$J$16,MATCH(H236,'Lookup Tables'!$F$5:$F$16,0)),0)</x:f>
        <x:v>1380</x:v>
      </x:c>
      <x:c r="P236" s="9" t="n">
        <x:f>IF(S236="Completed",K236*O236,0)</x:f>
        <x:v>4140</x:v>
      </x:c>
      <x:c r="Q236" s="9" t="n">
        <x:f>N236-P236</x:f>
        <x:v>1797.3000000000002</x:v>
      </x:c>
      <x:c r="R236" s="8" t="str">
        <x:f>IF(LOWER('Raw Data'!N236)="upi","UPI",'Raw Data'!N236)</x:f>
        <x:v>Net Banking</x:v>
      </x:c>
      <x:c r="S236" s="8" t="str">
        <x:v>Completed</x:v>
      </x:c>
      <x:c r="T236" s="8" t="str">
        <x:f>TEXT(B236,"mmm yyyy")</x:f>
        <x:v>Nov 2025</x:v>
      </x:c>
      <x:c r="U236" s="8" t="n">
        <x:f>YEAR(B236)</x:f>
        <x:v>2025</x:v>
      </x:c>
    </x:row>
    <x:row r="237">
      <x:c r="A237" s="8" t="str">
        <x:v>ORD-0233</x:v>
      </x:c>
      <x:c r="B237" s="22" t="n">
        <x:v>45732.69505357639</x:v>
      </x:c>
      <x:c r="C237" s="8" t="str">
        <x:v>CUS-024</x:v>
      </x:c>
      <x:c r="D237" s="8" t="str">
        <x:f>IFERROR(INDEX('Lookup Tables'!$B$5:$B$84,MATCH(C237,'Lookup Tables'!$A$5:$A$84,0)),"Unknown Customer")</x:f>
        <x:v>Ananya Gupta 2</x:v>
      </x:c>
      <x:c r="E237" s="8" t="str">
        <x:f>IFERROR(INDEX('Lookup Tables'!$C$5:$C$84,MATCH(C237,'Lookup Tables'!$A$5:$A$84,0)),"Unknown")</x:f>
        <x:v>Small Business</x:v>
      </x:c>
      <x:c r="F237" s="8" t="str">
        <x:v>Mumbai</x:v>
      </x:c>
      <x:c r="G237" s="8" t="str">
        <x:f>IFERROR(INDEX('Lookup Tables'!$N$5:$N$14,MATCH(F237,'Lookup Tables'!$M$5:$M$14,0)),"Unknown")</x:f>
        <x:v>West</x:v>
      </x:c>
      <x:c r="H237" s="8" t="str">
        <x:v>PRD-010</x:v>
      </x:c>
      <x:c r="I237" s="8" t="str">
        <x:f>IFERROR(INDEX('Lookup Tables'!$G$5:$G$16,MATCH(H237,'Lookup Tables'!$F$5:$F$16,0)),"Unknown Product")</x:f>
        <x:v>Travel Backpack</x:v>
      </x:c>
      <x:c r="J237" s="8" t="str">
        <x:f>IFERROR(INDEX('Lookup Tables'!$H$5:$H$16,MATCH(H237,'Lookup Tables'!$F$5:$F$16,0)),"Unknown")</x:f>
        <x:v>Fashion</x:v>
      </x:c>
      <x:c r="K237" s="8" t="n">
        <x:v>4</x:v>
      </x:c>
      <x:c r="L237" s="9" t="n">
        <x:f>IFERROR(INDEX('Lookup Tables'!$I$5:$I$16,MATCH(H237,'Lookup Tables'!$F$5:$F$16,0)),0)</x:f>
        <x:v>2199</x:v>
      </x:c>
      <x:c r="M237" s="23" t="n">
        <x:f>IF('Raw Data'!M237="",0,'Raw Data'!M237)</x:f>
        <x:v>0.1</x:v>
      </x:c>
      <x:c r="N237" s="9" t="n">
        <x:f>IF(S237="Completed",K237*L237*(1-M237),0)</x:f>
        <x:v>0</x:v>
      </x:c>
      <x:c r="O237" s="9" t="n">
        <x:f>IFERROR(INDEX('Lookup Tables'!$J$5:$J$16,MATCH(H237,'Lookup Tables'!$F$5:$F$16,0)),0)</x:f>
        <x:v>1380</x:v>
      </x:c>
      <x:c r="P237" s="9" t="n">
        <x:f>IF(S237="Completed",K237*O237,0)</x:f>
        <x:v>0</x:v>
      </x:c>
      <x:c r="Q237" s="9" t="n">
        <x:f>N237-P237</x:f>
        <x:v>0</x:v>
      </x:c>
      <x:c r="R237" s="8" t="str">
        <x:f>IF(LOWER('Raw Data'!N237)="upi","UPI",'Raw Data'!N237)</x:f>
        <x:v>Credit Card</x:v>
      </x:c>
      <x:c r="S237" s="8" t="str">
        <x:v>Returned</x:v>
      </x:c>
      <x:c r="T237" s="8" t="str">
        <x:f>TEXT(B237,"mmm yyyy")</x:f>
        <x:v>Mar 2025</x:v>
      </x:c>
      <x:c r="U237" s="8" t="n">
        <x:f>YEAR(B237)</x:f>
        <x:v>2025</x:v>
      </x:c>
    </x:row>
    <x:row r="238">
      <x:c r="A238" s="8" t="str">
        <x:v>ORD-0234</x:v>
      </x:c>
      <x:c r="B238" s="22" t="n">
        <x:v>46008.6896119213</x:v>
      </x:c>
      <x:c r="C238" s="8" t="str">
        <x:v>CUS-052</x:v>
      </x:c>
      <x:c r="D238" s="8" t="str">
        <x:f>IFERROR(INDEX('Lookup Tables'!$B$5:$B$84,MATCH(C238,'Lookup Tables'!$A$5:$A$84,0)),"Unknown Customer")</x:f>
        <x:v>Priya Kapoor 3</x:v>
      </x:c>
      <x:c r="E238" s="8" t="str">
        <x:f>IFERROR(INDEX('Lookup Tables'!$C$5:$C$84,MATCH(C238,'Lookup Tables'!$A$5:$A$84,0)),"Unknown")</x:f>
        <x:v>Consumer</x:v>
      </x:c>
      <x:c r="F238" s="8" t="str">
        <x:v>Kolkata</x:v>
      </x:c>
      <x:c r="G238" s="8" t="str">
        <x:f>IFERROR(INDEX('Lookup Tables'!$N$5:$N$14,MATCH(F238,'Lookup Tables'!$M$5:$M$14,0)),"Unknown")</x:f>
        <x:v>East</x:v>
      </x:c>
      <x:c r="H238" s="8" t="str">
        <x:v>PRD-006</x:v>
      </x:c>
      <x:c r="I238" s="8" t="str">
        <x:f>IFERROR(INDEX('Lookup Tables'!$G$5:$G$16,MATCH(H238,'Lookup Tables'!$F$5:$F$16,0)),"Unknown Product")</x:f>
        <x:v>Desk Organiser</x:v>
      </x:c>
      <x:c r="J238" s="8" t="str">
        <x:f>IFERROR(INDEX('Lookup Tables'!$H$5:$H$16,MATCH(H238,'Lookup Tables'!$F$5:$F$16,0)),"Unknown")</x:f>
        <x:v>Office Supplies</x:v>
      </x:c>
      <x:c r="K238" s="8" t="n">
        <x:v>2</x:v>
      </x:c>
      <x:c r="L238" s="9" t="n">
        <x:f>IFERROR(INDEX('Lookup Tables'!$I$5:$I$16,MATCH(H238,'Lookup Tables'!$F$5:$F$16,0)),0)</x:f>
        <x:v>699</x:v>
      </x:c>
      <x:c r="M238" s="23" t="n">
        <x:f>IF('Raw Data'!M238="",0,'Raw Data'!M238)</x:f>
        <x:v>0</x:v>
      </x:c>
      <x:c r="N238" s="9" t="n">
        <x:f>IF(S238="Completed",K238*L238*(1-M238),0)</x:f>
        <x:v>0</x:v>
      </x:c>
      <x:c r="O238" s="9" t="n">
        <x:f>IFERROR(INDEX('Lookup Tables'!$J$5:$J$16,MATCH(H238,'Lookup Tables'!$F$5:$F$16,0)),0)</x:f>
        <x:v>390</x:v>
      </x:c>
      <x:c r="P238" s="9" t="n">
        <x:f>IF(S238="Completed",K238*O238,0)</x:f>
        <x:v>0</x:v>
      </x:c>
      <x:c r="Q238" s="9" t="n">
        <x:f>N238-P238</x:f>
        <x:v>0</x:v>
      </x:c>
      <x:c r="R238" s="8" t="str">
        <x:f>IF(LOWER('Raw Data'!N238)="upi","UPI",'Raw Data'!N238)</x:f>
        <x:v>Net Banking</x:v>
      </x:c>
      <x:c r="S238" s="8" t="str">
        <x:v>Returned</x:v>
      </x:c>
      <x:c r="T238" s="8" t="str">
        <x:f>TEXT(B238,"mmm yyyy")</x:f>
        <x:v>Dec 2025</x:v>
      </x:c>
      <x:c r="U238" s="8" t="n">
        <x:f>YEAR(B238)</x:f>
        <x:v>2025</x:v>
      </x:c>
    </x:row>
    <x:row r="239">
      <x:c r="A239" s="8" t="str">
        <x:v>ORD-0235</x:v>
      </x:c>
      <x:c r="B239" s="22" t="n">
        <x:v>45887.96261070602</x:v>
      </x:c>
      <x:c r="C239" s="8" t="str">
        <x:v>CUS-005</x:v>
      </x:c>
      <x:c r="D239" s="8" t="str">
        <x:f>IFERROR(INDEX('Lookup Tables'!$B$5:$B$84,MATCH(C239,'Lookup Tables'!$A$5:$A$84,0)),"Unknown Customer")</x:f>
        <x:v>Arjun Verma</x:v>
      </x:c>
      <x:c r="E239" s="8" t="str">
        <x:f>IFERROR(INDEX('Lookup Tables'!$C$5:$C$84,MATCH(C239,'Lookup Tables'!$A$5:$A$84,0)),"Unknown")</x:f>
        <x:v>Corporate</x:v>
      </x:c>
      <x:c r="F239" s="8" t="str">
        <x:v>Hyderabad</x:v>
      </x:c>
      <x:c r="G239" s="8" t="str">
        <x:f>IFERROR(INDEX('Lookup Tables'!$N$5:$N$14,MATCH(F239,'Lookup Tables'!$M$5:$M$14,0)),"Unknown")</x:f>
        <x:v>South</x:v>
      </x:c>
      <x:c r="H239" s="8" t="str">
        <x:v>PRD-002</x:v>
      </x:c>
      <x:c r="I239" s="8" t="str">
        <x:f>IFERROR(INDEX('Lookup Tables'!$G$5:$G$16,MATCH(H239,'Lookup Tables'!$F$5:$F$16,0)),"Unknown Product")</x:f>
        <x:v>Bluetooth Headphones</x:v>
      </x:c>
      <x:c r="J239" s="8" t="str">
        <x:f>IFERROR(INDEX('Lookup Tables'!$H$5:$H$16,MATCH(H239,'Lookup Tables'!$F$5:$F$16,0)),"Unknown")</x:f>
        <x:v>Electronics</x:v>
      </x:c>
      <x:c r="K239" s="8" t="n">
        <x:v>3</x:v>
      </x:c>
      <x:c r="L239" s="9" t="n">
        <x:f>IFERROR(INDEX('Lookup Tables'!$I$5:$I$16,MATCH(H239,'Lookup Tables'!$F$5:$F$16,0)),0)</x:f>
        <x:v>2499</x:v>
      </x:c>
      <x:c r="M239" s="23" t="n">
        <x:f>IF('Raw Data'!M239="",0,'Raw Data'!M239)</x:f>
        <x:v>0</x:v>
      </x:c>
      <x:c r="N239" s="9" t="n">
        <x:f>IF(S239="Completed",K239*L239*(1-M239),0)</x:f>
        <x:v>7497</x:v>
      </x:c>
      <x:c r="O239" s="9" t="n">
        <x:f>IFERROR(INDEX('Lookup Tables'!$J$5:$J$16,MATCH(H239,'Lookup Tables'!$F$5:$F$16,0)),0)</x:f>
        <x:v>1620</x:v>
      </x:c>
      <x:c r="P239" s="9" t="n">
        <x:f>IF(S239="Completed",K239*O239,0)</x:f>
        <x:v>4860</x:v>
      </x:c>
      <x:c r="Q239" s="9" t="n">
        <x:f>N239-P239</x:f>
        <x:v>2637</x:v>
      </x:c>
      <x:c r="R239" s="8" t="str">
        <x:f>IF(LOWER('Raw Data'!N239)="upi","UPI",'Raw Data'!N239)</x:f>
        <x:v>Credit Card</x:v>
      </x:c>
      <x:c r="S239" s="8" t="str">
        <x:v>Completed</x:v>
      </x:c>
      <x:c r="T239" s="8" t="str">
        <x:f>TEXT(B239,"mmm yyyy")</x:f>
        <x:v>Aug 2025</x:v>
      </x:c>
      <x:c r="U239" s="8" t="n">
        <x:f>YEAR(B239)</x:f>
        <x:v>2025</x:v>
      </x:c>
    </x:row>
    <x:row r="240">
      <x:c r="A240" s="8" t="str">
        <x:v>ORD-0236</x:v>
      </x:c>
      <x:c r="B240" s="22" t="n">
        <x:v>45920.92913751157</x:v>
      </x:c>
      <x:c r="C240" s="8" t="str">
        <x:v>CUS-025</x:v>
      </x:c>
      <x:c r="D240" s="8" t="str">
        <x:f>IFERROR(INDEX('Lookup Tables'!$B$5:$B$84,MATCH(C240,'Lookup Tables'!$A$5:$A$84,0)),"Unknown Customer")</x:f>
        <x:v>Arjun Verma 2</x:v>
      </x:c>
      <x:c r="E240" s="8" t="str">
        <x:f>IFERROR(INDEX('Lookup Tables'!$C$5:$C$84,MATCH(C240,'Lookup Tables'!$A$5:$A$84,0)),"Unknown")</x:f>
        <x:v>Consumer</x:v>
      </x:c>
      <x:c r="F240" s="8" t="str">
        <x:v>Delhi</x:v>
      </x:c>
      <x:c r="G240" s="8" t="str">
        <x:f>IFERROR(INDEX('Lookup Tables'!$N$5:$N$14,MATCH(F240,'Lookup Tables'!$M$5:$M$14,0)),"Unknown")</x:f>
        <x:v>North</x:v>
      </x:c>
      <x:c r="H240" s="8" t="str">
        <x:v>PRD-012</x:v>
      </x:c>
      <x:c r="I240" s="8" t="str">
        <x:f>IFERROR(INDEX('Lookup Tables'!$G$5:$G$16,MATCH(H240,'Lookup Tables'!$F$5:$F$16,0)),"Unknown Product")</x:f>
        <x:v>Stainless Water Bottle</x:v>
      </x:c>
      <x:c r="J240" s="8" t="str">
        <x:f>IFERROR(INDEX('Lookup Tables'!$H$5:$H$16,MATCH(H240,'Lookup Tables'!$F$5:$F$16,0)),"Unknown")</x:f>
        <x:v>Lifestyle</x:v>
      </x:c>
      <x:c r="K240" s="8" t="n">
        <x:v>2</x:v>
      </x:c>
      <x:c r="L240" s="9" t="n">
        <x:f>IFERROR(INDEX('Lookup Tables'!$I$5:$I$16,MATCH(H240,'Lookup Tables'!$F$5:$F$16,0)),0)</x:f>
        <x:v>799</x:v>
      </x:c>
      <x:c r="M240" s="23" t="n">
        <x:f>IF('Raw Data'!M240="",0,'Raw Data'!M240)</x:f>
        <x:v>0.05</x:v>
      </x:c>
      <x:c r="N240" s="9" t="n">
        <x:f>IF(S240="Completed",K240*L240*(1-M240),0)</x:f>
        <x:v>1518.1</x:v>
      </x:c>
      <x:c r="O240" s="9" t="n">
        <x:f>IFERROR(INDEX('Lookup Tables'!$J$5:$J$16,MATCH(H240,'Lookup Tables'!$F$5:$F$16,0)),0)</x:f>
        <x:v>410</x:v>
      </x:c>
      <x:c r="P240" s="9" t="n">
        <x:f>IF(S240="Completed",K240*O240,0)</x:f>
        <x:v>820</x:v>
      </x:c>
      <x:c r="Q240" s="9" t="n">
        <x:f>N240-P240</x:f>
        <x:v>698.0999999999999</x:v>
      </x:c>
      <x:c r="R240" s="8" t="str">
        <x:f>IF(LOWER('Raw Data'!N240)="upi","UPI",'Raw Data'!N240)</x:f>
        <x:v>Cash on Delivery</x:v>
      </x:c>
      <x:c r="S240" s="8" t="str">
        <x:v>Completed</x:v>
      </x:c>
      <x:c r="T240" s="8" t="str">
        <x:f>TEXT(B240,"mmm yyyy")</x:f>
        <x:v>Sep 2025</x:v>
      </x:c>
      <x:c r="U240" s="8" t="n">
        <x:f>YEAR(B240)</x:f>
        <x:v>2025</x:v>
      </x:c>
    </x:row>
    <x:row r="241">
      <x:c r="A241" s="8" t="str">
        <x:v>ORD-0237</x:v>
      </x:c>
      <x:c r="B241" s="22" t="n">
        <x:v>45968.182636840276</x:v>
      </x:c>
      <x:c r="C241" s="8" t="str">
        <x:v>CUS-012</x:v>
      </x:c>
      <x:c r="D241" s="8" t="str">
        <x:f>IFERROR(INDEX('Lookup Tables'!$B$5:$B$84,MATCH(C241,'Lookup Tables'!$A$5:$A$84,0)),"Unknown Customer")</x:f>
        <x:v>Priya Kapoor</x:v>
      </x:c>
      <x:c r="E241" s="8" t="str">
        <x:f>IFERROR(INDEX('Lookup Tables'!$C$5:$C$84,MATCH(C241,'Lookup Tables'!$A$5:$A$84,0)),"Unknown")</x:f>
        <x:v>Small Business</x:v>
      </x:c>
      <x:c r="F241" s="8" t="str">
        <x:v>Hyderabad</x:v>
      </x:c>
      <x:c r="G241" s="8" t="str">
        <x:f>IFERROR(INDEX('Lookup Tables'!$N$5:$N$14,MATCH(F241,'Lookup Tables'!$M$5:$M$14,0)),"Unknown")</x:f>
        <x:v>South</x:v>
      </x:c>
      <x:c r="H241" s="8" t="str">
        <x:v>PRD-001</x:v>
      </x:c>
      <x:c r="I241" s="8" t="str">
        <x:f>IFERROR(INDEX('Lookup Tables'!$G$5:$G$16,MATCH(H241,'Lookup Tables'!$F$5:$F$16,0)),"Unknown Product")</x:f>
        <x:v>Wireless Mouse</x:v>
      </x:c>
      <x:c r="J241" s="8" t="str">
        <x:f>IFERROR(INDEX('Lookup Tables'!$H$5:$H$16,MATCH(H241,'Lookup Tables'!$F$5:$F$16,0)),"Unknown")</x:f>
        <x:v>Electronics</x:v>
      </x:c>
      <x:c r="K241" s="8" t="n">
        <x:v>5</x:v>
      </x:c>
      <x:c r="L241" s="9" t="n">
        <x:f>IFERROR(INDEX('Lookup Tables'!$I$5:$I$16,MATCH(H241,'Lookup Tables'!$F$5:$F$16,0)),0)</x:f>
        <x:v>899</x:v>
      </x:c>
      <x:c r="M241" s="23" t="n">
        <x:f>IF('Raw Data'!M241="",0,'Raw Data'!M241)</x:f>
        <x:v>0</x:v>
      </x:c>
      <x:c r="N241" s="9" t="n">
        <x:f>IF(S241="Completed",K241*L241*(1-M241),0)</x:f>
        <x:v>0</x:v>
      </x:c>
      <x:c r="O241" s="9" t="n">
        <x:f>IFERROR(INDEX('Lookup Tables'!$J$5:$J$16,MATCH(H241,'Lookup Tables'!$F$5:$F$16,0)),0)</x:f>
        <x:v>540</x:v>
      </x:c>
      <x:c r="P241" s="9" t="n">
        <x:f>IF(S241="Completed",K241*O241,0)</x:f>
        <x:v>0</x:v>
      </x:c>
      <x:c r="Q241" s="9" t="n">
        <x:f>N241-P241</x:f>
        <x:v>0</x:v>
      </x:c>
      <x:c r="R241" s="8" t="str">
        <x:f>IF(LOWER('Raw Data'!N241)="upi","UPI",'Raw Data'!N241)</x:f>
        <x:v>Net Banking</x:v>
      </x:c>
      <x:c r="S241" s="8" t="str">
        <x:v>Returned</x:v>
      </x:c>
      <x:c r="T241" s="8" t="str">
        <x:f>TEXT(B241,"mmm yyyy")</x:f>
        <x:v>Nov 2025</x:v>
      </x:c>
      <x:c r="U241" s="8" t="n">
        <x:f>YEAR(B241)</x:f>
        <x:v>2025</x:v>
      </x:c>
    </x:row>
    <x:row r="242">
      <x:c r="A242" s="8" t="str">
        <x:v>ORD-0238</x:v>
      </x:c>
      <x:c r="B242" s="22" t="n">
        <x:v>45970.77830466435</x:v>
      </x:c>
      <x:c r="C242" s="8" t="str">
        <x:v>CUS-062</x:v>
      </x:c>
      <x:c r="D242" s="8" t="str">
        <x:f>IFERROR(INDEX('Lookup Tables'!$B$5:$B$84,MATCH(C242,'Lookup Tables'!$A$5:$A$84,0)),"Unknown Customer")</x:f>
        <x:v>Diya Patel 4</x:v>
      </x:c>
      <x:c r="E242" s="8" t="str">
        <x:f>IFERROR(INDEX('Lookup Tables'!$C$5:$C$84,MATCH(C242,'Lookup Tables'!$A$5:$A$84,0)),"Unknown")</x:f>
        <x:v>Corporate</x:v>
      </x:c>
      <x:c r="F242" s="8" t="str">
        <x:v>Bengaluru</x:v>
      </x:c>
      <x:c r="G242" s="8" t="str">
        <x:f>IFERROR(INDEX('Lookup Tables'!$N$5:$N$14,MATCH(F242,'Lookup Tables'!$M$5:$M$14,0)),"Unknown")</x:f>
        <x:v>South</x:v>
      </x:c>
      <x:c r="H242" s="8" t="str">
        <x:v>PRD-012</x:v>
      </x:c>
      <x:c r="I242" s="8" t="str">
        <x:f>IFERROR(INDEX('Lookup Tables'!$G$5:$G$16,MATCH(H242,'Lookup Tables'!$F$5:$F$16,0)),"Unknown Product")</x:f>
        <x:v>Stainless Water Bottle</x:v>
      </x:c>
      <x:c r="J242" s="8" t="str">
        <x:f>IFERROR(INDEX('Lookup Tables'!$H$5:$H$16,MATCH(H242,'Lookup Tables'!$F$5:$F$16,0)),"Unknown")</x:f>
        <x:v>Lifestyle</x:v>
      </x:c>
      <x:c r="K242" s="8" t="n">
        <x:v>5</x:v>
      </x:c>
      <x:c r="L242" s="9" t="n">
        <x:f>IFERROR(INDEX('Lookup Tables'!$I$5:$I$16,MATCH(H242,'Lookup Tables'!$F$5:$F$16,0)),0)</x:f>
        <x:v>799</x:v>
      </x:c>
      <x:c r="M242" s="23" t="n">
        <x:f>IF('Raw Data'!M242="",0,'Raw Data'!M242)</x:f>
        <x:v>0.15</x:v>
      </x:c>
      <x:c r="N242" s="9" t="n">
        <x:f>IF(S242="Completed",K242*L242*(1-M242),0)</x:f>
        <x:v>0</x:v>
      </x:c>
      <x:c r="O242" s="9" t="n">
        <x:f>IFERROR(INDEX('Lookup Tables'!$J$5:$J$16,MATCH(H242,'Lookup Tables'!$F$5:$F$16,0)),0)</x:f>
        <x:v>410</x:v>
      </x:c>
      <x:c r="P242" s="9" t="n">
        <x:f>IF(S242="Completed",K242*O242,0)</x:f>
        <x:v>0</x:v>
      </x:c>
      <x:c r="Q242" s="9" t="n">
        <x:f>N242-P242</x:f>
        <x:v>0</x:v>
      </x:c>
      <x:c r="R242" s="8" t="str">
        <x:f>IF(LOWER('Raw Data'!N242)="upi","UPI",'Raw Data'!N242)</x:f>
        <x:v>Credit Card</x:v>
      </x:c>
      <x:c r="S242" s="8" t="str">
        <x:v>Returned</x:v>
      </x:c>
      <x:c r="T242" s="8" t="str">
        <x:f>TEXT(B242,"mmm yyyy")</x:f>
        <x:v>Nov 2025</x:v>
      </x:c>
      <x:c r="U242" s="8" t="n">
        <x:f>YEAR(B242)</x:f>
        <x:v>2025</x:v>
      </x:c>
    </x:row>
    <x:row r="243">
      <x:c r="A243" s="8" t="str">
        <x:v>ORD-0239</x:v>
      </x:c>
      <x:c r="B243" s="22" t="n">
        <x:v>45915.160594305555</x:v>
      </x:c>
      <x:c r="C243" s="8" t="str">
        <x:v>CUS-057</x:v>
      </x:c>
      <x:c r="D243" s="8" t="str">
        <x:f>IFERROR(INDEX('Lookup Tables'!$B$5:$B$84,MATCH(C243,'Lookup Tables'!$A$5:$A$84,0)),"Unknown Customer")</x:f>
        <x:v>Vikram Yadav 3</x:v>
      </x:c>
      <x:c r="E243" s="8" t="str">
        <x:f>IFERROR(INDEX('Lookup Tables'!$C$5:$C$84,MATCH(C243,'Lookup Tables'!$A$5:$A$84,0)),"Unknown")</x:f>
        <x:v>Small Business</x:v>
      </x:c>
      <x:c r="F243" s="8" t="str">
        <x:v>Ahmedabad</x:v>
      </x:c>
      <x:c r="G243" s="8" t="str">
        <x:f>IFERROR(INDEX('Lookup Tables'!$N$5:$N$14,MATCH(F243,'Lookup Tables'!$M$5:$M$14,0)),"Unknown")</x:f>
        <x:v>West</x:v>
      </x:c>
      <x:c r="H243" s="8" t="str">
        <x:v>PRD-010</x:v>
      </x:c>
      <x:c r="I243" s="8" t="str">
        <x:f>IFERROR(INDEX('Lookup Tables'!$G$5:$G$16,MATCH(H243,'Lookup Tables'!$F$5:$F$16,0)),"Unknown Product")</x:f>
        <x:v>Travel Backpack</x:v>
      </x:c>
      <x:c r="J243" s="8" t="str">
        <x:f>IFERROR(INDEX('Lookup Tables'!$H$5:$H$16,MATCH(H243,'Lookup Tables'!$F$5:$F$16,0)),"Unknown")</x:f>
        <x:v>Fashion</x:v>
      </x:c>
      <x:c r="K243" s="8" t="n">
        <x:v>3</x:v>
      </x:c>
      <x:c r="L243" s="9" t="n">
        <x:f>IFERROR(INDEX('Lookup Tables'!$I$5:$I$16,MATCH(H243,'Lookup Tables'!$F$5:$F$16,0)),0)</x:f>
        <x:v>2199</x:v>
      </x:c>
      <x:c r="M243" s="23" t="n">
        <x:f>IF('Raw Data'!M243="",0,'Raw Data'!M243)</x:f>
        <x:v>0.2</x:v>
      </x:c>
      <x:c r="N243" s="9" t="n">
        <x:f>IF(S243="Completed",K243*L243*(1-M243),0)</x:f>
        <x:v>0</x:v>
      </x:c>
      <x:c r="O243" s="9" t="n">
        <x:f>IFERROR(INDEX('Lookup Tables'!$J$5:$J$16,MATCH(H243,'Lookup Tables'!$F$5:$F$16,0)),0)</x:f>
        <x:v>1380</x:v>
      </x:c>
      <x:c r="P243" s="9" t="n">
        <x:f>IF(S243="Completed",K243*O243,0)</x:f>
        <x:v>0</x:v>
      </x:c>
      <x:c r="Q243" s="9" t="n">
        <x:f>N243-P243</x:f>
        <x:v>0</x:v>
      </x:c>
      <x:c r="R243" s="8" t="str">
        <x:f>IF(LOWER('Raw Data'!N243)="upi","UPI",'Raw Data'!N243)</x:f>
        <x:v>Credit Card</x:v>
      </x:c>
      <x:c r="S243" s="8" t="str">
        <x:v>Cancelled</x:v>
      </x:c>
      <x:c r="T243" s="8" t="str">
        <x:f>TEXT(B243,"mmm yyyy")</x:f>
        <x:v>Sep 2025</x:v>
      </x:c>
      <x:c r="U243" s="8" t="n">
        <x:f>YEAR(B243)</x:f>
        <x:v>2025</x:v>
      </x:c>
    </x:row>
    <x:row r="244">
      <x:c r="A244" s="8" t="str">
        <x:v>ORD-0240</x:v>
      </x:c>
      <x:c r="B244" s="22" t="n">
        <x:v>45772.62185333333</x:v>
      </x:c>
      <x:c r="C244" s="8" t="str">
        <x:v>CUS-079</x:v>
      </x:c>
      <x:c r="D244" s="8" t="str">
        <x:f>IFERROR(INDEX('Lookup Tables'!$B$5:$B$84,MATCH(C244,'Lookup Tables'!$A$5:$A$84,0)),"Unknown Customer")</x:f>
        <x:v>Siddharth Jain 4</x:v>
      </x:c>
      <x:c r="E244" s="8" t="str">
        <x:f>IFERROR(INDEX('Lookup Tables'!$C$5:$C$84,MATCH(C244,'Lookup Tables'!$A$5:$A$84,0)),"Unknown")</x:f>
        <x:v>Consumer</x:v>
      </x:c>
      <x:c r="F244" s="8" t="str">
        <x:v>Lucknow</x:v>
      </x:c>
      <x:c r="G244" s="8" t="str">
        <x:f>IFERROR(INDEX('Lookup Tables'!$N$5:$N$14,MATCH(F244,'Lookup Tables'!$M$5:$M$14,0)),"Unknown")</x:f>
        <x:v>North</x:v>
      </x:c>
      <x:c r="H244" s="8" t="str">
        <x:v>PRD-007</x:v>
      </x:c>
      <x:c r="I244" s="8" t="str">
        <x:f>IFERROR(INDEX('Lookup Tables'!$G$5:$G$16,MATCH(H244,'Lookup Tables'!$F$5:$F$16,0)),"Unknown Product")</x:f>
        <x:v>Electric Kettle</x:v>
      </x:c>
      <x:c r="J244" s="8" t="str">
        <x:f>IFERROR(INDEX('Lookup Tables'!$H$5:$H$16,MATCH(H244,'Lookup Tables'!$F$5:$F$16,0)),"Unknown")</x:f>
        <x:v>Home &amp; Kitchen</x:v>
      </x:c>
      <x:c r="K244" s="8" t="n">
        <x:v>3</x:v>
      </x:c>
      <x:c r="L244" s="9" t="n">
        <x:f>IFERROR(INDEX('Lookup Tables'!$I$5:$I$16,MATCH(H244,'Lookup Tables'!$F$5:$F$16,0)),0)</x:f>
        <x:v>1699</x:v>
      </x:c>
      <x:c r="M244" s="23" t="n">
        <x:f>IF('Raw Data'!M244="",0,'Raw Data'!M244)</x:f>
        <x:v>0.15</x:v>
      </x:c>
      <x:c r="N244" s="9" t="n">
        <x:f>IF(S244="Completed",K244*L244*(1-M244),0)</x:f>
        <x:v>4332.45</x:v>
      </x:c>
      <x:c r="O244" s="9" t="n">
        <x:f>IFERROR(INDEX('Lookup Tables'!$J$5:$J$16,MATCH(H244,'Lookup Tables'!$F$5:$F$16,0)),0)</x:f>
        <x:v>1040</x:v>
      </x:c>
      <x:c r="P244" s="9" t="n">
        <x:f>IF(S244="Completed",K244*O244,0)</x:f>
        <x:v>3120</x:v>
      </x:c>
      <x:c r="Q244" s="9" t="n">
        <x:f>N244-P244</x:f>
        <x:v>1212.4499999999998</x:v>
      </x:c>
      <x:c r="R244" s="8" t="str">
        <x:f>IF(LOWER('Raw Data'!N244)="upi","UPI",'Raw Data'!N244)</x:f>
        <x:v>Cash on Delivery</x:v>
      </x:c>
      <x:c r="S244" s="8" t="str">
        <x:v>Completed</x:v>
      </x:c>
      <x:c r="T244" s="8" t="str">
        <x:f>TEXT(B244,"mmm yyyy")</x:f>
        <x:v>Apr 2025</x:v>
      </x:c>
      <x:c r="U244" s="8" t="n">
        <x:f>YEAR(B244)</x:f>
        <x:v>2025</x:v>
      </x:c>
    </x:row>
    <x:row r="245">
      <x:c r="A245" s="8" t="str">
        <x:v>ORD-0241</x:v>
      </x:c>
      <x:c r="B245" s="22" t="n">
        <x:v>45706.95085974537</x:v>
      </x:c>
      <x:c r="C245" s="8" t="str">
        <x:v>CUS-035</x:v>
      </x:c>
      <x:c r="D245" s="8" t="str">
        <x:f>IFERROR(INDEX('Lookup Tables'!$B$5:$B$84,MATCH(C245,'Lookup Tables'!$A$5:$A$84,0)),"Unknown Customer")</x:f>
        <x:v>Karan Malhotra 2</x:v>
      </x:c>
      <x:c r="E245" s="8" t="str">
        <x:f>IFERROR(INDEX('Lookup Tables'!$C$5:$C$84,MATCH(C245,'Lookup Tables'!$A$5:$A$84,0)),"Unknown")</x:f>
        <x:v>Corporate</x:v>
      </x:c>
      <x:c r="F245" s="8" t="str">
        <x:v>Ahmedabad</x:v>
      </x:c>
      <x:c r="G245" s="8" t="str">
        <x:f>IFERROR(INDEX('Lookup Tables'!$N$5:$N$14,MATCH(F245,'Lookup Tables'!$M$5:$M$14,0)),"Unknown")</x:f>
        <x:v>West</x:v>
      </x:c>
      <x:c r="H245" s="8" t="str">
        <x:v>PRD-007</x:v>
      </x:c>
      <x:c r="I245" s="8" t="str">
        <x:f>IFERROR(INDEX('Lookup Tables'!$G$5:$G$16,MATCH(H245,'Lookup Tables'!$F$5:$F$16,0)),"Unknown Product")</x:f>
        <x:v>Electric Kettle</x:v>
      </x:c>
      <x:c r="J245" s="8" t="str">
        <x:f>IFERROR(INDEX('Lookup Tables'!$H$5:$H$16,MATCH(H245,'Lookup Tables'!$F$5:$F$16,0)),"Unknown")</x:f>
        <x:v>Home &amp; Kitchen</x:v>
      </x:c>
      <x:c r="K245" s="8" t="n">
        <x:v>4</x:v>
      </x:c>
      <x:c r="L245" s="9" t="n">
        <x:f>IFERROR(INDEX('Lookup Tables'!$I$5:$I$16,MATCH(H245,'Lookup Tables'!$F$5:$F$16,0)),0)</x:f>
        <x:v>1699</x:v>
      </x:c>
      <x:c r="M245" s="23" t="n">
        <x:f>IF('Raw Data'!M245="",0,'Raw Data'!M245)</x:f>
        <x:v>0.2</x:v>
      </x:c>
      <x:c r="N245" s="9" t="n">
        <x:f>IF(S245="Completed",K245*L245*(1-M245),0)</x:f>
        <x:v>5436.8</x:v>
      </x:c>
      <x:c r="O245" s="9" t="n">
        <x:f>IFERROR(INDEX('Lookup Tables'!$J$5:$J$16,MATCH(H245,'Lookup Tables'!$F$5:$F$16,0)),0)</x:f>
        <x:v>1040</x:v>
      </x:c>
      <x:c r="P245" s="9" t="n">
        <x:f>IF(S245="Completed",K245*O245,0)</x:f>
        <x:v>4160</x:v>
      </x:c>
      <x:c r="Q245" s="9" t="n">
        <x:f>N245-P245</x:f>
        <x:v>1276.8000000000002</x:v>
      </x:c>
      <x:c r="R245" s="8" t="str">
        <x:f>IF(LOWER('Raw Data'!N245)="upi","UPI",'Raw Data'!N245)</x:f>
        <x:v>Net Banking</x:v>
      </x:c>
      <x:c r="S245" s="8" t="str">
        <x:v>Completed</x:v>
      </x:c>
      <x:c r="T245" s="8" t="str">
        <x:f>TEXT(B245,"mmm yyyy")</x:f>
        <x:v>Feb 2025</x:v>
      </x:c>
      <x:c r="U245" s="8" t="n">
        <x:f>YEAR(B245)</x:f>
        <x:v>2025</x:v>
      </x:c>
    </x:row>
    <x:row r="246">
      <x:c r="A246" s="8" t="str">
        <x:v>ORD-0242</x:v>
      </x:c>
      <x:c r="B246" s="22" t="n">
        <x:v>45923.16126946759</x:v>
      </x:c>
      <x:c r="C246" s="8" t="str">
        <x:v>CUS-025</x:v>
      </x:c>
      <x:c r="D246" s="8" t="str">
        <x:f>IFERROR(INDEX('Lookup Tables'!$B$5:$B$84,MATCH(C246,'Lookup Tables'!$A$5:$A$84,0)),"Unknown Customer")</x:f>
        <x:v>Arjun Verma 2</x:v>
      </x:c>
      <x:c r="E246" s="8" t="str">
        <x:f>IFERROR(INDEX('Lookup Tables'!$C$5:$C$84,MATCH(C246,'Lookup Tables'!$A$5:$A$84,0)),"Unknown")</x:f>
        <x:v>Consumer</x:v>
      </x:c>
      <x:c r="F246" s="8" t="str">
        <x:v>Chennai</x:v>
      </x:c>
      <x:c r="G246" s="8" t="str">
        <x:f>IFERROR(INDEX('Lookup Tables'!$N$5:$N$14,MATCH(F246,'Lookup Tables'!$M$5:$M$14,0)),"Unknown")</x:f>
        <x:v>South</x:v>
      </x:c>
      <x:c r="H246" s="8" t="str">
        <x:v>PRD-009</x:v>
      </x:c>
      <x:c r="I246" s="8" t="str">
        <x:f>IFERROR(INDEX('Lookup Tables'!$G$5:$G$16,MATCH(H246,'Lookup Tables'!$F$5:$F$16,0)),"Unknown Product")</x:f>
        <x:v>Table Lamp</x:v>
      </x:c>
      <x:c r="J246" s="8" t="str">
        <x:f>IFERROR(INDEX('Lookup Tables'!$H$5:$H$16,MATCH(H246,'Lookup Tables'!$F$5:$F$16,0)),"Unknown")</x:f>
        <x:v>Home &amp; Kitchen</x:v>
      </x:c>
      <x:c r="K246" s="8" t="n">
        <x:v>3</x:v>
      </x:c>
      <x:c r="L246" s="9" t="n">
        <x:f>IFERROR(INDEX('Lookup Tables'!$I$5:$I$16,MATCH(H246,'Lookup Tables'!$F$5:$F$16,0)),0)</x:f>
        <x:v>1499</x:v>
      </x:c>
      <x:c r="M246" s="23" t="n">
        <x:f>IF('Raw Data'!M246="",0,'Raw Data'!M246)</x:f>
        <x:v>0.05</x:v>
      </x:c>
      <x:c r="N246" s="9" t="n">
        <x:f>IF(S246="Completed",K246*L246*(1-M246),0)</x:f>
        <x:v>4272.15</x:v>
      </x:c>
      <x:c r="O246" s="9" t="n">
        <x:f>IFERROR(INDEX('Lookup Tables'!$J$5:$J$16,MATCH(H246,'Lookup Tables'!$F$5:$F$16,0)),0)</x:f>
        <x:v>920</x:v>
      </x:c>
      <x:c r="P246" s="9" t="n">
        <x:f>IF(S246="Completed",K246*O246,0)</x:f>
        <x:v>2760</x:v>
      </x:c>
      <x:c r="Q246" s="9" t="n">
        <x:f>N246-P246</x:f>
        <x:v>1512.1499999999996</x:v>
      </x:c>
      <x:c r="R246" s="8" t="str">
        <x:f>IF(LOWER('Raw Data'!N246)="upi","UPI",'Raw Data'!N246)</x:f>
        <x:v>UPI</x:v>
      </x:c>
      <x:c r="S246" s="8" t="str">
        <x:v>Completed</x:v>
      </x:c>
      <x:c r="T246" s="8" t="str">
        <x:f>TEXT(B246,"mmm yyyy")</x:f>
        <x:v>Sep 2025</x:v>
      </x:c>
      <x:c r="U246" s="8" t="n">
        <x:f>YEAR(B246)</x:f>
        <x:v>2025</x:v>
      </x:c>
    </x:row>
    <x:row r="247">
      <x:c r="A247" s="8" t="str">
        <x:v>ORD-0243</x:v>
      </x:c>
      <x:c r="B247" s="22" t="n">
        <x:v>45748.2247621412</x:v>
      </x:c>
      <x:c r="C247" s="8" t="str">
        <x:v>CUS-015</x:v>
      </x:c>
      <x:c r="D247" s="8" t="str">
        <x:f>IFERROR(INDEX('Lookup Tables'!$B$5:$B$84,MATCH(C247,'Lookup Tables'!$A$5:$A$84,0)),"Unknown Customer")</x:f>
        <x:v>Karan Malhotra</x:v>
      </x:c>
      <x:c r="E247" s="8" t="str">
        <x:f>IFERROR(INDEX('Lookup Tables'!$C$5:$C$84,MATCH(C247,'Lookup Tables'!$A$5:$A$84,0)),"Unknown")</x:f>
        <x:v>Small Business</x:v>
      </x:c>
      <x:c r="F247" s="8" t="str">
        <x:v>Ahmedabad</x:v>
      </x:c>
      <x:c r="G247" s="8" t="str">
        <x:f>IFERROR(INDEX('Lookup Tables'!$N$5:$N$14,MATCH(F247,'Lookup Tables'!$M$5:$M$14,0)),"Unknown")</x:f>
        <x:v>West</x:v>
      </x:c>
      <x:c r="H247" s="8" t="str">
        <x:v>PRD-003</x:v>
      </x:c>
      <x:c r="I247" s="8" t="str">
        <x:f>IFERROR(INDEX('Lookup Tables'!$G$5:$G$16,MATCH(H247,'Lookup Tables'!$F$5:$F$16,0)),"Unknown Product")</x:f>
        <x:v>USB-C Hub</x:v>
      </x:c>
      <x:c r="J247" s="8" t="str">
        <x:f>IFERROR(INDEX('Lookup Tables'!$H$5:$H$16,MATCH(H247,'Lookup Tables'!$F$5:$F$16,0)),"Unknown")</x:f>
        <x:v>Electronics</x:v>
      </x:c>
      <x:c r="K247" s="8" t="n">
        <x:v>1</x:v>
      </x:c>
      <x:c r="L247" s="9" t="n">
        <x:f>IFERROR(INDEX('Lookup Tables'!$I$5:$I$16,MATCH(H247,'Lookup Tables'!$F$5:$F$16,0)),0)</x:f>
        <x:v>1899</x:v>
      </x:c>
      <x:c r="M247" s="23" t="n">
        <x:f>IF('Raw Data'!M247="",0,'Raw Data'!M247)</x:f>
        <x:v>0</x:v>
      </x:c>
      <x:c r="N247" s="9" t="n">
        <x:f>IF(S247="Completed",K247*L247*(1-M247),0)</x:f>
        <x:v>1899</x:v>
      </x:c>
      <x:c r="O247" s="9" t="n">
        <x:f>IFERROR(INDEX('Lookup Tables'!$J$5:$J$16,MATCH(H247,'Lookup Tables'!$F$5:$F$16,0)),0)</x:f>
        <x:v>1180</x:v>
      </x:c>
      <x:c r="P247" s="9" t="n">
        <x:f>IF(S247="Completed",K247*O247,0)</x:f>
        <x:v>1180</x:v>
      </x:c>
      <x:c r="Q247" s="9" t="n">
        <x:f>N247-P247</x:f>
        <x:v>719</x:v>
      </x:c>
      <x:c r="R247" s="8" t="str">
        <x:f>IF(LOWER('Raw Data'!N247)="upi","UPI",'Raw Data'!N247)</x:f>
        <x:v>Debit Card</x:v>
      </x:c>
      <x:c r="S247" s="8" t="str">
        <x:v>Completed</x:v>
      </x:c>
      <x:c r="T247" s="8" t="str">
        <x:f>TEXT(B247,"mmm yyyy")</x:f>
        <x:v>Apr 2025</x:v>
      </x:c>
      <x:c r="U247" s="8" t="n">
        <x:f>YEAR(B247)</x:f>
        <x:v>2025</x:v>
      </x:c>
    </x:row>
    <x:row r="248">
      <x:c r="A248" s="8" t="str">
        <x:v>ORD-0244</x:v>
      </x:c>
      <x:c r="B248" s="22" t="n">
        <x:v>45904.76019855324</x:v>
      </x:c>
      <x:c r="C248" s="8" t="str">
        <x:v>CUS-049</x:v>
      </x:c>
      <x:c r="D248" s="8" t="str">
        <x:f>IFERROR(INDEX('Lookup Tables'!$B$5:$B$84,MATCH(C248,'Lookup Tables'!$A$5:$A$84,0)),"Unknown Customer")</x:f>
        <x:v>Rohan Das 3</x:v>
      </x:c>
      <x:c r="E248" s="8" t="str">
        <x:f>IFERROR(INDEX('Lookup Tables'!$C$5:$C$84,MATCH(C248,'Lookup Tables'!$A$5:$A$84,0)),"Unknown")</x:f>
        <x:v>Consumer</x:v>
      </x:c>
      <x:c r="F248" s="8" t="str">
        <x:v>Mumbai</x:v>
      </x:c>
      <x:c r="G248" s="8" t="str">
        <x:f>IFERROR(INDEX('Lookup Tables'!$N$5:$N$14,MATCH(F248,'Lookup Tables'!$M$5:$M$14,0)),"Unknown")</x:f>
        <x:v>West</x:v>
      </x:c>
      <x:c r="H248" s="8" t="str">
        <x:v>PRD-005</x:v>
      </x:c>
      <x:c r="I248" s="8" t="str">
        <x:f>IFERROR(INDEX('Lookup Tables'!$G$5:$G$16,MATCH(H248,'Lookup Tables'!$F$5:$F$16,0)),"Unknown Product")</x:f>
        <x:v>Executive Notebook</x:v>
      </x:c>
      <x:c r="J248" s="8" t="str">
        <x:f>IFERROR(INDEX('Lookup Tables'!$H$5:$H$16,MATCH(H248,'Lookup Tables'!$F$5:$F$16,0)),"Unknown")</x:f>
        <x:v>Office Supplies</x:v>
      </x:c>
      <x:c r="K248" s="8" t="n">
        <x:v>3</x:v>
      </x:c>
      <x:c r="L248" s="9" t="n">
        <x:f>IFERROR(INDEX('Lookup Tables'!$I$5:$I$16,MATCH(H248,'Lookup Tables'!$F$5:$F$16,0)),0)</x:f>
        <x:v>349</x:v>
      </x:c>
      <x:c r="M248" s="23" t="n">
        <x:f>IF('Raw Data'!M248="",0,'Raw Data'!M248)</x:f>
        <x:v>0.1</x:v>
      </x:c>
      <x:c r="N248" s="9" t="n">
        <x:f>IF(S248="Completed",K248*L248*(1-M248),0)</x:f>
        <x:v>942.3000000000001</x:v>
      </x:c>
      <x:c r="O248" s="9" t="n">
        <x:f>IFERROR(INDEX('Lookup Tables'!$J$5:$J$16,MATCH(H248,'Lookup Tables'!$F$5:$F$16,0)),0)</x:f>
        <x:v>170</x:v>
      </x:c>
      <x:c r="P248" s="9" t="n">
        <x:f>IF(S248="Completed",K248*O248,0)</x:f>
        <x:v>510</x:v>
      </x:c>
      <x:c r="Q248" s="9" t="n">
        <x:f>N248-P248</x:f>
        <x:v>432.30000000000007</x:v>
      </x:c>
      <x:c r="R248" s="8" t="str">
        <x:f>IF(LOWER('Raw Data'!N248)="upi","UPI",'Raw Data'!N248)</x:f>
        <x:v>UPI</x:v>
      </x:c>
      <x:c r="S248" s="8" t="str">
        <x:v>Completed</x:v>
      </x:c>
      <x:c r="T248" s="8" t="str">
        <x:f>TEXT(B248,"mmm yyyy")</x:f>
        <x:v>Sep 2025</x:v>
      </x:c>
      <x:c r="U248" s="8" t="n">
        <x:f>YEAR(B248)</x:f>
        <x:v>2025</x:v>
      </x:c>
    </x:row>
    <x:row r="249">
      <x:c r="A249" s="8" t="str">
        <x:v>ORD-0245</x:v>
      </x:c>
      <x:c r="B249" s="22" t="n">
        <x:v>46003.67112782408</x:v>
      </x:c>
      <x:c r="C249" s="8" t="str">
        <x:v>CUS-020</x:v>
      </x:c>
      <x:c r="D249" s="8" t="str">
        <x:f>IFERROR(INDEX('Lookup Tables'!$B$5:$B$84,MATCH(C249,'Lookup Tables'!$A$5:$A$84,0)),"Unknown Customer")</x:f>
        <x:v>Kavya Reddy</x:v>
      </x:c>
      <x:c r="E249" s="8" t="str">
        <x:f>IFERROR(INDEX('Lookup Tables'!$C$5:$C$84,MATCH(C249,'Lookup Tables'!$A$5:$A$84,0)),"Unknown")</x:f>
        <x:v>Corporate</x:v>
      </x:c>
      <x:c r="F249" s="8" t="str">
        <x:v>Chennai</x:v>
      </x:c>
      <x:c r="G249" s="8" t="str">
        <x:f>IFERROR(INDEX('Lookup Tables'!$N$5:$N$14,MATCH(F249,'Lookup Tables'!$M$5:$M$14,0)),"Unknown")</x:f>
        <x:v>South</x:v>
      </x:c>
      <x:c r="H249" s="8" t="str">
        <x:v>PRD-012</x:v>
      </x:c>
      <x:c r="I249" s="8" t="str">
        <x:f>IFERROR(INDEX('Lookup Tables'!$G$5:$G$16,MATCH(H249,'Lookup Tables'!$F$5:$F$16,0)),"Unknown Product")</x:f>
        <x:v>Stainless Water Bottle</x:v>
      </x:c>
      <x:c r="J249" s="8" t="str">
        <x:f>IFERROR(INDEX('Lookup Tables'!$H$5:$H$16,MATCH(H249,'Lookup Tables'!$F$5:$F$16,0)),"Unknown")</x:f>
        <x:v>Lifestyle</x:v>
      </x:c>
      <x:c r="K249" s="8" t="n">
        <x:v>5</x:v>
      </x:c>
      <x:c r="L249" s="9" t="n">
        <x:f>IFERROR(INDEX('Lookup Tables'!$I$5:$I$16,MATCH(H249,'Lookup Tables'!$F$5:$F$16,0)),0)</x:f>
        <x:v>799</x:v>
      </x:c>
      <x:c r="M249" s="23" t="n">
        <x:f>IF('Raw Data'!M249="",0,'Raw Data'!M249)</x:f>
        <x:v>0.05</x:v>
      </x:c>
      <x:c r="N249" s="9" t="n">
        <x:f>IF(S249="Completed",K249*L249*(1-M249),0)</x:f>
        <x:v>3795.25</x:v>
      </x:c>
      <x:c r="O249" s="9" t="n">
        <x:f>IFERROR(INDEX('Lookup Tables'!$J$5:$J$16,MATCH(H249,'Lookup Tables'!$F$5:$F$16,0)),0)</x:f>
        <x:v>410</x:v>
      </x:c>
      <x:c r="P249" s="9" t="n">
        <x:f>IF(S249="Completed",K249*O249,0)</x:f>
        <x:v>2050</x:v>
      </x:c>
      <x:c r="Q249" s="9" t="n">
        <x:f>N249-P249</x:f>
        <x:v>1745.25</x:v>
      </x:c>
      <x:c r="R249" s="8" t="str">
        <x:f>IF(LOWER('Raw Data'!N249)="upi","UPI",'Raw Data'!N249)</x:f>
        <x:v>UPI</x:v>
      </x:c>
      <x:c r="S249" s="8" t="str">
        <x:v>Completed</x:v>
      </x:c>
      <x:c r="T249" s="8" t="str">
        <x:f>TEXT(B249,"mmm yyyy")</x:f>
        <x:v>Dec 2025</x:v>
      </x:c>
      <x:c r="U249" s="8" t="n">
        <x:f>YEAR(B249)</x:f>
        <x:v>2025</x:v>
      </x:c>
    </x:row>
    <x:row r="250">
      <x:c r="A250" s="8" t="str">
        <x:v>ORD-0246</x:v>
      </x:c>
      <x:c r="B250" s="22" t="n">
        <x:v>45857.687556400466</x:v>
      </x:c>
      <x:c r="C250" s="8" t="str">
        <x:v>CUS-033</x:v>
      </x:c>
      <x:c r="D250" s="8" t="str">
        <x:f>IFERROR(INDEX('Lookup Tables'!$B$5:$B$84,MATCH(C250,'Lookup Tables'!$A$5:$A$84,0)),"Unknown Customer")</x:f>
        <x:v>Rahul Mishra 2</x:v>
      </x:c>
      <x:c r="E250" s="8" t="str">
        <x:f>IFERROR(INDEX('Lookup Tables'!$C$5:$C$84,MATCH(C250,'Lookup Tables'!$A$5:$A$84,0)),"Unknown")</x:f>
        <x:v>Small Business</x:v>
      </x:c>
      <x:c r="F250" s="8" t="str">
        <x:v>Lucknow</x:v>
      </x:c>
      <x:c r="G250" s="8" t="str">
        <x:f>IFERROR(INDEX('Lookup Tables'!$N$5:$N$14,MATCH(F250,'Lookup Tables'!$M$5:$M$14,0)),"Unknown")</x:f>
        <x:v>North</x:v>
      </x:c>
      <x:c r="H250" s="8" t="str">
        <x:v>PRD-009</x:v>
      </x:c>
      <x:c r="I250" s="8" t="str">
        <x:f>IFERROR(INDEX('Lookup Tables'!$G$5:$G$16,MATCH(H250,'Lookup Tables'!$F$5:$F$16,0)),"Unknown Product")</x:f>
        <x:v>Table Lamp</x:v>
      </x:c>
      <x:c r="J250" s="8" t="str">
        <x:f>IFERROR(INDEX('Lookup Tables'!$H$5:$H$16,MATCH(H250,'Lookup Tables'!$F$5:$F$16,0)),"Unknown")</x:f>
        <x:v>Home &amp; Kitchen</x:v>
      </x:c>
      <x:c r="K250" s="8" t="n">
        <x:v>4</x:v>
      </x:c>
      <x:c r="L250" s="9" t="n">
        <x:f>IFERROR(INDEX('Lookup Tables'!$I$5:$I$16,MATCH(H250,'Lookup Tables'!$F$5:$F$16,0)),0)</x:f>
        <x:v>1499</x:v>
      </x:c>
      <x:c r="M250" s="23" t="n">
        <x:f>IF('Raw Data'!M250="",0,'Raw Data'!M250)</x:f>
        <x:v>0.2</x:v>
      </x:c>
      <x:c r="N250" s="9" t="n">
        <x:f>IF(S250="Completed",K250*L250*(1-M250),0)</x:f>
        <x:v>4796.8</x:v>
      </x:c>
      <x:c r="O250" s="9" t="n">
        <x:f>IFERROR(INDEX('Lookup Tables'!$J$5:$J$16,MATCH(H250,'Lookup Tables'!$F$5:$F$16,0)),0)</x:f>
        <x:v>920</x:v>
      </x:c>
      <x:c r="P250" s="9" t="n">
        <x:f>IF(S250="Completed",K250*O250,0)</x:f>
        <x:v>3680</x:v>
      </x:c>
      <x:c r="Q250" s="9" t="n">
        <x:f>N250-P250</x:f>
        <x:v>1116.8000000000002</x:v>
      </x:c>
      <x:c r="R250" s="8" t="str">
        <x:f>IF(LOWER('Raw Data'!N250)="upi","UPI",'Raw Data'!N250)</x:f>
        <x:v>UPI</x:v>
      </x:c>
      <x:c r="S250" s="8" t="str">
        <x:v>Completed</x:v>
      </x:c>
      <x:c r="T250" s="8" t="str">
        <x:f>TEXT(B250,"mmm yyyy")</x:f>
        <x:v>Jul 2025</x:v>
      </x:c>
      <x:c r="U250" s="8" t="n">
        <x:f>YEAR(B250)</x:f>
        <x:v>2025</x:v>
      </x:c>
    </x:row>
    <x:row r="251">
      <x:c r="A251" s="8" t="str">
        <x:v>ORD-0247</x:v>
      </x:c>
      <x:c r="B251" s="22" t="n">
        <x:v>45901.53350212963</x:v>
      </x:c>
      <x:c r="C251" s="8" t="str">
        <x:v>CUS-051</x:v>
      </x:c>
      <x:c r="D251" s="8" t="str">
        <x:f>IFERROR(INDEX('Lookup Tables'!$B$5:$B$84,MATCH(C251,'Lookup Tables'!$A$5:$A$84,0)),"Unknown Customer")</x:f>
        <x:v>Aditya Joshi 3</x:v>
      </x:c>
      <x:c r="E251" s="8" t="str">
        <x:f>IFERROR(INDEX('Lookup Tables'!$C$5:$C$84,MATCH(C251,'Lookup Tables'!$A$5:$A$84,0)),"Unknown")</x:f>
        <x:v>Small Business</x:v>
      </x:c>
      <x:c r="F251" s="8" t="str">
        <x:v>Ahmedabad</x:v>
      </x:c>
      <x:c r="G251" s="8" t="str">
        <x:f>IFERROR(INDEX('Lookup Tables'!$N$5:$N$14,MATCH(F251,'Lookup Tables'!$M$5:$M$14,0)),"Unknown")</x:f>
        <x:v>West</x:v>
      </x:c>
      <x:c r="H251" s="8" t="str">
        <x:v>PRD-005</x:v>
      </x:c>
      <x:c r="I251" s="8" t="str">
        <x:f>IFERROR(INDEX('Lookup Tables'!$G$5:$G$16,MATCH(H251,'Lookup Tables'!$F$5:$F$16,0)),"Unknown Product")</x:f>
        <x:v>Executive Notebook</x:v>
      </x:c>
      <x:c r="J251" s="8" t="str">
        <x:f>IFERROR(INDEX('Lookup Tables'!$H$5:$H$16,MATCH(H251,'Lookup Tables'!$F$5:$F$16,0)),"Unknown")</x:f>
        <x:v>Office Supplies</x:v>
      </x:c>
      <x:c r="K251" s="8" t="n">
        <x:v>3</x:v>
      </x:c>
      <x:c r="L251" s="9" t="n">
        <x:f>IFERROR(INDEX('Lookup Tables'!$I$5:$I$16,MATCH(H251,'Lookup Tables'!$F$5:$F$16,0)),0)</x:f>
        <x:v>349</x:v>
      </x:c>
      <x:c r="M251" s="23" t="n">
        <x:f>IF('Raw Data'!M251="",0,'Raw Data'!M251)</x:f>
        <x:v>0.05</x:v>
      </x:c>
      <x:c r="N251" s="9" t="n">
        <x:f>IF(S251="Completed",K251*L251*(1-M251),0)</x:f>
        <x:v>0</x:v>
      </x:c>
      <x:c r="O251" s="9" t="n">
        <x:f>IFERROR(INDEX('Lookup Tables'!$J$5:$J$16,MATCH(H251,'Lookup Tables'!$F$5:$F$16,0)),0)</x:f>
        <x:v>170</x:v>
      </x:c>
      <x:c r="P251" s="9" t="n">
        <x:f>IF(S251="Completed",K251*O251,0)</x:f>
        <x:v>0</x:v>
      </x:c>
      <x:c r="Q251" s="9" t="n">
        <x:f>N251-P251</x:f>
        <x:v>0</x:v>
      </x:c>
      <x:c r="R251" s="8" t="str">
        <x:f>IF(LOWER('Raw Data'!N251)="upi","UPI",'Raw Data'!N251)</x:f>
        <x:v>Credit Card</x:v>
      </x:c>
      <x:c r="S251" s="8" t="str">
        <x:v>Returned</x:v>
      </x:c>
      <x:c r="T251" s="8" t="str">
        <x:f>TEXT(B251,"mmm yyyy")</x:f>
        <x:v>Sep 2025</x:v>
      </x:c>
      <x:c r="U251" s="8" t="n">
        <x:f>YEAR(B251)</x:f>
        <x:v>2025</x:v>
      </x:c>
    </x:row>
    <x:row r="252">
      <x:c r="A252" s="8" t="str">
        <x:v>ORD-0248</x:v>
      </x:c>
      <x:c r="B252" s="22" t="n">
        <x:v>45872.09222172454</x:v>
      </x:c>
      <x:c r="C252" s="8" t="str">
        <x:v>CUS-049</x:v>
      </x:c>
      <x:c r="D252" s="8" t="str">
        <x:f>IFERROR(INDEX('Lookup Tables'!$B$5:$B$84,MATCH(C252,'Lookup Tables'!$A$5:$A$84,0)),"Unknown Customer")</x:f>
        <x:v>Rohan Das 3</x:v>
      </x:c>
      <x:c r="E252" s="8" t="str">
        <x:f>IFERROR(INDEX('Lookup Tables'!$C$5:$C$84,MATCH(C252,'Lookup Tables'!$A$5:$A$84,0)),"Unknown")</x:f>
        <x:v>Consumer</x:v>
      </x:c>
      <x:c r="F252" s="8" t="str">
        <x:v>Delhi</x:v>
      </x:c>
      <x:c r="G252" s="8" t="str">
        <x:f>IFERROR(INDEX('Lookup Tables'!$N$5:$N$14,MATCH(F252,'Lookup Tables'!$M$5:$M$14,0)),"Unknown")</x:f>
        <x:v>North</x:v>
      </x:c>
      <x:c r="H252" s="8" t="str">
        <x:v>PRD-005</x:v>
      </x:c>
      <x:c r="I252" s="8" t="str">
        <x:f>IFERROR(INDEX('Lookup Tables'!$G$5:$G$16,MATCH(H252,'Lookup Tables'!$F$5:$F$16,0)),"Unknown Product")</x:f>
        <x:v>Executive Notebook</x:v>
      </x:c>
      <x:c r="J252" s="8" t="str">
        <x:f>IFERROR(INDEX('Lookup Tables'!$H$5:$H$16,MATCH(H252,'Lookup Tables'!$F$5:$F$16,0)),"Unknown")</x:f>
        <x:v>Office Supplies</x:v>
      </x:c>
      <x:c r="K252" s="8" t="n">
        <x:v>4</x:v>
      </x:c>
      <x:c r="L252" s="9" t="n">
        <x:f>IFERROR(INDEX('Lookup Tables'!$I$5:$I$16,MATCH(H252,'Lookup Tables'!$F$5:$F$16,0)),0)</x:f>
        <x:v>349</x:v>
      </x:c>
      <x:c r="M252" s="23" t="n">
        <x:f>IF('Raw Data'!M252="",0,'Raw Data'!M252)</x:f>
        <x:v>0</x:v>
      </x:c>
      <x:c r="N252" s="9" t="n">
        <x:f>IF(S252="Completed",K252*L252*(1-M252),0)</x:f>
        <x:v>1396</x:v>
      </x:c>
      <x:c r="O252" s="9" t="n">
        <x:f>IFERROR(INDEX('Lookup Tables'!$J$5:$J$16,MATCH(H252,'Lookup Tables'!$F$5:$F$16,0)),0)</x:f>
        <x:v>170</x:v>
      </x:c>
      <x:c r="P252" s="9" t="n">
        <x:f>IF(S252="Completed",K252*O252,0)</x:f>
        <x:v>680</x:v>
      </x:c>
      <x:c r="Q252" s="9" t="n">
        <x:f>N252-P252</x:f>
        <x:v>716</x:v>
      </x:c>
      <x:c r="R252" s="8" t="str">
        <x:f>IF(LOWER('Raw Data'!N252)="upi","UPI",'Raw Data'!N252)</x:f>
        <x:v>Cash on Delivery</x:v>
      </x:c>
      <x:c r="S252" s="8" t="str">
        <x:v>Completed</x:v>
      </x:c>
      <x:c r="T252" s="8" t="str">
        <x:f>TEXT(B252,"mmm yyyy")</x:f>
        <x:v>Aug 2025</x:v>
      </x:c>
      <x:c r="U252" s="8" t="n">
        <x:f>YEAR(B252)</x:f>
        <x:v>2025</x:v>
      </x:c>
    </x:row>
    <x:row r="253">
      <x:c r="A253" s="8" t="str">
        <x:v>ORD-0249</x:v>
      </x:c>
      <x:c r="B253" s="22" t="n">
        <x:v>45938.84080699074</x:v>
      </x:c>
      <x:c r="C253" s="8" t="str">
        <x:v>CUS-020</x:v>
      </x:c>
      <x:c r="D253" s="8" t="str">
        <x:f>IFERROR(INDEX('Lookup Tables'!$B$5:$B$84,MATCH(C253,'Lookup Tables'!$A$5:$A$84,0)),"Unknown Customer")</x:f>
        <x:v>Kavya Reddy</x:v>
      </x:c>
      <x:c r="E253" s="8" t="str">
        <x:f>IFERROR(INDEX('Lookup Tables'!$C$5:$C$84,MATCH(C253,'Lookup Tables'!$A$5:$A$84,0)),"Unknown")</x:f>
        <x:v>Corporate</x:v>
      </x:c>
      <x:c r="F253" s="8" t="str">
        <x:v>Chennai</x:v>
      </x:c>
      <x:c r="G253" s="8" t="str">
        <x:f>IFERROR(INDEX('Lookup Tables'!$N$5:$N$14,MATCH(F253,'Lookup Tables'!$M$5:$M$14,0)),"Unknown")</x:f>
        <x:v>South</x:v>
      </x:c>
      <x:c r="H253" s="8" t="str">
        <x:v>PRD-006</x:v>
      </x:c>
      <x:c r="I253" s="8" t="str">
        <x:f>IFERROR(INDEX('Lookup Tables'!$G$5:$G$16,MATCH(H253,'Lookup Tables'!$F$5:$F$16,0)),"Unknown Product")</x:f>
        <x:v>Desk Organiser</x:v>
      </x:c>
      <x:c r="J253" s="8" t="str">
        <x:f>IFERROR(INDEX('Lookup Tables'!$H$5:$H$16,MATCH(H253,'Lookup Tables'!$F$5:$F$16,0)),"Unknown")</x:f>
        <x:v>Office Supplies</x:v>
      </x:c>
      <x:c r="K253" s="8" t="n">
        <x:v>2</x:v>
      </x:c>
      <x:c r="L253" s="9" t="n">
        <x:f>IFERROR(INDEX('Lookup Tables'!$I$5:$I$16,MATCH(H253,'Lookup Tables'!$F$5:$F$16,0)),0)</x:f>
        <x:v>699</x:v>
      </x:c>
      <x:c r="M253" s="23" t="n">
        <x:f>IF('Raw Data'!M253="",0,'Raw Data'!M253)</x:f>
        <x:v>0.15</x:v>
      </x:c>
      <x:c r="N253" s="9" t="n">
        <x:f>IF(S253="Completed",K253*L253*(1-M253),0)</x:f>
        <x:v>0</x:v>
      </x:c>
      <x:c r="O253" s="9" t="n">
        <x:f>IFERROR(INDEX('Lookup Tables'!$J$5:$J$16,MATCH(H253,'Lookup Tables'!$F$5:$F$16,0)),0)</x:f>
        <x:v>390</x:v>
      </x:c>
      <x:c r="P253" s="9" t="n">
        <x:f>IF(S253="Completed",K253*O253,0)</x:f>
        <x:v>0</x:v>
      </x:c>
      <x:c r="Q253" s="9" t="n">
        <x:f>N253-P253</x:f>
        <x:v>0</x:v>
      </x:c>
      <x:c r="R253" s="8" t="str">
        <x:f>IF(LOWER('Raw Data'!N253)="upi","UPI",'Raw Data'!N253)</x:f>
        <x:v>Credit Card</x:v>
      </x:c>
      <x:c r="S253" s="8" t="str">
        <x:v>Cancelled</x:v>
      </x:c>
      <x:c r="T253" s="8" t="str">
        <x:f>TEXT(B253,"mmm yyyy")</x:f>
        <x:v>Oct 2025</x:v>
      </x:c>
      <x:c r="U253" s="8" t="n">
        <x:f>YEAR(B253)</x:f>
        <x:v>2025</x:v>
      </x:c>
    </x:row>
    <x:row r="254">
      <x:c r="A254" s="8" t="str">
        <x:v>ORD-0250</x:v>
      </x:c>
      <x:c r="B254" s="22" t="n">
        <x:v>45784.1269984375</x:v>
      </x:c>
      <x:c r="C254" s="8" t="str">
        <x:v>CUS-030</x:v>
      </x:c>
      <x:c r="D254" s="8" t="str">
        <x:f>IFERROR(INDEX('Lookup Tables'!$B$5:$B$84,MATCH(C254,'Lookup Tables'!$A$5:$A$84,0)),"Unknown Customer")</x:f>
        <x:v>Saanvi Iyer 2</x:v>
      </x:c>
      <x:c r="E254" s="8" t="str">
        <x:f>IFERROR(INDEX('Lookup Tables'!$C$5:$C$84,MATCH(C254,'Lookup Tables'!$A$5:$A$84,0)),"Unknown")</x:f>
        <x:v>Small Business</x:v>
      </x:c>
      <x:c r="F254" s="8" t="str">
        <x:v>Bengaluru</x:v>
      </x:c>
      <x:c r="G254" s="8" t="str">
        <x:f>IFERROR(INDEX('Lookup Tables'!$N$5:$N$14,MATCH(F254,'Lookup Tables'!$M$5:$M$14,0)),"Unknown")</x:f>
        <x:v>South</x:v>
      </x:c>
      <x:c r="H254" s="8" t="str">
        <x:v>PRD-003</x:v>
      </x:c>
      <x:c r="I254" s="8" t="str">
        <x:f>IFERROR(INDEX('Lookup Tables'!$G$5:$G$16,MATCH(H254,'Lookup Tables'!$F$5:$F$16,0)),"Unknown Product")</x:f>
        <x:v>USB-C Hub</x:v>
      </x:c>
      <x:c r="J254" s="8" t="str">
        <x:f>IFERROR(INDEX('Lookup Tables'!$H$5:$H$16,MATCH(H254,'Lookup Tables'!$F$5:$F$16,0)),"Unknown")</x:f>
        <x:v>Electronics</x:v>
      </x:c>
      <x:c r="K254" s="8" t="n">
        <x:v>2</x:v>
      </x:c>
      <x:c r="L254" s="9" t="n">
        <x:f>IFERROR(INDEX('Lookup Tables'!$I$5:$I$16,MATCH(H254,'Lookup Tables'!$F$5:$F$16,0)),0)</x:f>
        <x:v>1899</x:v>
      </x:c>
      <x:c r="M254" s="23" t="n">
        <x:f>IF('Raw Data'!M254="",0,'Raw Data'!M254)</x:f>
        <x:v>0.05</x:v>
      </x:c>
      <x:c r="N254" s="9" t="n">
        <x:f>IF(S254="Completed",K254*L254*(1-M254),0)</x:f>
        <x:v>0</x:v>
      </x:c>
      <x:c r="O254" s="9" t="n">
        <x:f>IFERROR(INDEX('Lookup Tables'!$J$5:$J$16,MATCH(H254,'Lookup Tables'!$F$5:$F$16,0)),0)</x:f>
        <x:v>1180</x:v>
      </x:c>
      <x:c r="P254" s="9" t="n">
        <x:f>IF(S254="Completed",K254*O254,0)</x:f>
        <x:v>0</x:v>
      </x:c>
      <x:c r="Q254" s="9" t="n">
        <x:f>N254-P254</x:f>
        <x:v>0</x:v>
      </x:c>
      <x:c r="R254" s="8" t="str">
        <x:f>IF(LOWER('Raw Data'!N254)="upi","UPI",'Raw Data'!N254)</x:f>
        <x:v>UPI</x:v>
      </x:c>
      <x:c r="S254" s="8" t="str">
        <x:v>Cancelled</x:v>
      </x:c>
      <x:c r="T254" s="8" t="str">
        <x:f>TEXT(B254,"mmm yyyy")</x:f>
        <x:v>May 2025</x:v>
      </x:c>
      <x:c r="U254" s="8" t="n">
        <x:f>YEAR(B254)</x:f>
        <x:v>2025</x:v>
      </x:c>
    </x:row>
    <x:row r="255">
      <x:c r="A255" s="8" t="str">
        <x:v>ORD-0251</x:v>
      </x:c>
      <x:c r="B255" s="22" t="n">
        <x:v>45689.86306618056</x:v>
      </x:c>
      <x:c r="C255" s="8" t="str">
        <x:v>CUS-001</x:v>
      </x:c>
      <x:c r="D255" s="8" t="str">
        <x:f>IFERROR(INDEX('Lookup Tables'!$B$5:$B$84,MATCH(C255,'Lookup Tables'!$A$5:$A$84,0)),"Unknown Customer")</x:f>
        <x:v>Aarav Sharma</x:v>
      </x:c>
      <x:c r="E255" s="8" t="str">
        <x:f>IFERROR(INDEX('Lookup Tables'!$C$5:$C$84,MATCH(C255,'Lookup Tables'!$A$5:$A$84,0)),"Unknown")</x:f>
        <x:v>Consumer</x:v>
      </x:c>
      <x:c r="F255" s="8" t="str">
        <x:v>Hyderabad</x:v>
      </x:c>
      <x:c r="G255" s="8" t="str">
        <x:f>IFERROR(INDEX('Lookup Tables'!$N$5:$N$14,MATCH(F255,'Lookup Tables'!$M$5:$M$14,0)),"Unknown")</x:f>
        <x:v>South</x:v>
      </x:c>
      <x:c r="H255" s="8" t="str">
        <x:v>PRD-010</x:v>
      </x:c>
      <x:c r="I255" s="8" t="str">
        <x:f>IFERROR(INDEX('Lookup Tables'!$G$5:$G$16,MATCH(H255,'Lookup Tables'!$F$5:$F$16,0)),"Unknown Product")</x:f>
        <x:v>Travel Backpack</x:v>
      </x:c>
      <x:c r="J255" s="8" t="str">
        <x:f>IFERROR(INDEX('Lookup Tables'!$H$5:$H$16,MATCH(H255,'Lookup Tables'!$F$5:$F$16,0)),"Unknown")</x:f>
        <x:v>Fashion</x:v>
      </x:c>
      <x:c r="K255" s="8" t="n">
        <x:v>4</x:v>
      </x:c>
      <x:c r="L255" s="9" t="n">
        <x:f>IFERROR(INDEX('Lookup Tables'!$I$5:$I$16,MATCH(H255,'Lookup Tables'!$F$5:$F$16,0)),0)</x:f>
        <x:v>2199</x:v>
      </x:c>
      <x:c r="M255" s="23" t="n">
        <x:f>IF('Raw Data'!M255="",0,'Raw Data'!M255)</x:f>
        <x:v>0.05</x:v>
      </x:c>
      <x:c r="N255" s="9" t="n">
        <x:f>IF(S255="Completed",K255*L255*(1-M255),0)</x:f>
        <x:v>0</x:v>
      </x:c>
      <x:c r="O255" s="9" t="n">
        <x:f>IFERROR(INDEX('Lookup Tables'!$J$5:$J$16,MATCH(H255,'Lookup Tables'!$F$5:$F$16,0)),0)</x:f>
        <x:v>1380</x:v>
      </x:c>
      <x:c r="P255" s="9" t="n">
        <x:f>IF(S255="Completed",K255*O255,0)</x:f>
        <x:v>0</x:v>
      </x:c>
      <x:c r="Q255" s="9" t="n">
        <x:f>N255-P255</x:f>
        <x:v>0</x:v>
      </x:c>
      <x:c r="R255" s="8" t="str">
        <x:f>IF(LOWER('Raw Data'!N255)="upi","UPI",'Raw Data'!N255)</x:f>
        <x:v>Net Banking</x:v>
      </x:c>
      <x:c r="S255" s="8" t="str">
        <x:v>Cancelled</x:v>
      </x:c>
      <x:c r="T255" s="8" t="str">
        <x:f>TEXT(B255,"mmm yyyy")</x:f>
        <x:v>Feb 2025</x:v>
      </x:c>
      <x:c r="U255" s="8" t="n">
        <x:f>YEAR(B255)</x:f>
        <x:v>2025</x:v>
      </x:c>
    </x:row>
    <x:row r="256">
      <x:c r="A256" s="8" t="str">
        <x:v>ORD-0252</x:v>
      </x:c>
      <x:c r="B256" s="22" t="n">
        <x:v>46013.32307116898</x:v>
      </x:c>
      <x:c r="C256" s="8" t="str">
        <x:v>CUS-055</x:v>
      </x:c>
      <x:c r="D256" s="8" t="str">
        <x:f>IFERROR(INDEX('Lookup Tables'!$B$5:$B$84,MATCH(C256,'Lookup Tables'!$A$5:$A$84,0)),"Unknown Customer")</x:f>
        <x:v>Karan Malhotra 3</x:v>
      </x:c>
      <x:c r="E256" s="8" t="str">
        <x:f>IFERROR(INDEX('Lookup Tables'!$C$5:$C$84,MATCH(C256,'Lookup Tables'!$A$5:$A$84,0)),"Unknown")</x:f>
        <x:v>Consumer</x:v>
      </x:c>
      <x:c r="F256" s="8" t="str">
        <x:v>Hyderabad</x:v>
      </x:c>
      <x:c r="G256" s="8" t="str">
        <x:f>IFERROR(INDEX('Lookup Tables'!$N$5:$N$14,MATCH(F256,'Lookup Tables'!$M$5:$M$14,0)),"Unknown")</x:f>
        <x:v>South</x:v>
      </x:c>
      <x:c r="H256" s="8" t="str">
        <x:v>PRD-002</x:v>
      </x:c>
      <x:c r="I256" s="8" t="str">
        <x:f>IFERROR(INDEX('Lookup Tables'!$G$5:$G$16,MATCH(H256,'Lookup Tables'!$F$5:$F$16,0)),"Unknown Product")</x:f>
        <x:v>Bluetooth Headphones</x:v>
      </x:c>
      <x:c r="J256" s="8" t="str">
        <x:f>IFERROR(INDEX('Lookup Tables'!$H$5:$H$16,MATCH(H256,'Lookup Tables'!$F$5:$F$16,0)),"Unknown")</x:f>
        <x:v>Electronics</x:v>
      </x:c>
      <x:c r="K256" s="8" t="n">
        <x:v>4</x:v>
      </x:c>
      <x:c r="L256" s="9" t="n">
        <x:f>IFERROR(INDEX('Lookup Tables'!$I$5:$I$16,MATCH(H256,'Lookup Tables'!$F$5:$F$16,0)),0)</x:f>
        <x:v>2499</x:v>
      </x:c>
      <x:c r="M256" s="23" t="n">
        <x:f>IF('Raw Data'!M256="",0,'Raw Data'!M256)</x:f>
        <x:v>0.05</x:v>
      </x:c>
      <x:c r="N256" s="9" t="n">
        <x:f>IF(S256="Completed",K256*L256*(1-M256),0)</x:f>
        <x:v>9496.199999999999</x:v>
      </x:c>
      <x:c r="O256" s="9" t="n">
        <x:f>IFERROR(INDEX('Lookup Tables'!$J$5:$J$16,MATCH(H256,'Lookup Tables'!$F$5:$F$16,0)),0)</x:f>
        <x:v>1620</x:v>
      </x:c>
      <x:c r="P256" s="9" t="n">
        <x:f>IF(S256="Completed",K256*O256,0)</x:f>
        <x:v>6480</x:v>
      </x:c>
      <x:c r="Q256" s="9" t="n">
        <x:f>N256-P256</x:f>
        <x:v>3016.199999999999</x:v>
      </x:c>
      <x:c r="R256" s="8" t="str">
        <x:f>IF(LOWER('Raw Data'!N256)="upi","UPI",'Raw Data'!N256)</x:f>
        <x:v>Debit Card</x:v>
      </x:c>
      <x:c r="S256" s="8" t="str">
        <x:v>Completed</x:v>
      </x:c>
      <x:c r="T256" s="8" t="str">
        <x:f>TEXT(B256,"mmm yyyy")</x:f>
        <x:v>Dec 2025</x:v>
      </x:c>
      <x:c r="U256" s="8" t="n">
        <x:f>YEAR(B256)</x:f>
        <x:v>2025</x:v>
      </x:c>
    </x:row>
    <x:row r="257">
      <x:c r="A257" s="8" t="str">
        <x:v>ORD-0253</x:v>
      </x:c>
      <x:c r="B257" s="22" t="n">
        <x:v>45821.837876006946</x:v>
      </x:c>
      <x:c r="C257" s="8" t="str">
        <x:v>CUS-069</x:v>
      </x:c>
      <x:c r="D257" s="8" t="str">
        <x:f>IFERROR(INDEX('Lookup Tables'!$B$5:$B$84,MATCH(C257,'Lookup Tables'!$A$5:$A$84,0)),"Unknown Customer")</x:f>
        <x:v>Rohan Das 4</x:v>
      </x:c>
      <x:c r="E257" s="8" t="str">
        <x:f>IFERROR(INDEX('Lookup Tables'!$C$5:$C$84,MATCH(C257,'Lookup Tables'!$A$5:$A$84,0)),"Unknown")</x:f>
        <x:v>Small Business</x:v>
      </x:c>
      <x:c r="F257" s="8" t="str">
        <x:v>Delhi</x:v>
      </x:c>
      <x:c r="G257" s="8" t="str">
        <x:f>IFERROR(INDEX('Lookup Tables'!$N$5:$N$14,MATCH(F257,'Lookup Tables'!$M$5:$M$14,0)),"Unknown")</x:f>
        <x:v>North</x:v>
      </x:c>
      <x:c r="H257" s="8" t="str">
        <x:v>PRD-007</x:v>
      </x:c>
      <x:c r="I257" s="8" t="str">
        <x:f>IFERROR(INDEX('Lookup Tables'!$G$5:$G$16,MATCH(H257,'Lookup Tables'!$F$5:$F$16,0)),"Unknown Product")</x:f>
        <x:v>Electric Kettle</x:v>
      </x:c>
      <x:c r="J257" s="8" t="str">
        <x:f>IFERROR(INDEX('Lookup Tables'!$H$5:$H$16,MATCH(H257,'Lookup Tables'!$F$5:$F$16,0)),"Unknown")</x:f>
        <x:v>Home &amp; Kitchen</x:v>
      </x:c>
      <x:c r="K257" s="8" t="n">
        <x:v>5</x:v>
      </x:c>
      <x:c r="L257" s="9" t="n">
        <x:f>IFERROR(INDEX('Lookup Tables'!$I$5:$I$16,MATCH(H257,'Lookup Tables'!$F$5:$F$16,0)),0)</x:f>
        <x:v>1699</x:v>
      </x:c>
      <x:c r="M257" s="23" t="n">
        <x:f>IF('Raw Data'!M257="",0,'Raw Data'!M257)</x:f>
        <x:v>0.05</x:v>
      </x:c>
      <x:c r="N257" s="9" t="n">
        <x:f>IF(S257="Completed",K257*L257*(1-M257),0)</x:f>
        <x:v>8070.25</x:v>
      </x:c>
      <x:c r="O257" s="9" t="n">
        <x:f>IFERROR(INDEX('Lookup Tables'!$J$5:$J$16,MATCH(H257,'Lookup Tables'!$F$5:$F$16,0)),0)</x:f>
        <x:v>1040</x:v>
      </x:c>
      <x:c r="P257" s="9" t="n">
        <x:f>IF(S257="Completed",K257*O257,0)</x:f>
        <x:v>5200</x:v>
      </x:c>
      <x:c r="Q257" s="9" t="n">
        <x:f>N257-P257</x:f>
        <x:v>2870.25</x:v>
      </x:c>
      <x:c r="R257" s="8" t="str">
        <x:f>IF(LOWER('Raw Data'!N257)="upi","UPI",'Raw Data'!N257)</x:f>
        <x:v>Cash on Delivery</x:v>
      </x:c>
      <x:c r="S257" s="8" t="str">
        <x:v>Completed</x:v>
      </x:c>
      <x:c r="T257" s="8" t="str">
        <x:f>TEXT(B257,"mmm yyyy")</x:f>
        <x:v>Jun 2025</x:v>
      </x:c>
      <x:c r="U257" s="8" t="n">
        <x:f>YEAR(B257)</x:f>
        <x:v>2025</x:v>
      </x:c>
    </x:row>
    <x:row r="258">
      <x:c r="A258" s="8" t="str">
        <x:v>ORD-0254</x:v>
      </x:c>
      <x:c r="B258" s="22" t="n">
        <x:v>45870.51625837963</x:v>
      </x:c>
      <x:c r="C258" s="8" t="str">
        <x:v>CUS-022</x:v>
      </x:c>
      <x:c r="D258" s="8" t="str">
        <x:f>IFERROR(INDEX('Lookup Tables'!$B$5:$B$84,MATCH(C258,'Lookup Tables'!$A$5:$A$84,0)),"Unknown Customer")</x:f>
        <x:v>Diya Patel 2</x:v>
      </x:c>
      <x:c r="E258" s="8" t="str">
        <x:f>IFERROR(INDEX('Lookup Tables'!$C$5:$C$84,MATCH(C258,'Lookup Tables'!$A$5:$A$84,0)),"Unknown")</x:f>
        <x:v>Consumer</x:v>
      </x:c>
      <x:c r="F258" s="8" t="str">
        <x:v>Kolkata</x:v>
      </x:c>
      <x:c r="G258" s="8" t="str">
        <x:f>IFERROR(INDEX('Lookup Tables'!$N$5:$N$14,MATCH(F258,'Lookup Tables'!$M$5:$M$14,0)),"Unknown")</x:f>
        <x:v>East</x:v>
      </x:c>
      <x:c r="H258" s="8" t="str">
        <x:v>PRD-009</x:v>
      </x:c>
      <x:c r="I258" s="8" t="str">
        <x:f>IFERROR(INDEX('Lookup Tables'!$G$5:$G$16,MATCH(H258,'Lookup Tables'!$F$5:$F$16,0)),"Unknown Product")</x:f>
        <x:v>Table Lamp</x:v>
      </x:c>
      <x:c r="J258" s="8" t="str">
        <x:f>IFERROR(INDEX('Lookup Tables'!$H$5:$H$16,MATCH(H258,'Lookup Tables'!$F$5:$F$16,0)),"Unknown")</x:f>
        <x:v>Home &amp; Kitchen</x:v>
      </x:c>
      <x:c r="K258" s="8" t="n">
        <x:v>2</x:v>
      </x:c>
      <x:c r="L258" s="9" t="n">
        <x:f>IFERROR(INDEX('Lookup Tables'!$I$5:$I$16,MATCH(H258,'Lookup Tables'!$F$5:$F$16,0)),0)</x:f>
        <x:v>1499</x:v>
      </x:c>
      <x:c r="M258" s="23" t="n">
        <x:f>IF('Raw Data'!M258="",0,'Raw Data'!M258)</x:f>
        <x:v>0.2</x:v>
      </x:c>
      <x:c r="N258" s="9" t="n">
        <x:f>IF(S258="Completed",K258*L258*(1-M258),0)</x:f>
        <x:v>0</x:v>
      </x:c>
      <x:c r="O258" s="9" t="n">
        <x:f>IFERROR(INDEX('Lookup Tables'!$J$5:$J$16,MATCH(H258,'Lookup Tables'!$F$5:$F$16,0)),0)</x:f>
        <x:v>920</x:v>
      </x:c>
      <x:c r="P258" s="9" t="n">
        <x:f>IF(S258="Completed",K258*O258,0)</x:f>
        <x:v>0</x:v>
      </x:c>
      <x:c r="Q258" s="9" t="n">
        <x:f>N258-P258</x:f>
        <x:v>0</x:v>
      </x:c>
      <x:c r="R258" s="8" t="str">
        <x:f>IF(LOWER('Raw Data'!N258)="upi","UPI",'Raw Data'!N258)</x:f>
        <x:v>Credit Card</x:v>
      </x:c>
      <x:c r="S258" s="8" t="str">
        <x:v>Returned</x:v>
      </x:c>
      <x:c r="T258" s="8" t="str">
        <x:f>TEXT(B258,"mmm yyyy")</x:f>
        <x:v>Aug 2025</x:v>
      </x:c>
      <x:c r="U258" s="8" t="n">
        <x:f>YEAR(B258)</x:f>
        <x:v>2025</x:v>
      </x:c>
    </x:row>
    <x:row r="259">
      <x:c r="A259" s="8" t="str">
        <x:v>ORD-0255</x:v>
      </x:c>
      <x:c r="B259" s="22" t="n">
        <x:v>45779.529473078706</x:v>
      </x:c>
      <x:c r="C259" s="8" t="str">
        <x:v>CUS-061</x:v>
      </x:c>
      <x:c r="D259" s="8" t="str">
        <x:f>IFERROR(INDEX('Lookup Tables'!$B$5:$B$84,MATCH(C259,'Lookup Tables'!$A$5:$A$84,0)),"Unknown Customer")</x:f>
        <x:v>Aarav Sharma 4</x:v>
      </x:c>
      <x:c r="E259" s="8" t="str">
        <x:f>IFERROR(INDEX('Lookup Tables'!$C$5:$C$84,MATCH(C259,'Lookup Tables'!$A$5:$A$84,0)),"Unknown")</x:f>
        <x:v>Consumer</x:v>
      </x:c>
      <x:c r="F259" s="8" t="str">
        <x:v>Hyderabad</x:v>
      </x:c>
      <x:c r="G259" s="8" t="str">
        <x:f>IFERROR(INDEX('Lookup Tables'!$N$5:$N$14,MATCH(F259,'Lookup Tables'!$M$5:$M$14,0)),"Unknown")</x:f>
        <x:v>South</x:v>
      </x:c>
      <x:c r="H259" s="8" t="str">
        <x:v>PRD-008</x:v>
      </x:c>
      <x:c r="I259" s="8" t="str">
        <x:f>IFERROR(INDEX('Lookup Tables'!$G$5:$G$16,MATCH(H259,'Lookup Tables'!$F$5:$F$16,0)),"Unknown Product")</x:f>
        <x:v>Storage Container Set</x:v>
      </x:c>
      <x:c r="J259" s="8" t="str">
        <x:f>IFERROR(INDEX('Lookup Tables'!$H$5:$H$16,MATCH(H259,'Lookup Tables'!$F$5:$F$16,0)),"Unknown")</x:f>
        <x:v>Home &amp; Kitchen</x:v>
      </x:c>
      <x:c r="K259" s="8" t="n">
        <x:v>2</x:v>
      </x:c>
      <x:c r="L259" s="9" t="n">
        <x:f>IFERROR(INDEX('Lookup Tables'!$I$5:$I$16,MATCH(H259,'Lookup Tables'!$F$5:$F$16,0)),0)</x:f>
        <x:v>999</x:v>
      </x:c>
      <x:c r="M259" s="23" t="n">
        <x:f>IF('Raw Data'!M259="",0,'Raw Data'!M259)</x:f>
        <x:v>0.1</x:v>
      </x:c>
      <x:c r="N259" s="9" t="n">
        <x:f>IF(S259="Completed",K259*L259*(1-M259),0)</x:f>
        <x:v>0</x:v>
      </x:c>
      <x:c r="O259" s="9" t="n">
        <x:f>IFERROR(INDEX('Lookup Tables'!$J$5:$J$16,MATCH(H259,'Lookup Tables'!$F$5:$F$16,0)),0)</x:f>
        <x:v>580</x:v>
      </x:c>
      <x:c r="P259" s="9" t="n">
        <x:f>IF(S259="Completed",K259*O259,0)</x:f>
        <x:v>0</x:v>
      </x:c>
      <x:c r="Q259" s="9" t="n">
        <x:f>N259-P259</x:f>
        <x:v>0</x:v>
      </x:c>
      <x:c r="R259" s="8" t="str">
        <x:f>IF(LOWER('Raw Data'!N259)="upi","UPI",'Raw Data'!N259)</x:f>
        <x:v>Credit Card</x:v>
      </x:c>
      <x:c r="S259" s="8" t="str">
        <x:v>Cancelled</x:v>
      </x:c>
      <x:c r="T259" s="8" t="str">
        <x:f>TEXT(B259,"mmm yyyy")</x:f>
        <x:v>May 2025</x:v>
      </x:c>
      <x:c r="U259" s="8" t="n">
        <x:f>YEAR(B259)</x:f>
        <x:v>2025</x:v>
      </x:c>
    </x:row>
    <x:row r="260">
      <x:c r="A260" s="8" t="str">
        <x:v>ORD-0256</x:v>
      </x:c>
      <x:c r="B260" s="22" t="n">
        <x:v>46020.274389212966</x:v>
      </x:c>
      <x:c r="C260" s="8" t="str">
        <x:v>CUS-049</x:v>
      </x:c>
      <x:c r="D260" s="8" t="str">
        <x:f>IFERROR(INDEX('Lookup Tables'!$B$5:$B$84,MATCH(C260,'Lookup Tables'!$A$5:$A$84,0)),"Unknown Customer")</x:f>
        <x:v>Rohan Das 3</x:v>
      </x:c>
      <x:c r="E260" s="8" t="str">
        <x:f>IFERROR(INDEX('Lookup Tables'!$C$5:$C$84,MATCH(C260,'Lookup Tables'!$A$5:$A$84,0)),"Unknown")</x:f>
        <x:v>Consumer</x:v>
      </x:c>
      <x:c r="F260" s="8" t="str">
        <x:v>Jaipur</x:v>
      </x:c>
      <x:c r="G260" s="8" t="str">
        <x:f>IFERROR(INDEX('Lookup Tables'!$N$5:$N$14,MATCH(F260,'Lookup Tables'!$M$5:$M$14,0)),"Unknown")</x:f>
        <x:v>North</x:v>
      </x:c>
      <x:c r="H260" s="8" t="str">
        <x:v>PRD-009</x:v>
      </x:c>
      <x:c r="I260" s="8" t="str">
        <x:f>IFERROR(INDEX('Lookup Tables'!$G$5:$G$16,MATCH(H260,'Lookup Tables'!$F$5:$F$16,0)),"Unknown Product")</x:f>
        <x:v>Table Lamp</x:v>
      </x:c>
      <x:c r="J260" s="8" t="str">
        <x:f>IFERROR(INDEX('Lookup Tables'!$H$5:$H$16,MATCH(H260,'Lookup Tables'!$F$5:$F$16,0)),"Unknown")</x:f>
        <x:v>Home &amp; Kitchen</x:v>
      </x:c>
      <x:c r="K260" s="8" t="n">
        <x:v>3</x:v>
      </x:c>
      <x:c r="L260" s="9" t="n">
        <x:f>IFERROR(INDEX('Lookup Tables'!$I$5:$I$16,MATCH(H260,'Lookup Tables'!$F$5:$F$16,0)),0)</x:f>
        <x:v>1499</x:v>
      </x:c>
      <x:c r="M260" s="23" t="n">
        <x:f>IF('Raw Data'!M260="",0,'Raw Data'!M260)</x:f>
        <x:v>0</x:v>
      </x:c>
      <x:c r="N260" s="9" t="n">
        <x:f>IF(S260="Completed",K260*L260*(1-M260),0)</x:f>
        <x:v>4497</x:v>
      </x:c>
      <x:c r="O260" s="9" t="n">
        <x:f>IFERROR(INDEX('Lookup Tables'!$J$5:$J$16,MATCH(H260,'Lookup Tables'!$F$5:$F$16,0)),0)</x:f>
        <x:v>920</x:v>
      </x:c>
      <x:c r="P260" s="9" t="n">
        <x:f>IF(S260="Completed",K260*O260,0)</x:f>
        <x:v>2760</x:v>
      </x:c>
      <x:c r="Q260" s="9" t="n">
        <x:f>N260-P260</x:f>
        <x:v>1737</x:v>
      </x:c>
      <x:c r="R260" s="8" t="str">
        <x:f>IF(LOWER('Raw Data'!N260)="upi","UPI",'Raw Data'!N260)</x:f>
        <x:v>Cash on Delivery</x:v>
      </x:c>
      <x:c r="S260" s="8" t="str">
        <x:v>Completed</x:v>
      </x:c>
      <x:c r="T260" s="8" t="str">
        <x:f>TEXT(B260,"mmm yyyy")</x:f>
        <x:v>Dec 2025</x:v>
      </x:c>
      <x:c r="U260" s="8" t="n">
        <x:f>YEAR(B260)</x:f>
        <x:v>2025</x:v>
      </x:c>
    </x:row>
    <x:row r="261">
      <x:c r="A261" s="8" t="str">
        <x:v>ORD-0257</x:v>
      </x:c>
      <x:c r="B261" s="22" t="n">
        <x:v>45963.916205775466</x:v>
      </x:c>
      <x:c r="C261" s="8" t="str">
        <x:v>CUS-028</x:v>
      </x:c>
      <x:c r="D261" s="8" t="str">
        <x:f>IFERROR(INDEX('Lookup Tables'!$B$5:$B$84,MATCH(C261,'Lookup Tables'!$A$5:$A$84,0)),"Unknown Customer")</x:f>
        <x:v>Meera Nair 2</x:v>
      </x:c>
      <x:c r="E261" s="8" t="str">
        <x:f>IFERROR(INDEX('Lookup Tables'!$C$5:$C$84,MATCH(C261,'Lookup Tables'!$A$5:$A$84,0)),"Unknown")</x:f>
        <x:v>Consumer</x:v>
      </x:c>
      <x:c r="F261" s="8" t="str">
        <x:v>Chennai</x:v>
      </x:c>
      <x:c r="G261" s="8" t="str">
        <x:f>IFERROR(INDEX('Lookup Tables'!$N$5:$N$14,MATCH(F261,'Lookup Tables'!$M$5:$M$14,0)),"Unknown")</x:f>
        <x:v>South</x:v>
      </x:c>
      <x:c r="H261" s="8" t="str">
        <x:v>PRD-012</x:v>
      </x:c>
      <x:c r="I261" s="8" t="str">
        <x:f>IFERROR(INDEX('Lookup Tables'!$G$5:$G$16,MATCH(H261,'Lookup Tables'!$F$5:$F$16,0)),"Unknown Product")</x:f>
        <x:v>Stainless Water Bottle</x:v>
      </x:c>
      <x:c r="J261" s="8" t="str">
        <x:f>IFERROR(INDEX('Lookup Tables'!$H$5:$H$16,MATCH(H261,'Lookup Tables'!$F$5:$F$16,0)),"Unknown")</x:f>
        <x:v>Lifestyle</x:v>
      </x:c>
      <x:c r="K261" s="8" t="n">
        <x:v>2</x:v>
      </x:c>
      <x:c r="L261" s="9" t="n">
        <x:f>IFERROR(INDEX('Lookup Tables'!$I$5:$I$16,MATCH(H261,'Lookup Tables'!$F$5:$F$16,0)),0)</x:f>
        <x:v>799</x:v>
      </x:c>
      <x:c r="M261" s="23" t="n">
        <x:f>IF('Raw Data'!M261="",0,'Raw Data'!M261)</x:f>
        <x:v>0.15</x:v>
      </x:c>
      <x:c r="N261" s="9" t="n">
        <x:f>IF(S261="Completed",K261*L261*(1-M261),0)</x:f>
        <x:v>0</x:v>
      </x:c>
      <x:c r="O261" s="9" t="n">
        <x:f>IFERROR(INDEX('Lookup Tables'!$J$5:$J$16,MATCH(H261,'Lookup Tables'!$F$5:$F$16,0)),0)</x:f>
        <x:v>410</x:v>
      </x:c>
      <x:c r="P261" s="9" t="n">
        <x:f>IF(S261="Completed",K261*O261,0)</x:f>
        <x:v>0</x:v>
      </x:c>
      <x:c r="Q261" s="9" t="n">
        <x:f>N261-P261</x:f>
        <x:v>0</x:v>
      </x:c>
      <x:c r="R261" s="8" t="str">
        <x:f>IF(LOWER('Raw Data'!N261)="upi","UPI",'Raw Data'!N261)</x:f>
        <x:v>Debit Card</x:v>
      </x:c>
      <x:c r="S261" s="8" t="str">
        <x:v>Cancelled</x:v>
      </x:c>
      <x:c r="T261" s="8" t="str">
        <x:f>TEXT(B261,"mmm yyyy")</x:f>
        <x:v>Nov 2025</x:v>
      </x:c>
      <x:c r="U261" s="8" t="n">
        <x:f>YEAR(B261)</x:f>
        <x:v>2025</x:v>
      </x:c>
    </x:row>
    <x:row r="262">
      <x:c r="A262" s="8" t="str">
        <x:v>ORD-0258</x:v>
      </x:c>
      <x:c r="B262" s="22" t="n">
        <x:v>45808.24958364583</x:v>
      </x:c>
      <x:c r="C262" s="8" t="str">
        <x:v>CUS-007</x:v>
      </x:c>
      <x:c r="D262" s="8" t="str">
        <x:f>IFERROR(INDEX('Lookup Tables'!$B$5:$B$84,MATCH(C262,'Lookup Tables'!$A$5:$A$84,0)),"Unknown Customer")</x:f>
        <x:v>Kabir Khan</x:v>
      </x:c>
      <x:c r="E262" s="8" t="str">
        <x:f>IFERROR(INDEX('Lookup Tables'!$C$5:$C$84,MATCH(C262,'Lookup Tables'!$A$5:$A$84,0)),"Unknown")</x:f>
        <x:v>Consumer</x:v>
      </x:c>
      <x:c r="F262" s="8" t="str">
        <x:v>Hyderabad</x:v>
      </x:c>
      <x:c r="G262" s="8" t="str">
        <x:f>IFERROR(INDEX('Lookup Tables'!$N$5:$N$14,MATCH(F262,'Lookup Tables'!$M$5:$M$14,0)),"Unknown")</x:f>
        <x:v>South</x:v>
      </x:c>
      <x:c r="H262" s="8" t="str">
        <x:v>PRD-002</x:v>
      </x:c>
      <x:c r="I262" s="8" t="str">
        <x:f>IFERROR(INDEX('Lookup Tables'!$G$5:$G$16,MATCH(H262,'Lookup Tables'!$F$5:$F$16,0)),"Unknown Product")</x:f>
        <x:v>Bluetooth Headphones</x:v>
      </x:c>
      <x:c r="J262" s="8" t="str">
        <x:f>IFERROR(INDEX('Lookup Tables'!$H$5:$H$16,MATCH(H262,'Lookup Tables'!$F$5:$F$16,0)),"Unknown")</x:f>
        <x:v>Electronics</x:v>
      </x:c>
      <x:c r="K262" s="8" t="n">
        <x:v>4</x:v>
      </x:c>
      <x:c r="L262" s="9" t="n">
        <x:f>IFERROR(INDEX('Lookup Tables'!$I$5:$I$16,MATCH(H262,'Lookup Tables'!$F$5:$F$16,0)),0)</x:f>
        <x:v>2499</x:v>
      </x:c>
      <x:c r="M262" s="23" t="n">
        <x:f>IF('Raw Data'!M262="",0,'Raw Data'!M262)</x:f>
        <x:v>0</x:v>
      </x:c>
      <x:c r="N262" s="9" t="n">
        <x:f>IF(S262="Completed",K262*L262*(1-M262),0)</x:f>
        <x:v>9996</x:v>
      </x:c>
      <x:c r="O262" s="9" t="n">
        <x:f>IFERROR(INDEX('Lookup Tables'!$J$5:$J$16,MATCH(H262,'Lookup Tables'!$F$5:$F$16,0)),0)</x:f>
        <x:v>1620</x:v>
      </x:c>
      <x:c r="P262" s="9" t="n">
        <x:f>IF(S262="Completed",K262*O262,0)</x:f>
        <x:v>6480</x:v>
      </x:c>
      <x:c r="Q262" s="9" t="n">
        <x:f>N262-P262</x:f>
        <x:v>3516</x:v>
      </x:c>
      <x:c r="R262" s="8" t="str">
        <x:f>IF(LOWER('Raw Data'!N262)="upi","UPI",'Raw Data'!N262)</x:f>
        <x:v>UPI</x:v>
      </x:c>
      <x:c r="S262" s="8" t="str">
        <x:v>Completed</x:v>
      </x:c>
      <x:c r="T262" s="8" t="str">
        <x:f>TEXT(B262,"mmm yyyy")</x:f>
        <x:v>May 2025</x:v>
      </x:c>
      <x:c r="U262" s="8" t="n">
        <x:f>YEAR(B262)</x:f>
        <x:v>2025</x:v>
      </x:c>
    </x:row>
    <x:row r="263">
      <x:c r="A263" s="8" t="str">
        <x:v>ORD-0259</x:v>
      </x:c>
      <x:c r="B263" s="22" t="n">
        <x:v>45851.53454939815</x:v>
      </x:c>
      <x:c r="C263" s="8" t="str">
        <x:v>CUS-010</x:v>
      </x:c>
      <x:c r="D263" s="8" t="str">
        <x:f>IFERROR(INDEX('Lookup Tables'!$B$5:$B$84,MATCH(C263,'Lookup Tables'!$A$5:$A$84,0)),"Unknown Customer")</x:f>
        <x:v>Saanvi Iyer</x:v>
      </x:c>
      <x:c r="E263" s="8" t="str">
        <x:f>IFERROR(INDEX('Lookup Tables'!$C$5:$C$84,MATCH(C263,'Lookup Tables'!$A$5:$A$84,0)),"Unknown")</x:f>
        <x:v>Consumer</x:v>
      </x:c>
      <x:c r="F263" s="8" t="str">
        <x:v>Hyderabad</x:v>
      </x:c>
      <x:c r="G263" s="8" t="str">
        <x:f>IFERROR(INDEX('Lookup Tables'!$N$5:$N$14,MATCH(F263,'Lookup Tables'!$M$5:$M$14,0)),"Unknown")</x:f>
        <x:v>South</x:v>
      </x:c>
      <x:c r="H263" s="8" t="str">
        <x:v>PRD-006</x:v>
      </x:c>
      <x:c r="I263" s="8" t="str">
        <x:f>IFERROR(INDEX('Lookup Tables'!$G$5:$G$16,MATCH(H263,'Lookup Tables'!$F$5:$F$16,0)),"Unknown Product")</x:f>
        <x:v>Desk Organiser</x:v>
      </x:c>
      <x:c r="J263" s="8" t="str">
        <x:f>IFERROR(INDEX('Lookup Tables'!$H$5:$H$16,MATCH(H263,'Lookup Tables'!$F$5:$F$16,0)),"Unknown")</x:f>
        <x:v>Office Supplies</x:v>
      </x:c>
      <x:c r="K263" s="8" t="n">
        <x:v>4</x:v>
      </x:c>
      <x:c r="L263" s="9" t="n">
        <x:f>IFERROR(INDEX('Lookup Tables'!$I$5:$I$16,MATCH(H263,'Lookup Tables'!$F$5:$F$16,0)),0)</x:f>
        <x:v>699</x:v>
      </x:c>
      <x:c r="M263" s="23" t="n">
        <x:f>IF('Raw Data'!M263="",0,'Raw Data'!M263)</x:f>
        <x:v>0</x:v>
      </x:c>
      <x:c r="N263" s="9" t="n">
        <x:f>IF(S263="Completed",K263*L263*(1-M263),0)</x:f>
        <x:v>0</x:v>
      </x:c>
      <x:c r="O263" s="9" t="n">
        <x:f>IFERROR(INDEX('Lookup Tables'!$J$5:$J$16,MATCH(H263,'Lookup Tables'!$F$5:$F$16,0)),0)</x:f>
        <x:v>390</x:v>
      </x:c>
      <x:c r="P263" s="9" t="n">
        <x:f>IF(S263="Completed",K263*O263,0)</x:f>
        <x:v>0</x:v>
      </x:c>
      <x:c r="Q263" s="9" t="n">
        <x:f>N263-P263</x:f>
        <x:v>0</x:v>
      </x:c>
      <x:c r="R263" s="8" t="str">
        <x:f>IF(LOWER('Raw Data'!N263)="upi","UPI",'Raw Data'!N263)</x:f>
        <x:v>Debit Card</x:v>
      </x:c>
      <x:c r="S263" s="8" t="str">
        <x:v>Returned</x:v>
      </x:c>
      <x:c r="T263" s="8" t="str">
        <x:f>TEXT(B263,"mmm yyyy")</x:f>
        <x:v>Jul 2025</x:v>
      </x:c>
      <x:c r="U263" s="8" t="n">
        <x:f>YEAR(B263)</x:f>
        <x:v>2025</x:v>
      </x:c>
    </x:row>
    <x:row r="264">
      <x:c r="A264" s="8" t="str">
        <x:v>ORD-0260</x:v>
      </x:c>
      <x:c r="B264" s="22" t="n">
        <x:v>45788.283013252316</x:v>
      </x:c>
      <x:c r="C264" s="8" t="str">
        <x:v>CUS-004</x:v>
      </x:c>
      <x:c r="D264" s="8" t="str">
        <x:f>IFERROR(INDEX('Lookup Tables'!$B$5:$B$84,MATCH(C264,'Lookup Tables'!$A$5:$A$84,0)),"Unknown Customer")</x:f>
        <x:v>Ananya Gupta</x:v>
      </x:c>
      <x:c r="E264" s="8" t="str">
        <x:f>IFERROR(INDEX('Lookup Tables'!$C$5:$C$84,MATCH(C264,'Lookup Tables'!$A$5:$A$84,0)),"Unknown")</x:f>
        <x:v>Consumer</x:v>
      </x:c>
      <x:c r="F264" s="8" t="str">
        <x:v>Hyderabad</x:v>
      </x:c>
      <x:c r="G264" s="8" t="str">
        <x:f>IFERROR(INDEX('Lookup Tables'!$N$5:$N$14,MATCH(F264,'Lookup Tables'!$M$5:$M$14,0)),"Unknown")</x:f>
        <x:v>South</x:v>
      </x:c>
      <x:c r="H264" s="8" t="str">
        <x:v>PRD-010</x:v>
      </x:c>
      <x:c r="I264" s="8" t="str">
        <x:f>IFERROR(INDEX('Lookup Tables'!$G$5:$G$16,MATCH(H264,'Lookup Tables'!$F$5:$F$16,0)),"Unknown Product")</x:f>
        <x:v>Travel Backpack</x:v>
      </x:c>
      <x:c r="J264" s="8" t="str">
        <x:f>IFERROR(INDEX('Lookup Tables'!$H$5:$H$16,MATCH(H264,'Lookup Tables'!$F$5:$F$16,0)),"Unknown")</x:f>
        <x:v>Fashion</x:v>
      </x:c>
      <x:c r="K264" s="8" t="n">
        <x:v>3</x:v>
      </x:c>
      <x:c r="L264" s="9" t="n">
        <x:f>IFERROR(INDEX('Lookup Tables'!$I$5:$I$16,MATCH(H264,'Lookup Tables'!$F$5:$F$16,0)),0)</x:f>
        <x:v>2199</x:v>
      </x:c>
      <x:c r="M264" s="23" t="n">
        <x:f>IF('Raw Data'!M264="",0,'Raw Data'!M264)</x:f>
        <x:v>0</x:v>
      </x:c>
      <x:c r="N264" s="9" t="n">
        <x:f>IF(S264="Completed",K264*L264*(1-M264),0)</x:f>
        <x:v>6597</x:v>
      </x:c>
      <x:c r="O264" s="9" t="n">
        <x:f>IFERROR(INDEX('Lookup Tables'!$J$5:$J$16,MATCH(H264,'Lookup Tables'!$F$5:$F$16,0)),0)</x:f>
        <x:v>1380</x:v>
      </x:c>
      <x:c r="P264" s="9" t="n">
        <x:f>IF(S264="Completed",K264*O264,0)</x:f>
        <x:v>4140</x:v>
      </x:c>
      <x:c r="Q264" s="9" t="n">
        <x:f>N264-P264</x:f>
        <x:v>2457</x:v>
      </x:c>
      <x:c r="R264" s="8" t="str">
        <x:f>IF(LOWER('Raw Data'!N264)="upi","UPI",'Raw Data'!N264)</x:f>
        <x:v>Credit Card</x:v>
      </x:c>
      <x:c r="S264" s="8" t="str">
        <x:v>Completed</x:v>
      </x:c>
      <x:c r="T264" s="8" t="str">
        <x:f>TEXT(B264,"mmm yyyy")</x:f>
        <x:v>May 2025</x:v>
      </x:c>
      <x:c r="U264" s="8" t="n">
        <x:f>YEAR(B264)</x:f>
        <x:v>2025</x:v>
      </x:c>
    </x:row>
    <x:row r="265">
      <x:c r="A265" s="8" t="str">
        <x:v>ORD-0261</x:v>
      </x:c>
      <x:c r="B265" s="22" t="n">
        <x:v>45800.84081165509</x:v>
      </x:c>
      <x:c r="C265" s="8" t="str">
        <x:v>CUS-012</x:v>
      </x:c>
      <x:c r="D265" s="8" t="str">
        <x:f>IFERROR(INDEX('Lookup Tables'!$B$5:$B$84,MATCH(C265,'Lookup Tables'!$A$5:$A$84,0)),"Unknown Customer")</x:f>
        <x:v>Priya Kapoor</x:v>
      </x:c>
      <x:c r="E265" s="8" t="str">
        <x:f>IFERROR(INDEX('Lookup Tables'!$C$5:$C$84,MATCH(C265,'Lookup Tables'!$A$5:$A$84,0)),"Unknown")</x:f>
        <x:v>Small Business</x:v>
      </x:c>
      <x:c r="F265" s="8" t="str">
        <x:v>Lucknow</x:v>
      </x:c>
      <x:c r="G265" s="8" t="str">
        <x:f>IFERROR(INDEX('Lookup Tables'!$N$5:$N$14,MATCH(F265,'Lookup Tables'!$M$5:$M$14,0)),"Unknown")</x:f>
        <x:v>North</x:v>
      </x:c>
      <x:c r="H265" s="8" t="str">
        <x:v>PRD-008</x:v>
      </x:c>
      <x:c r="I265" s="8" t="str">
        <x:f>IFERROR(INDEX('Lookup Tables'!$G$5:$G$16,MATCH(H265,'Lookup Tables'!$F$5:$F$16,0)),"Unknown Product")</x:f>
        <x:v>Storage Container Set</x:v>
      </x:c>
      <x:c r="J265" s="8" t="str">
        <x:f>IFERROR(INDEX('Lookup Tables'!$H$5:$H$16,MATCH(H265,'Lookup Tables'!$F$5:$F$16,0)),"Unknown")</x:f>
        <x:v>Home &amp; Kitchen</x:v>
      </x:c>
      <x:c r="K265" s="8" t="n">
        <x:v>4</x:v>
      </x:c>
      <x:c r="L265" s="9" t="n">
        <x:f>IFERROR(INDEX('Lookup Tables'!$I$5:$I$16,MATCH(H265,'Lookup Tables'!$F$5:$F$16,0)),0)</x:f>
        <x:v>999</x:v>
      </x:c>
      <x:c r="M265" s="23" t="n">
        <x:f>IF('Raw Data'!M265="",0,'Raw Data'!M265)</x:f>
        <x:v>0.05</x:v>
      </x:c>
      <x:c r="N265" s="9" t="n">
        <x:f>IF(S265="Completed",K265*L265*(1-M265),0)</x:f>
        <x:v>3796.2</x:v>
      </x:c>
      <x:c r="O265" s="9" t="n">
        <x:f>IFERROR(INDEX('Lookup Tables'!$J$5:$J$16,MATCH(H265,'Lookup Tables'!$F$5:$F$16,0)),0)</x:f>
        <x:v>580</x:v>
      </x:c>
      <x:c r="P265" s="9" t="n">
        <x:f>IF(S265="Completed",K265*O265,0)</x:f>
        <x:v>2320</x:v>
      </x:c>
      <x:c r="Q265" s="9" t="n">
        <x:f>N265-P265</x:f>
        <x:v>1476.1999999999998</x:v>
      </x:c>
      <x:c r="R265" s="8" t="str">
        <x:f>IF(LOWER('Raw Data'!N265)="upi","UPI",'Raw Data'!N265)</x:f>
        <x:v>UPI</x:v>
      </x:c>
      <x:c r="S265" s="8" t="str">
        <x:v>Completed</x:v>
      </x:c>
      <x:c r="T265" s="8" t="str">
        <x:f>TEXT(B265,"mmm yyyy")</x:f>
        <x:v>May 2025</x:v>
      </x:c>
      <x:c r="U265" s="8" t="n">
        <x:f>YEAR(B265)</x:f>
        <x:v>2025</x:v>
      </x:c>
    </x:row>
    <x:row r="266">
      <x:c r="A266" s="8" t="str">
        <x:v>ORD-0262</x:v>
      </x:c>
      <x:c r="B266" s="22" t="n">
        <x:v>45950.606480358794</x:v>
      </x:c>
      <x:c r="C266" s="8" t="str">
        <x:v>CUS-041</x:v>
      </x:c>
      <x:c r="D266" s="8" t="str">
        <x:f>IFERROR(INDEX('Lookup Tables'!$B$5:$B$84,MATCH(C266,'Lookup Tables'!$A$5:$A$84,0)),"Unknown Customer")</x:f>
        <x:v>Aarav Sharma 3</x:v>
      </x:c>
      <x:c r="E266" s="8" t="str">
        <x:f>IFERROR(INDEX('Lookup Tables'!$C$5:$C$84,MATCH(C266,'Lookup Tables'!$A$5:$A$84,0)),"Unknown")</x:f>
        <x:v>Corporate</x:v>
      </x:c>
      <x:c r="F266" s="8" t="str">
        <x:v>Jaipur</x:v>
      </x:c>
      <x:c r="G266" s="8" t="str">
        <x:f>IFERROR(INDEX('Lookup Tables'!$N$5:$N$14,MATCH(F266,'Lookup Tables'!$M$5:$M$14,0)),"Unknown")</x:f>
        <x:v>North</x:v>
      </x:c>
      <x:c r="H266" s="8" t="str">
        <x:v>PRD-010</x:v>
      </x:c>
      <x:c r="I266" s="8" t="str">
        <x:f>IFERROR(INDEX('Lookup Tables'!$G$5:$G$16,MATCH(H266,'Lookup Tables'!$F$5:$F$16,0)),"Unknown Product")</x:f>
        <x:v>Travel Backpack</x:v>
      </x:c>
      <x:c r="J266" s="8" t="str">
        <x:f>IFERROR(INDEX('Lookup Tables'!$H$5:$H$16,MATCH(H266,'Lookup Tables'!$F$5:$F$16,0)),"Unknown")</x:f>
        <x:v>Fashion</x:v>
      </x:c>
      <x:c r="K266" s="8" t="n">
        <x:v>3</x:v>
      </x:c>
      <x:c r="L266" s="9" t="n">
        <x:f>IFERROR(INDEX('Lookup Tables'!$I$5:$I$16,MATCH(H266,'Lookup Tables'!$F$5:$F$16,0)),0)</x:f>
        <x:v>2199</x:v>
      </x:c>
      <x:c r="M266" s="23" t="n">
        <x:f>IF('Raw Data'!M266="",0,'Raw Data'!M266)</x:f>
        <x:v>0.15</x:v>
      </x:c>
      <x:c r="N266" s="9" t="n">
        <x:f>IF(S266="Completed",K266*L266*(1-M266),0)</x:f>
        <x:v>5607.45</x:v>
      </x:c>
      <x:c r="O266" s="9" t="n">
        <x:f>IFERROR(INDEX('Lookup Tables'!$J$5:$J$16,MATCH(H266,'Lookup Tables'!$F$5:$F$16,0)),0)</x:f>
        <x:v>1380</x:v>
      </x:c>
      <x:c r="P266" s="9" t="n">
        <x:f>IF(S266="Completed",K266*O266,0)</x:f>
        <x:v>4140</x:v>
      </x:c>
      <x:c r="Q266" s="9" t="n">
        <x:f>N266-P266</x:f>
        <x:v>1467.4499999999998</x:v>
      </x:c>
      <x:c r="R266" s="8" t="str">
        <x:f>IF(LOWER('Raw Data'!N266)="upi","UPI",'Raw Data'!N266)</x:f>
        <x:v>Net Banking</x:v>
      </x:c>
      <x:c r="S266" s="8" t="str">
        <x:v>Completed</x:v>
      </x:c>
      <x:c r="T266" s="8" t="str">
        <x:f>TEXT(B266,"mmm yyyy")</x:f>
        <x:v>Oct 2025</x:v>
      </x:c>
      <x:c r="U266" s="8" t="n">
        <x:f>YEAR(B266)</x:f>
        <x:v>2025</x:v>
      </x:c>
    </x:row>
    <x:row r="267">
      <x:c r="A267" s="8" t="str">
        <x:v>ORD-0263</x:v>
      </x:c>
      <x:c r="B267" s="22" t="n">
        <x:v>46009.71641271991</x:v>
      </x:c>
      <x:c r="C267" s="8" t="str">
        <x:v>CUS-018</x:v>
      </x:c>
      <x:c r="D267" s="8" t="str">
        <x:f>IFERROR(INDEX('Lookup Tables'!$B$5:$B$84,MATCH(C267,'Lookup Tables'!$A$5:$A$84,0)),"Unknown Customer")</x:f>
        <x:v>Nisha Bansal</x:v>
      </x:c>
      <x:c r="E267" s="8" t="str">
        <x:f>IFERROR(INDEX('Lookup Tables'!$C$5:$C$84,MATCH(C267,'Lookup Tables'!$A$5:$A$84,0)),"Unknown")</x:f>
        <x:v>Small Business</x:v>
      </x:c>
      <x:c r="F267" s="8" t="str">
        <x:v>Bengaluru</x:v>
      </x:c>
      <x:c r="G267" s="8" t="str">
        <x:f>IFERROR(INDEX('Lookup Tables'!$N$5:$N$14,MATCH(F267,'Lookup Tables'!$M$5:$M$14,0)),"Unknown")</x:f>
        <x:v>South</x:v>
      </x:c>
      <x:c r="H267" s="8" t="str">
        <x:v>PRD-009</x:v>
      </x:c>
      <x:c r="I267" s="8" t="str">
        <x:f>IFERROR(INDEX('Lookup Tables'!$G$5:$G$16,MATCH(H267,'Lookup Tables'!$F$5:$F$16,0)),"Unknown Product")</x:f>
        <x:v>Table Lamp</x:v>
      </x:c>
      <x:c r="J267" s="8" t="str">
        <x:f>IFERROR(INDEX('Lookup Tables'!$H$5:$H$16,MATCH(H267,'Lookup Tables'!$F$5:$F$16,0)),"Unknown")</x:f>
        <x:v>Home &amp; Kitchen</x:v>
      </x:c>
      <x:c r="K267" s="8" t="n">
        <x:v>4</x:v>
      </x:c>
      <x:c r="L267" s="9" t="n">
        <x:f>IFERROR(INDEX('Lookup Tables'!$I$5:$I$16,MATCH(H267,'Lookup Tables'!$F$5:$F$16,0)),0)</x:f>
        <x:v>1499</x:v>
      </x:c>
      <x:c r="M267" s="23" t="n">
        <x:f>IF('Raw Data'!M267="",0,'Raw Data'!M267)</x:f>
        <x:v>0</x:v>
      </x:c>
      <x:c r="N267" s="9" t="n">
        <x:f>IF(S267="Completed",K267*L267*(1-M267),0)</x:f>
        <x:v>5996</x:v>
      </x:c>
      <x:c r="O267" s="9" t="n">
        <x:f>IFERROR(INDEX('Lookup Tables'!$J$5:$J$16,MATCH(H267,'Lookup Tables'!$F$5:$F$16,0)),0)</x:f>
        <x:v>920</x:v>
      </x:c>
      <x:c r="P267" s="9" t="n">
        <x:f>IF(S267="Completed",K267*O267,0)</x:f>
        <x:v>3680</x:v>
      </x:c>
      <x:c r="Q267" s="9" t="n">
        <x:f>N267-P267</x:f>
        <x:v>2316</x:v>
      </x:c>
      <x:c r="R267" s="8" t="str">
        <x:f>IF(LOWER('Raw Data'!N267)="upi","UPI",'Raw Data'!N267)</x:f>
        <x:v>Debit Card</x:v>
      </x:c>
      <x:c r="S267" s="8" t="str">
        <x:v>Completed</x:v>
      </x:c>
      <x:c r="T267" s="8" t="str">
        <x:f>TEXT(B267,"mmm yyyy")</x:f>
        <x:v>Dec 2025</x:v>
      </x:c>
      <x:c r="U267" s="8" t="n">
        <x:f>YEAR(B267)</x:f>
        <x:v>2025</x:v>
      </x:c>
    </x:row>
    <x:row r="268">
      <x:c r="A268" s="8" t="str">
        <x:v>ORD-0264</x:v>
      </x:c>
      <x:c r="B268" s="22" t="n">
        <x:v>45770.95692287037</x:v>
      </x:c>
      <x:c r="C268" s="8" t="str">
        <x:v>CUS-059</x:v>
      </x:c>
      <x:c r="D268" s="8" t="str">
        <x:f>IFERROR(INDEX('Lookup Tables'!$B$5:$B$84,MATCH(C268,'Lookup Tables'!$A$5:$A$84,0)),"Unknown Customer")</x:f>
        <x:v>Siddharth Jain 3</x:v>
      </x:c>
      <x:c r="E268" s="8" t="str">
        <x:f>IFERROR(INDEX('Lookup Tables'!$C$5:$C$84,MATCH(C268,'Lookup Tables'!$A$5:$A$84,0)),"Unknown")</x:f>
        <x:v>Corporate</x:v>
      </x:c>
      <x:c r="F268" s="8" t="str">
        <x:v>Lucknow</x:v>
      </x:c>
      <x:c r="G268" s="8" t="str">
        <x:f>IFERROR(INDEX('Lookup Tables'!$N$5:$N$14,MATCH(F268,'Lookup Tables'!$M$5:$M$14,0)),"Unknown")</x:f>
        <x:v>North</x:v>
      </x:c>
      <x:c r="H268" s="8" t="str">
        <x:v>PRD-011</x:v>
      </x:c>
      <x:c r="I268" s="8" t="str">
        <x:f>IFERROR(INDEX('Lookup Tables'!$G$5:$G$16,MATCH(H268,'Lookup Tables'!$F$5:$F$16,0)),"Unknown Product")</x:f>
        <x:v>Classic Wallet</x:v>
      </x:c>
      <x:c r="J268" s="8" t="str">
        <x:f>IFERROR(INDEX('Lookup Tables'!$H$5:$H$16,MATCH(H268,'Lookup Tables'!$F$5:$F$16,0)),"Unknown")</x:f>
        <x:v>Fashion</x:v>
      </x:c>
      <x:c r="K268" s="8" t="n">
        <x:v>5</x:v>
      </x:c>
      <x:c r="L268" s="9" t="n">
        <x:f>IFERROR(INDEX('Lookup Tables'!$I$5:$I$16,MATCH(H268,'Lookup Tables'!$F$5:$F$16,0)),0)</x:f>
        <x:v>1199</x:v>
      </x:c>
      <x:c r="M268" s="23" t="n">
        <x:f>IF('Raw Data'!M268="",0,'Raw Data'!M268)</x:f>
        <x:v>0.05</x:v>
      </x:c>
      <x:c r="N268" s="9" t="n">
        <x:f>IF(S268="Completed",K268*L268*(1-M268),0)</x:f>
        <x:v>5695.25</x:v>
      </x:c>
      <x:c r="O268" s="9" t="n">
        <x:f>IFERROR(INDEX('Lookup Tables'!$J$5:$J$16,MATCH(H268,'Lookup Tables'!$F$5:$F$16,0)),0)</x:f>
        <x:v>690</x:v>
      </x:c>
      <x:c r="P268" s="9" t="n">
        <x:f>IF(S268="Completed",K268*O268,0)</x:f>
        <x:v>3450</x:v>
      </x:c>
      <x:c r="Q268" s="9" t="n">
        <x:f>N268-P268</x:f>
        <x:v>2245.25</x:v>
      </x:c>
      <x:c r="R268" s="8" t="str">
        <x:f>IF(LOWER('Raw Data'!N268)="upi","UPI",'Raw Data'!N268)</x:f>
        <x:v>Debit Card</x:v>
      </x:c>
      <x:c r="S268" s="8" t="str">
        <x:v>Completed</x:v>
      </x:c>
      <x:c r="T268" s="8" t="str">
        <x:f>TEXT(B268,"mmm yyyy")</x:f>
        <x:v>Apr 2025</x:v>
      </x:c>
      <x:c r="U268" s="8" t="n">
        <x:f>YEAR(B268)</x:f>
        <x:v>2025</x:v>
      </x:c>
    </x:row>
    <x:row r="269">
      <x:c r="A269" s="8" t="str">
        <x:v>ORD-0265</x:v>
      </x:c>
      <x:c r="B269" s="22" t="n">
        <x:v>45710.88782329861</x:v>
      </x:c>
      <x:c r="C269" s="8" t="str">
        <x:v>CUS-073</x:v>
      </x:c>
      <x:c r="D269" s="8" t="str">
        <x:f>IFERROR(INDEX('Lookup Tables'!$B$5:$B$84,MATCH(C269,'Lookup Tables'!$A$5:$A$84,0)),"Unknown Customer")</x:f>
        <x:v>Rahul Mishra 4</x:v>
      </x:c>
      <x:c r="E269" s="8" t="str">
        <x:f>IFERROR(INDEX('Lookup Tables'!$C$5:$C$84,MATCH(C269,'Lookup Tables'!$A$5:$A$84,0)),"Unknown")</x:f>
        <x:v>Consumer</x:v>
      </x:c>
      <x:c r="F269" s="8" t="str">
        <x:v>Mumbai</x:v>
      </x:c>
      <x:c r="G269" s="8" t="str">
        <x:f>IFERROR(INDEX('Lookup Tables'!$N$5:$N$14,MATCH(F269,'Lookup Tables'!$M$5:$M$14,0)),"Unknown")</x:f>
        <x:v>West</x:v>
      </x:c>
      <x:c r="H269" s="8" t="str">
        <x:v>PRD-006</x:v>
      </x:c>
      <x:c r="I269" s="8" t="str">
        <x:f>IFERROR(INDEX('Lookup Tables'!$G$5:$G$16,MATCH(H269,'Lookup Tables'!$F$5:$F$16,0)),"Unknown Product")</x:f>
        <x:v>Desk Organiser</x:v>
      </x:c>
      <x:c r="J269" s="8" t="str">
        <x:f>IFERROR(INDEX('Lookup Tables'!$H$5:$H$16,MATCH(H269,'Lookup Tables'!$F$5:$F$16,0)),"Unknown")</x:f>
        <x:v>Office Supplies</x:v>
      </x:c>
      <x:c r="K269" s="8" t="n">
        <x:v>2</x:v>
      </x:c>
      <x:c r="L269" s="9" t="n">
        <x:f>IFERROR(INDEX('Lookup Tables'!$I$5:$I$16,MATCH(H269,'Lookup Tables'!$F$5:$F$16,0)),0)</x:f>
        <x:v>699</x:v>
      </x:c>
      <x:c r="M269" s="23" t="n">
        <x:f>IF('Raw Data'!M269="",0,'Raw Data'!M269)</x:f>
        <x:v>0</x:v>
      </x:c>
      <x:c r="N269" s="9" t="n">
        <x:f>IF(S269="Completed",K269*L269*(1-M269),0)</x:f>
        <x:v>1398</x:v>
      </x:c>
      <x:c r="O269" s="9" t="n">
        <x:f>IFERROR(INDEX('Lookup Tables'!$J$5:$J$16,MATCH(H269,'Lookup Tables'!$F$5:$F$16,0)),0)</x:f>
        <x:v>390</x:v>
      </x:c>
      <x:c r="P269" s="9" t="n">
        <x:f>IF(S269="Completed",K269*O269,0)</x:f>
        <x:v>780</x:v>
      </x:c>
      <x:c r="Q269" s="9" t="n">
        <x:f>N269-P269</x:f>
        <x:v>618</x:v>
      </x:c>
      <x:c r="R269" s="8" t="str">
        <x:f>IF(LOWER('Raw Data'!N269)="upi","UPI",'Raw Data'!N269)</x:f>
        <x:v>Credit Card</x:v>
      </x:c>
      <x:c r="S269" s="8" t="str">
        <x:v>Completed</x:v>
      </x:c>
      <x:c r="T269" s="8" t="str">
        <x:f>TEXT(B269,"mmm yyyy")</x:f>
        <x:v>Feb 2025</x:v>
      </x:c>
      <x:c r="U269" s="8" t="n">
        <x:f>YEAR(B269)</x:f>
        <x:v>2025</x:v>
      </x:c>
    </x:row>
    <x:row r="270">
      <x:c r="A270" s="8" t="str">
        <x:v>ORD-0266</x:v>
      </x:c>
      <x:c r="B270" s="22" t="n">
        <x:v>45741.35193012731</x:v>
      </x:c>
      <x:c r="C270" s="8" t="str">
        <x:v>CUS-016</x:v>
      </x:c>
      <x:c r="D270" s="8" t="str">
        <x:f>IFERROR(INDEX('Lookup Tables'!$B$5:$B$84,MATCH(C270,'Lookup Tables'!$A$5:$A$84,0)),"Unknown Customer")</x:f>
        <x:v>Pooja Saxena</x:v>
      </x:c>
      <x:c r="E270" s="8" t="str">
        <x:f>IFERROR(INDEX('Lookup Tables'!$C$5:$C$84,MATCH(C270,'Lookup Tables'!$A$5:$A$84,0)),"Unknown")</x:f>
        <x:v>Consumer</x:v>
      </x:c>
      <x:c r="F270" s="8" t="str">
        <x:v>Ahmedabad</x:v>
      </x:c>
      <x:c r="G270" s="8" t="str">
        <x:f>IFERROR(INDEX('Lookup Tables'!$N$5:$N$14,MATCH(F270,'Lookup Tables'!$M$5:$M$14,0)),"Unknown")</x:f>
        <x:v>West</x:v>
      </x:c>
      <x:c r="H270" s="8" t="str">
        <x:v>PRD-003</x:v>
      </x:c>
      <x:c r="I270" s="8" t="str">
        <x:f>IFERROR(INDEX('Lookup Tables'!$G$5:$G$16,MATCH(H270,'Lookup Tables'!$F$5:$F$16,0)),"Unknown Product")</x:f>
        <x:v>USB-C Hub</x:v>
      </x:c>
      <x:c r="J270" s="8" t="str">
        <x:f>IFERROR(INDEX('Lookup Tables'!$H$5:$H$16,MATCH(H270,'Lookup Tables'!$F$5:$F$16,0)),"Unknown")</x:f>
        <x:v>Electronics</x:v>
      </x:c>
      <x:c r="K270" s="8" t="n">
        <x:v>4</x:v>
      </x:c>
      <x:c r="L270" s="9" t="n">
        <x:f>IFERROR(INDEX('Lookup Tables'!$I$5:$I$16,MATCH(H270,'Lookup Tables'!$F$5:$F$16,0)),0)</x:f>
        <x:v>1899</x:v>
      </x:c>
      <x:c r="M270" s="23" t="n">
        <x:f>IF('Raw Data'!M270="",0,'Raw Data'!M270)</x:f>
        <x:v>0.2</x:v>
      </x:c>
      <x:c r="N270" s="9" t="n">
        <x:f>IF(S270="Completed",K270*L270*(1-M270),0)</x:f>
        <x:v>6076.8</x:v>
      </x:c>
      <x:c r="O270" s="9" t="n">
        <x:f>IFERROR(INDEX('Lookup Tables'!$J$5:$J$16,MATCH(H270,'Lookup Tables'!$F$5:$F$16,0)),0)</x:f>
        <x:v>1180</x:v>
      </x:c>
      <x:c r="P270" s="9" t="n">
        <x:f>IF(S270="Completed",K270*O270,0)</x:f>
        <x:v>4720</x:v>
      </x:c>
      <x:c r="Q270" s="9" t="n">
        <x:f>N270-P270</x:f>
        <x:v>1356.8000000000002</x:v>
      </x:c>
      <x:c r="R270" s="8" t="str">
        <x:f>IF(LOWER('Raw Data'!N270)="upi","UPI",'Raw Data'!N270)</x:f>
        <x:v>Credit Card</x:v>
      </x:c>
      <x:c r="S270" s="8" t="str">
        <x:v>Completed</x:v>
      </x:c>
      <x:c r="T270" s="8" t="str">
        <x:f>TEXT(B270,"mmm yyyy")</x:f>
        <x:v>Mar 2025</x:v>
      </x:c>
      <x:c r="U270" s="8" t="n">
        <x:f>YEAR(B270)</x:f>
        <x:v>2025</x:v>
      </x:c>
    </x:row>
    <x:row r="271">
      <x:c r="A271" s="8" t="str">
        <x:v>ORD-0267</x:v>
      </x:c>
      <x:c r="B271" s="22" t="n">
        <x:v>45688.38986729167</x:v>
      </x:c>
      <x:c r="C271" s="8" t="str">
        <x:v>CUS-073</x:v>
      </x:c>
      <x:c r="D271" s="8" t="str">
        <x:f>IFERROR(INDEX('Lookup Tables'!$B$5:$B$84,MATCH(C271,'Lookup Tables'!$A$5:$A$84,0)),"Unknown Customer")</x:f>
        <x:v>Rahul Mishra 4</x:v>
      </x:c>
      <x:c r="E271" s="8" t="str">
        <x:f>IFERROR(INDEX('Lookup Tables'!$C$5:$C$84,MATCH(C271,'Lookup Tables'!$A$5:$A$84,0)),"Unknown")</x:f>
        <x:v>Consumer</x:v>
      </x:c>
      <x:c r="F271" s="8" t="str">
        <x:v>Jaipur</x:v>
      </x:c>
      <x:c r="G271" s="8" t="str">
        <x:f>IFERROR(INDEX('Lookup Tables'!$N$5:$N$14,MATCH(F271,'Lookup Tables'!$M$5:$M$14,0)),"Unknown")</x:f>
        <x:v>North</x:v>
      </x:c>
      <x:c r="H271" s="8" t="str">
        <x:v>PRD-007</x:v>
      </x:c>
      <x:c r="I271" s="8" t="str">
        <x:f>IFERROR(INDEX('Lookup Tables'!$G$5:$G$16,MATCH(H271,'Lookup Tables'!$F$5:$F$16,0)),"Unknown Product")</x:f>
        <x:v>Electric Kettle</x:v>
      </x:c>
      <x:c r="J271" s="8" t="str">
        <x:f>IFERROR(INDEX('Lookup Tables'!$H$5:$H$16,MATCH(H271,'Lookup Tables'!$F$5:$F$16,0)),"Unknown")</x:f>
        <x:v>Home &amp; Kitchen</x:v>
      </x:c>
      <x:c r="K271" s="8" t="n">
        <x:v>4</x:v>
      </x:c>
      <x:c r="L271" s="9" t="n">
        <x:f>IFERROR(INDEX('Lookup Tables'!$I$5:$I$16,MATCH(H271,'Lookup Tables'!$F$5:$F$16,0)),0)</x:f>
        <x:v>1699</x:v>
      </x:c>
      <x:c r="M271" s="23" t="n">
        <x:f>IF('Raw Data'!M271="",0,'Raw Data'!M271)</x:f>
        <x:v>0.2</x:v>
      </x:c>
      <x:c r="N271" s="9" t="n">
        <x:f>IF(S271="Completed",K271*L271*(1-M271),0)</x:f>
        <x:v>0</x:v>
      </x:c>
      <x:c r="O271" s="9" t="n">
        <x:f>IFERROR(INDEX('Lookup Tables'!$J$5:$J$16,MATCH(H271,'Lookup Tables'!$F$5:$F$16,0)),0)</x:f>
        <x:v>1040</x:v>
      </x:c>
      <x:c r="P271" s="9" t="n">
        <x:f>IF(S271="Completed",K271*O271,0)</x:f>
        <x:v>0</x:v>
      </x:c>
      <x:c r="Q271" s="9" t="n">
        <x:f>N271-P271</x:f>
        <x:v>0</x:v>
      </x:c>
      <x:c r="R271" s="8" t="str">
        <x:f>IF(LOWER('Raw Data'!N271)="upi","UPI",'Raw Data'!N271)</x:f>
        <x:v>UPI</x:v>
      </x:c>
      <x:c r="S271" s="8" t="str">
        <x:v>Returned</x:v>
      </x:c>
      <x:c r="T271" s="8" t="str">
        <x:f>TEXT(B271,"mmm yyyy")</x:f>
        <x:v>Jan 2025</x:v>
      </x:c>
      <x:c r="U271" s="8" t="n">
        <x:f>YEAR(B271)</x:f>
        <x:v>2025</x:v>
      </x:c>
    </x:row>
    <x:row r="272">
      <x:c r="A272" s="8" t="str">
        <x:v>ORD-0268</x:v>
      </x:c>
      <x:c r="B272" s="22" t="n">
        <x:v>45782.03639729167</x:v>
      </x:c>
      <x:c r="C272" s="8" t="str">
        <x:v>CUS-075</x:v>
      </x:c>
      <x:c r="D272" s="8" t="str">
        <x:f>IFERROR(INDEX('Lookup Tables'!$B$5:$B$84,MATCH(C272,'Lookup Tables'!$A$5:$A$84,0)),"Unknown Customer")</x:f>
        <x:v>Karan Malhotra 4</x:v>
      </x:c>
      <x:c r="E272" s="8" t="str">
        <x:f>IFERROR(INDEX('Lookup Tables'!$C$5:$C$84,MATCH(C272,'Lookup Tables'!$A$5:$A$84,0)),"Unknown")</x:f>
        <x:v>Small Business</x:v>
      </x:c>
      <x:c r="F272" s="8" t="str">
        <x:v>Hyderabad</x:v>
      </x:c>
      <x:c r="G272" s="8" t="str">
        <x:f>IFERROR(INDEX('Lookup Tables'!$N$5:$N$14,MATCH(F272,'Lookup Tables'!$M$5:$M$14,0)),"Unknown")</x:f>
        <x:v>South</x:v>
      </x:c>
      <x:c r="H272" s="8" t="str">
        <x:v>PRD-010</x:v>
      </x:c>
      <x:c r="I272" s="8" t="str">
        <x:f>IFERROR(INDEX('Lookup Tables'!$G$5:$G$16,MATCH(H272,'Lookup Tables'!$F$5:$F$16,0)),"Unknown Product")</x:f>
        <x:v>Travel Backpack</x:v>
      </x:c>
      <x:c r="J272" s="8" t="str">
        <x:f>IFERROR(INDEX('Lookup Tables'!$H$5:$H$16,MATCH(H272,'Lookup Tables'!$F$5:$F$16,0)),"Unknown")</x:f>
        <x:v>Fashion</x:v>
      </x:c>
      <x:c r="K272" s="8" t="n">
        <x:v>5</x:v>
      </x:c>
      <x:c r="L272" s="9" t="n">
        <x:f>IFERROR(INDEX('Lookup Tables'!$I$5:$I$16,MATCH(H272,'Lookup Tables'!$F$5:$F$16,0)),0)</x:f>
        <x:v>2199</x:v>
      </x:c>
      <x:c r="M272" s="23" t="n">
        <x:f>IF('Raw Data'!M272="",0,'Raw Data'!M272)</x:f>
        <x:v>0.1</x:v>
      </x:c>
      <x:c r="N272" s="9" t="n">
        <x:f>IF(S272="Completed",K272*L272*(1-M272),0)</x:f>
        <x:v>0</x:v>
      </x:c>
      <x:c r="O272" s="9" t="n">
        <x:f>IFERROR(INDEX('Lookup Tables'!$J$5:$J$16,MATCH(H272,'Lookup Tables'!$F$5:$F$16,0)),0)</x:f>
        <x:v>1380</x:v>
      </x:c>
      <x:c r="P272" s="9" t="n">
        <x:f>IF(S272="Completed",K272*O272,0)</x:f>
        <x:v>0</x:v>
      </x:c>
      <x:c r="Q272" s="9" t="n">
        <x:f>N272-P272</x:f>
        <x:v>0</x:v>
      </x:c>
      <x:c r="R272" s="8" t="str">
        <x:f>IF(LOWER('Raw Data'!N272)="upi","UPI",'Raw Data'!N272)</x:f>
        <x:v>UPI</x:v>
      </x:c>
      <x:c r="S272" s="8" t="str">
        <x:v>Returned</x:v>
      </x:c>
      <x:c r="T272" s="8" t="str">
        <x:f>TEXT(B272,"mmm yyyy")</x:f>
        <x:v>May 2025</x:v>
      </x:c>
      <x:c r="U272" s="8" t="n">
        <x:f>YEAR(B272)</x:f>
        <x:v>2025</x:v>
      </x:c>
    </x:row>
    <x:row r="273">
      <x:c r="A273" s="8" t="str">
        <x:v>ORD-0269</x:v>
      </x:c>
      <x:c r="B273" s="22" t="n">
        <x:v>45906.70786686343</x:v>
      </x:c>
      <x:c r="C273" s="8" t="str">
        <x:v>CUS-031</x:v>
      </x:c>
      <x:c r="D273" s="8" t="str">
        <x:f>IFERROR(INDEX('Lookup Tables'!$B$5:$B$84,MATCH(C273,'Lookup Tables'!$A$5:$A$84,0)),"Unknown Customer")</x:f>
        <x:v>Aditya Joshi 2</x:v>
      </x:c>
      <x:c r="E273" s="8" t="str">
        <x:f>IFERROR(INDEX('Lookup Tables'!$C$5:$C$84,MATCH(C273,'Lookup Tables'!$A$5:$A$84,0)),"Unknown")</x:f>
        <x:v>Consumer</x:v>
      </x:c>
      <x:c r="F273" s="8" t="str">
        <x:v>Ahmedabad</x:v>
      </x:c>
      <x:c r="G273" s="8" t="str">
        <x:f>IFERROR(INDEX('Lookup Tables'!$N$5:$N$14,MATCH(F273,'Lookup Tables'!$M$5:$M$14,0)),"Unknown")</x:f>
        <x:v>West</x:v>
      </x:c>
      <x:c r="H273" s="8" t="str">
        <x:v>PRD-008</x:v>
      </x:c>
      <x:c r="I273" s="8" t="str">
        <x:f>IFERROR(INDEX('Lookup Tables'!$G$5:$G$16,MATCH(H273,'Lookup Tables'!$F$5:$F$16,0)),"Unknown Product")</x:f>
        <x:v>Storage Container Set</x:v>
      </x:c>
      <x:c r="J273" s="8" t="str">
        <x:f>IFERROR(INDEX('Lookup Tables'!$H$5:$H$16,MATCH(H273,'Lookup Tables'!$F$5:$F$16,0)),"Unknown")</x:f>
        <x:v>Home &amp; Kitchen</x:v>
      </x:c>
      <x:c r="K273" s="8" t="n">
        <x:v>5</x:v>
      </x:c>
      <x:c r="L273" s="9" t="n">
        <x:f>IFERROR(INDEX('Lookup Tables'!$I$5:$I$16,MATCH(H273,'Lookup Tables'!$F$5:$F$16,0)),0)</x:f>
        <x:v>999</x:v>
      </x:c>
      <x:c r="M273" s="23" t="n">
        <x:f>IF('Raw Data'!M273="",0,'Raw Data'!M273)</x:f>
        <x:v>0</x:v>
      </x:c>
      <x:c r="N273" s="9" t="n">
        <x:f>IF(S273="Completed",K273*L273*(1-M273),0)</x:f>
        <x:v>4995</x:v>
      </x:c>
      <x:c r="O273" s="9" t="n">
        <x:f>IFERROR(INDEX('Lookup Tables'!$J$5:$J$16,MATCH(H273,'Lookup Tables'!$F$5:$F$16,0)),0)</x:f>
        <x:v>580</x:v>
      </x:c>
      <x:c r="P273" s="9" t="n">
        <x:f>IF(S273="Completed",K273*O273,0)</x:f>
        <x:v>2900</x:v>
      </x:c>
      <x:c r="Q273" s="9" t="n">
        <x:f>N273-P273</x:f>
        <x:v>2095</x:v>
      </x:c>
      <x:c r="R273" s="8" t="str">
        <x:f>IF(LOWER('Raw Data'!N273)="upi","UPI",'Raw Data'!N273)</x:f>
        <x:v>UPI</x:v>
      </x:c>
      <x:c r="S273" s="8" t="str">
        <x:v>Completed</x:v>
      </x:c>
      <x:c r="T273" s="8" t="str">
        <x:f>TEXT(B273,"mmm yyyy")</x:f>
        <x:v>Sep 2025</x:v>
      </x:c>
      <x:c r="U273" s="8" t="n">
        <x:f>YEAR(B273)</x:f>
        <x:v>2025</x:v>
      </x:c>
    </x:row>
    <x:row r="274">
      <x:c r="A274" s="8" t="str">
        <x:v>ORD-0270</x:v>
      </x:c>
      <x:c r="B274" s="22" t="n">
        <x:v>45807.05469119213</x:v>
      </x:c>
      <x:c r="C274" s="8" t="str">
        <x:v>CUS-050</x:v>
      </x:c>
      <x:c r="D274" s="8" t="str">
        <x:f>IFERROR(INDEX('Lookup Tables'!$B$5:$B$84,MATCH(C274,'Lookup Tables'!$A$5:$A$84,0)),"Unknown Customer")</x:f>
        <x:v>Saanvi Iyer 3</x:v>
      </x:c>
      <x:c r="E274" s="8" t="str">
        <x:f>IFERROR(INDEX('Lookup Tables'!$C$5:$C$84,MATCH(C274,'Lookup Tables'!$A$5:$A$84,0)),"Unknown")</x:f>
        <x:v>Corporate</x:v>
      </x:c>
      <x:c r="F274" s="8" t="str">
        <x:v>Pune</x:v>
      </x:c>
      <x:c r="G274" s="8" t="str">
        <x:f>IFERROR(INDEX('Lookup Tables'!$N$5:$N$14,MATCH(F274,'Lookup Tables'!$M$5:$M$14,0)),"Unknown")</x:f>
        <x:v>West</x:v>
      </x:c>
      <x:c r="H274" s="8" t="str">
        <x:v>PRD-002</x:v>
      </x:c>
      <x:c r="I274" s="8" t="str">
        <x:f>IFERROR(INDEX('Lookup Tables'!$G$5:$G$16,MATCH(H274,'Lookup Tables'!$F$5:$F$16,0)),"Unknown Product")</x:f>
        <x:v>Bluetooth Headphones</x:v>
      </x:c>
      <x:c r="J274" s="8" t="str">
        <x:f>IFERROR(INDEX('Lookup Tables'!$H$5:$H$16,MATCH(H274,'Lookup Tables'!$F$5:$F$16,0)),"Unknown")</x:f>
        <x:v>Electronics</x:v>
      </x:c>
      <x:c r="K274" s="8" t="n">
        <x:v>2</x:v>
      </x:c>
      <x:c r="L274" s="9" t="n">
        <x:f>IFERROR(INDEX('Lookup Tables'!$I$5:$I$16,MATCH(H274,'Lookup Tables'!$F$5:$F$16,0)),0)</x:f>
        <x:v>2499</x:v>
      </x:c>
      <x:c r="M274" s="23" t="n">
        <x:f>IF('Raw Data'!M274="",0,'Raw Data'!M274)</x:f>
        <x:v>0.15</x:v>
      </x:c>
      <x:c r="N274" s="9" t="n">
        <x:f>IF(S274="Completed",K274*L274*(1-M274),0)</x:f>
        <x:v>4248.3</x:v>
      </x:c>
      <x:c r="O274" s="9" t="n">
        <x:f>IFERROR(INDEX('Lookup Tables'!$J$5:$J$16,MATCH(H274,'Lookup Tables'!$F$5:$F$16,0)),0)</x:f>
        <x:v>1620</x:v>
      </x:c>
      <x:c r="P274" s="9" t="n">
        <x:f>IF(S274="Completed",K274*O274,0)</x:f>
        <x:v>3240</x:v>
      </x:c>
      <x:c r="Q274" s="9" t="n">
        <x:f>N274-P274</x:f>
        <x:v>1008.3000000000002</x:v>
      </x:c>
      <x:c r="R274" s="8" t="str">
        <x:f>IF(LOWER('Raw Data'!N274)="upi","UPI",'Raw Data'!N274)</x:f>
        <x:v>Cash on Delivery</x:v>
      </x:c>
      <x:c r="S274" s="8" t="str">
        <x:v>Completed</x:v>
      </x:c>
      <x:c r="T274" s="8" t="str">
        <x:f>TEXT(B274,"mmm yyyy")</x:f>
        <x:v>May 2025</x:v>
      </x:c>
      <x:c r="U274" s="8" t="n">
        <x:f>YEAR(B274)</x:f>
        <x:v>2025</x:v>
      </x:c>
    </x:row>
    <x:row r="275">
      <x:c r="A275" s="8" t="str">
        <x:v>ORD-0271</x:v>
      </x:c>
      <x:c r="B275" s="22" t="n">
        <x:v>45908.424808449075</x:v>
      </x:c>
      <x:c r="C275" s="8" t="str">
        <x:v>CUS-042</x:v>
      </x:c>
      <x:c r="D275" s="8" t="str">
        <x:f>IFERROR(INDEX('Lookup Tables'!$B$5:$B$84,MATCH(C275,'Lookup Tables'!$A$5:$A$84,0)),"Unknown Customer")</x:f>
        <x:v>Diya Patel 3</x:v>
      </x:c>
      <x:c r="E275" s="8" t="str">
        <x:f>IFERROR(INDEX('Lookup Tables'!$C$5:$C$84,MATCH(C275,'Lookup Tables'!$A$5:$A$84,0)),"Unknown")</x:f>
        <x:v>Small Business</x:v>
      </x:c>
      <x:c r="F275" s="8" t="str">
        <x:v>Kolkata</x:v>
      </x:c>
      <x:c r="G275" s="8" t="str">
        <x:f>IFERROR(INDEX('Lookup Tables'!$N$5:$N$14,MATCH(F275,'Lookup Tables'!$M$5:$M$14,0)),"Unknown")</x:f>
        <x:v>East</x:v>
      </x:c>
      <x:c r="H275" s="8" t="str">
        <x:v>PRD-001</x:v>
      </x:c>
      <x:c r="I275" s="8" t="str">
        <x:f>IFERROR(INDEX('Lookup Tables'!$G$5:$G$16,MATCH(H275,'Lookup Tables'!$F$5:$F$16,0)),"Unknown Product")</x:f>
        <x:v>Wireless Mouse</x:v>
      </x:c>
      <x:c r="J275" s="8" t="str">
        <x:f>IFERROR(INDEX('Lookup Tables'!$H$5:$H$16,MATCH(H275,'Lookup Tables'!$F$5:$F$16,0)),"Unknown")</x:f>
        <x:v>Electronics</x:v>
      </x:c>
      <x:c r="K275" s="8" t="n">
        <x:v>4</x:v>
      </x:c>
      <x:c r="L275" s="9" t="n">
        <x:f>IFERROR(INDEX('Lookup Tables'!$I$5:$I$16,MATCH(H275,'Lookup Tables'!$F$5:$F$16,0)),0)</x:f>
        <x:v>899</x:v>
      </x:c>
      <x:c r="M275" s="23" t="n">
        <x:f>IF('Raw Data'!M275="",0,'Raw Data'!M275)</x:f>
        <x:v>0.2</x:v>
      </x:c>
      <x:c r="N275" s="9" t="n">
        <x:f>IF(S275="Completed",K275*L275*(1-M275),0)</x:f>
        <x:v>2876.8</x:v>
      </x:c>
      <x:c r="O275" s="9" t="n">
        <x:f>IFERROR(INDEX('Lookup Tables'!$J$5:$J$16,MATCH(H275,'Lookup Tables'!$F$5:$F$16,0)),0)</x:f>
        <x:v>540</x:v>
      </x:c>
      <x:c r="P275" s="9" t="n">
        <x:f>IF(S275="Completed",K275*O275,0)</x:f>
        <x:v>2160</x:v>
      </x:c>
      <x:c r="Q275" s="9" t="n">
        <x:f>N275-P275</x:f>
        <x:v>716.8000000000002</x:v>
      </x:c>
      <x:c r="R275" s="8" t="str">
        <x:f>IF(LOWER('Raw Data'!N275)="upi","UPI",'Raw Data'!N275)</x:f>
        <x:v>Cash on Delivery</x:v>
      </x:c>
      <x:c r="S275" s="8" t="str">
        <x:v>Completed</x:v>
      </x:c>
      <x:c r="T275" s="8" t="str">
        <x:f>TEXT(B275,"mmm yyyy")</x:f>
        <x:v>Sep 2025</x:v>
      </x:c>
      <x:c r="U275" s="8" t="n">
        <x:f>YEAR(B275)</x:f>
        <x:v>2025</x:v>
      </x:c>
    </x:row>
    <x:row r="276">
      <x:c r="A276" s="8" t="str">
        <x:v>ORD-0272</x:v>
      </x:c>
      <x:c r="B276" s="22" t="n">
        <x:v>45846.807781111114</x:v>
      </x:c>
      <x:c r="C276" s="8" t="str">
        <x:v>CUS-003</x:v>
      </x:c>
      <x:c r="D276" s="8" t="str">
        <x:f>IFERROR(INDEX('Lookup Tables'!$B$5:$B$84,MATCH(C276,'Lookup Tables'!$A$5:$A$84,0)),"Unknown Customer")</x:f>
        <x:v>Vihaan Singh</x:v>
      </x:c>
      <x:c r="E276" s="8" t="str">
        <x:f>IFERROR(INDEX('Lookup Tables'!$C$5:$C$84,MATCH(C276,'Lookup Tables'!$A$5:$A$84,0)),"Unknown")</x:f>
        <x:v>Small Business</x:v>
      </x:c>
      <x:c r="F276" s="8" t="str">
        <x:v>Lucknow</x:v>
      </x:c>
      <x:c r="G276" s="8" t="str">
        <x:f>IFERROR(INDEX('Lookup Tables'!$N$5:$N$14,MATCH(F276,'Lookup Tables'!$M$5:$M$14,0)),"Unknown")</x:f>
        <x:v>North</x:v>
      </x:c>
      <x:c r="H276" s="8" t="str">
        <x:v>PRD-003</x:v>
      </x:c>
      <x:c r="I276" s="8" t="str">
        <x:f>IFERROR(INDEX('Lookup Tables'!$G$5:$G$16,MATCH(H276,'Lookup Tables'!$F$5:$F$16,0)),"Unknown Product")</x:f>
        <x:v>USB-C Hub</x:v>
      </x:c>
      <x:c r="J276" s="8" t="str">
        <x:f>IFERROR(INDEX('Lookup Tables'!$H$5:$H$16,MATCH(H276,'Lookup Tables'!$F$5:$F$16,0)),"Unknown")</x:f>
        <x:v>Electronics</x:v>
      </x:c>
      <x:c r="K276" s="8" t="n">
        <x:v>2</x:v>
      </x:c>
      <x:c r="L276" s="9" t="n">
        <x:f>IFERROR(INDEX('Lookup Tables'!$I$5:$I$16,MATCH(H276,'Lookup Tables'!$F$5:$F$16,0)),0)</x:f>
        <x:v>1899</x:v>
      </x:c>
      <x:c r="M276" s="23" t="n">
        <x:f>IF('Raw Data'!M276="",0,'Raw Data'!M276)</x:f>
        <x:v>0.15</x:v>
      </x:c>
      <x:c r="N276" s="9" t="n">
        <x:f>IF(S276="Completed",K276*L276*(1-M276),0)</x:f>
        <x:v>0</x:v>
      </x:c>
      <x:c r="O276" s="9" t="n">
        <x:f>IFERROR(INDEX('Lookup Tables'!$J$5:$J$16,MATCH(H276,'Lookup Tables'!$F$5:$F$16,0)),0)</x:f>
        <x:v>1180</x:v>
      </x:c>
      <x:c r="P276" s="9" t="n">
        <x:f>IF(S276="Completed",K276*O276,0)</x:f>
        <x:v>0</x:v>
      </x:c>
      <x:c r="Q276" s="9" t="n">
        <x:f>N276-P276</x:f>
        <x:v>0</x:v>
      </x:c>
      <x:c r="R276" s="8" t="str">
        <x:f>IF(LOWER('Raw Data'!N276)="upi","UPI",'Raw Data'!N276)</x:f>
        <x:v>Net Banking</x:v>
      </x:c>
      <x:c r="S276" s="8" t="str">
        <x:v>Returned</x:v>
      </x:c>
      <x:c r="T276" s="8" t="str">
        <x:f>TEXT(B276,"mmm yyyy")</x:f>
        <x:v>Jul 2025</x:v>
      </x:c>
      <x:c r="U276" s="8" t="n">
        <x:f>YEAR(B276)</x:f>
        <x:v>2025</x:v>
      </x:c>
    </x:row>
    <x:row r="277">
      <x:c r="A277" s="8" t="str">
        <x:v>ORD-0273</x:v>
      </x:c>
      <x:c r="B277" s="22" t="n">
        <x:v>45878.442270844906</x:v>
      </x:c>
      <x:c r="C277" s="8" t="str">
        <x:v>CUS-022</x:v>
      </x:c>
      <x:c r="D277" s="8" t="str">
        <x:f>IFERROR(INDEX('Lookup Tables'!$B$5:$B$84,MATCH(C277,'Lookup Tables'!$A$5:$A$84,0)),"Unknown Customer")</x:f>
        <x:v>Diya Patel 2</x:v>
      </x:c>
      <x:c r="E277" s="8" t="str">
        <x:f>IFERROR(INDEX('Lookup Tables'!$C$5:$C$84,MATCH(C277,'Lookup Tables'!$A$5:$A$84,0)),"Unknown")</x:f>
        <x:v>Consumer</x:v>
      </x:c>
      <x:c r="F277" s="8" t="str">
        <x:v>Hyderabad</x:v>
      </x:c>
      <x:c r="G277" s="8" t="str">
        <x:f>IFERROR(INDEX('Lookup Tables'!$N$5:$N$14,MATCH(F277,'Lookup Tables'!$M$5:$M$14,0)),"Unknown")</x:f>
        <x:v>South</x:v>
      </x:c>
      <x:c r="H277" s="8" t="str">
        <x:v>PRD-001</x:v>
      </x:c>
      <x:c r="I277" s="8" t="str">
        <x:f>IFERROR(INDEX('Lookup Tables'!$G$5:$G$16,MATCH(H277,'Lookup Tables'!$F$5:$F$16,0)),"Unknown Product")</x:f>
        <x:v>Wireless Mouse</x:v>
      </x:c>
      <x:c r="J277" s="8" t="str">
        <x:f>IFERROR(INDEX('Lookup Tables'!$H$5:$H$16,MATCH(H277,'Lookup Tables'!$F$5:$F$16,0)),"Unknown")</x:f>
        <x:v>Electronics</x:v>
      </x:c>
      <x:c r="K277" s="8" t="n">
        <x:v>1</x:v>
      </x:c>
      <x:c r="L277" s="9" t="n">
        <x:f>IFERROR(INDEX('Lookup Tables'!$I$5:$I$16,MATCH(H277,'Lookup Tables'!$F$5:$F$16,0)),0)</x:f>
        <x:v>899</x:v>
      </x:c>
      <x:c r="M277" s="23" t="n">
        <x:f>IF('Raw Data'!M277="",0,'Raw Data'!M277)</x:f>
        <x:v>0.05</x:v>
      </x:c>
      <x:c r="N277" s="9" t="n">
        <x:f>IF(S277="Completed",K277*L277*(1-M277),0)</x:f>
        <x:v>854.05</x:v>
      </x:c>
      <x:c r="O277" s="9" t="n">
        <x:f>IFERROR(INDEX('Lookup Tables'!$J$5:$J$16,MATCH(H277,'Lookup Tables'!$F$5:$F$16,0)),0)</x:f>
        <x:v>540</x:v>
      </x:c>
      <x:c r="P277" s="9" t="n">
        <x:f>IF(S277="Completed",K277*O277,0)</x:f>
        <x:v>540</x:v>
      </x:c>
      <x:c r="Q277" s="9" t="n">
        <x:f>N277-P277</x:f>
        <x:v>314.04999999999995</x:v>
      </x:c>
      <x:c r="R277" s="8" t="str">
        <x:f>IF(LOWER('Raw Data'!N277)="upi","UPI",'Raw Data'!N277)</x:f>
        <x:v>Credit Card</x:v>
      </x:c>
      <x:c r="S277" s="8" t="str">
        <x:v>Completed</x:v>
      </x:c>
      <x:c r="T277" s="8" t="str">
        <x:f>TEXT(B277,"mmm yyyy")</x:f>
        <x:v>Aug 2025</x:v>
      </x:c>
      <x:c r="U277" s="8" t="n">
        <x:f>YEAR(B277)</x:f>
        <x:v>2025</x:v>
      </x:c>
    </x:row>
    <x:row r="278">
      <x:c r="A278" s="8" t="str">
        <x:v>ORD-0274</x:v>
      </x:c>
      <x:c r="B278" s="22" t="n">
        <x:v>45941.702804849534</x:v>
      </x:c>
      <x:c r="C278" s="8" t="str">
        <x:v>CUS-033</x:v>
      </x:c>
      <x:c r="D278" s="8" t="str">
        <x:f>IFERROR(INDEX('Lookup Tables'!$B$5:$B$84,MATCH(C278,'Lookup Tables'!$A$5:$A$84,0)),"Unknown Customer")</x:f>
        <x:v>Rahul Mishra 2</x:v>
      </x:c>
      <x:c r="E278" s="8" t="str">
        <x:f>IFERROR(INDEX('Lookup Tables'!$C$5:$C$84,MATCH(C278,'Lookup Tables'!$A$5:$A$84,0)),"Unknown")</x:f>
        <x:v>Small Business</x:v>
      </x:c>
      <x:c r="F278" s="8" t="str">
        <x:v>Hyderabad</x:v>
      </x:c>
      <x:c r="G278" s="8" t="str">
        <x:f>IFERROR(INDEX('Lookup Tables'!$N$5:$N$14,MATCH(F278,'Lookup Tables'!$M$5:$M$14,0)),"Unknown")</x:f>
        <x:v>South</x:v>
      </x:c>
      <x:c r="H278" s="8" t="str">
        <x:v>PRD-009</x:v>
      </x:c>
      <x:c r="I278" s="8" t="str">
        <x:f>IFERROR(INDEX('Lookup Tables'!$G$5:$G$16,MATCH(H278,'Lookup Tables'!$F$5:$F$16,0)),"Unknown Product")</x:f>
        <x:v>Table Lamp</x:v>
      </x:c>
      <x:c r="J278" s="8" t="str">
        <x:f>IFERROR(INDEX('Lookup Tables'!$H$5:$H$16,MATCH(H278,'Lookup Tables'!$F$5:$F$16,0)),"Unknown")</x:f>
        <x:v>Home &amp; Kitchen</x:v>
      </x:c>
      <x:c r="K278" s="8" t="n">
        <x:v>5</x:v>
      </x:c>
      <x:c r="L278" s="9" t="n">
        <x:f>IFERROR(INDEX('Lookup Tables'!$I$5:$I$16,MATCH(H278,'Lookup Tables'!$F$5:$F$16,0)),0)</x:f>
        <x:v>1499</x:v>
      </x:c>
      <x:c r="M278" s="23" t="n">
        <x:f>IF('Raw Data'!M278="",0,'Raw Data'!M278)</x:f>
        <x:v>0.1</x:v>
      </x:c>
      <x:c r="N278" s="9" t="n">
        <x:f>IF(S278="Completed",K278*L278*(1-M278),0)</x:f>
        <x:v>6745.5</x:v>
      </x:c>
      <x:c r="O278" s="9" t="n">
        <x:f>IFERROR(INDEX('Lookup Tables'!$J$5:$J$16,MATCH(H278,'Lookup Tables'!$F$5:$F$16,0)),0)</x:f>
        <x:v>920</x:v>
      </x:c>
      <x:c r="P278" s="9" t="n">
        <x:f>IF(S278="Completed",K278*O278,0)</x:f>
        <x:v>4600</x:v>
      </x:c>
      <x:c r="Q278" s="9" t="n">
        <x:f>N278-P278</x:f>
        <x:v>2145.5</x:v>
      </x:c>
      <x:c r="R278" s="8" t="str">
        <x:f>IF(LOWER('Raw Data'!N278)="upi","UPI",'Raw Data'!N278)</x:f>
        <x:v>UPI</x:v>
      </x:c>
      <x:c r="S278" s="8" t="str">
        <x:v>Completed</x:v>
      </x:c>
      <x:c r="T278" s="8" t="str">
        <x:f>TEXT(B278,"mmm yyyy")</x:f>
        <x:v>Oct 2025</x:v>
      </x:c>
      <x:c r="U278" s="8" t="n">
        <x:f>YEAR(B278)</x:f>
        <x:v>2025</x:v>
      </x:c>
    </x:row>
    <x:row r="279">
      <x:c r="A279" s="8" t="str">
        <x:v>ORD-0275</x:v>
      </x:c>
      <x:c r="B279" s="22" t="n">
        <x:v>45766.86528679398</x:v>
      </x:c>
      <x:c r="C279" s="8" t="str">
        <x:v>CUS-026</x:v>
      </x:c>
      <x:c r="D279" s="8" t="str">
        <x:f>IFERROR(INDEX('Lookup Tables'!$B$5:$B$84,MATCH(C279,'Lookup Tables'!$A$5:$A$84,0)),"Unknown Customer")</x:f>
        <x:v>Isha Mehta 2</x:v>
      </x:c>
      <x:c r="E279" s="8" t="str">
        <x:f>IFERROR(INDEX('Lookup Tables'!$C$5:$C$84,MATCH(C279,'Lookup Tables'!$A$5:$A$84,0)),"Unknown")</x:f>
        <x:v>Corporate</x:v>
      </x:c>
      <x:c r="F279" s="8" t="str">
        <x:v>Pune</x:v>
      </x:c>
      <x:c r="G279" s="8" t="str">
        <x:f>IFERROR(INDEX('Lookup Tables'!$N$5:$N$14,MATCH(F279,'Lookup Tables'!$M$5:$M$14,0)),"Unknown")</x:f>
        <x:v>West</x:v>
      </x:c>
      <x:c r="H279" s="8" t="str">
        <x:v>PRD-003</x:v>
      </x:c>
      <x:c r="I279" s="8" t="str">
        <x:f>IFERROR(INDEX('Lookup Tables'!$G$5:$G$16,MATCH(H279,'Lookup Tables'!$F$5:$F$16,0)),"Unknown Product")</x:f>
        <x:v>USB-C Hub</x:v>
      </x:c>
      <x:c r="J279" s="8" t="str">
        <x:f>IFERROR(INDEX('Lookup Tables'!$H$5:$H$16,MATCH(H279,'Lookup Tables'!$F$5:$F$16,0)),"Unknown")</x:f>
        <x:v>Electronics</x:v>
      </x:c>
      <x:c r="K279" s="8" t="n">
        <x:v>2</x:v>
      </x:c>
      <x:c r="L279" s="9" t="n">
        <x:f>IFERROR(INDEX('Lookup Tables'!$I$5:$I$16,MATCH(H279,'Lookup Tables'!$F$5:$F$16,0)),0)</x:f>
        <x:v>1899</x:v>
      </x:c>
      <x:c r="M279" s="23" t="n">
        <x:f>IF('Raw Data'!M279="",0,'Raw Data'!M279)</x:f>
        <x:v>0.15</x:v>
      </x:c>
      <x:c r="N279" s="9" t="n">
        <x:f>IF(S279="Completed",K279*L279*(1-M279),0)</x:f>
        <x:v>3228.2999999999997</x:v>
      </x:c>
      <x:c r="O279" s="9" t="n">
        <x:f>IFERROR(INDEX('Lookup Tables'!$J$5:$J$16,MATCH(H279,'Lookup Tables'!$F$5:$F$16,0)),0)</x:f>
        <x:v>1180</x:v>
      </x:c>
      <x:c r="P279" s="9" t="n">
        <x:f>IF(S279="Completed",K279*O279,0)</x:f>
        <x:v>2360</x:v>
      </x:c>
      <x:c r="Q279" s="9" t="n">
        <x:f>N279-P279</x:f>
        <x:v>868.2999999999997</x:v>
      </x:c>
      <x:c r="R279" s="8" t="str">
        <x:f>IF(LOWER('Raw Data'!N279)="upi","UPI",'Raw Data'!N279)</x:f>
        <x:v>Debit Card</x:v>
      </x:c>
      <x:c r="S279" s="8" t="str">
        <x:v>Completed</x:v>
      </x:c>
      <x:c r="T279" s="8" t="str">
        <x:f>TEXT(B279,"mmm yyyy")</x:f>
        <x:v>Apr 2025</x:v>
      </x:c>
      <x:c r="U279" s="8" t="n">
        <x:f>YEAR(B279)</x:f>
        <x:v>2025</x:v>
      </x:c>
    </x:row>
    <x:row r="280">
      <x:c r="A280" s="8" t="str">
        <x:v>ORD-0276</x:v>
      </x:c>
      <x:c r="B280" s="22" t="n">
        <x:v>45964.9432428588</x:v>
      </x:c>
      <x:c r="C280" s="8" t="str">
        <x:v>CUS-064</x:v>
      </x:c>
      <x:c r="D280" s="8" t="str">
        <x:f>IFERROR(INDEX('Lookup Tables'!$B$5:$B$84,MATCH(C280,'Lookup Tables'!$A$5:$A$84,0)),"Unknown Customer")</x:f>
        <x:v>Ananya Gupta 4</x:v>
      </x:c>
      <x:c r="E280" s="8" t="str">
        <x:f>IFERROR(INDEX('Lookup Tables'!$C$5:$C$84,MATCH(C280,'Lookup Tables'!$A$5:$A$84,0)),"Unknown")</x:f>
        <x:v>Consumer</x:v>
      </x:c>
      <x:c r="F280" s="8" t="str">
        <x:v>Lucknow</x:v>
      </x:c>
      <x:c r="G280" s="8" t="str">
        <x:f>IFERROR(INDEX('Lookup Tables'!$N$5:$N$14,MATCH(F280,'Lookup Tables'!$M$5:$M$14,0)),"Unknown")</x:f>
        <x:v>North</x:v>
      </x:c>
      <x:c r="H280" s="8" t="str">
        <x:v>PRD-006</x:v>
      </x:c>
      <x:c r="I280" s="8" t="str">
        <x:f>IFERROR(INDEX('Lookup Tables'!$G$5:$G$16,MATCH(H280,'Lookup Tables'!$F$5:$F$16,0)),"Unknown Product")</x:f>
        <x:v>Desk Organiser</x:v>
      </x:c>
      <x:c r="J280" s="8" t="str">
        <x:f>IFERROR(INDEX('Lookup Tables'!$H$5:$H$16,MATCH(H280,'Lookup Tables'!$F$5:$F$16,0)),"Unknown")</x:f>
        <x:v>Office Supplies</x:v>
      </x:c>
      <x:c r="K280" s="8" t="n">
        <x:v>3</x:v>
      </x:c>
      <x:c r="L280" s="9" t="n">
        <x:f>IFERROR(INDEX('Lookup Tables'!$I$5:$I$16,MATCH(H280,'Lookup Tables'!$F$5:$F$16,0)),0)</x:f>
        <x:v>699</x:v>
      </x:c>
      <x:c r="M280" s="23" t="n">
        <x:f>IF('Raw Data'!M280="",0,'Raw Data'!M280)</x:f>
        <x:v>0.1</x:v>
      </x:c>
      <x:c r="N280" s="9" t="n">
        <x:f>IF(S280="Completed",K280*L280*(1-M280),0)</x:f>
        <x:v>1887.3</x:v>
      </x:c>
      <x:c r="O280" s="9" t="n">
        <x:f>IFERROR(INDEX('Lookup Tables'!$J$5:$J$16,MATCH(H280,'Lookup Tables'!$F$5:$F$16,0)),0)</x:f>
        <x:v>390</x:v>
      </x:c>
      <x:c r="P280" s="9" t="n">
        <x:f>IF(S280="Completed",K280*O280,0)</x:f>
        <x:v>1170</x:v>
      </x:c>
      <x:c r="Q280" s="9" t="n">
        <x:f>N280-P280</x:f>
        <x:v>717.3</x:v>
      </x:c>
      <x:c r="R280" s="8" t="str">
        <x:f>IF(LOWER('Raw Data'!N280)="upi","UPI",'Raw Data'!N280)</x:f>
        <x:v>UPI</x:v>
      </x:c>
      <x:c r="S280" s="8" t="str">
        <x:v>Completed</x:v>
      </x:c>
      <x:c r="T280" s="8" t="str">
        <x:f>TEXT(B280,"mmm yyyy")</x:f>
        <x:v>Nov 2025</x:v>
      </x:c>
      <x:c r="U280" s="8" t="n">
        <x:f>YEAR(B280)</x:f>
        <x:v>2025</x:v>
      </x:c>
    </x:row>
    <x:row r="281">
      <x:c r="A281" s="8" t="str">
        <x:v>ORD-0277</x:v>
      </x:c>
      <x:c r="B281" s="22" t="n">
        <x:v>45668.37865025463</x:v>
      </x:c>
      <x:c r="C281" s="8" t="str">
        <x:v>CUS-051</x:v>
      </x:c>
      <x:c r="D281" s="8" t="str">
        <x:f>IFERROR(INDEX('Lookup Tables'!$B$5:$B$84,MATCH(C281,'Lookup Tables'!$A$5:$A$84,0)),"Unknown Customer")</x:f>
        <x:v>Aditya Joshi 3</x:v>
      </x:c>
      <x:c r="E281" s="8" t="str">
        <x:f>IFERROR(INDEX('Lookup Tables'!$C$5:$C$84,MATCH(C281,'Lookup Tables'!$A$5:$A$84,0)),"Unknown")</x:f>
        <x:v>Small Business</x:v>
      </x:c>
      <x:c r="F281" s="8" t="str">
        <x:v>Jaipur</x:v>
      </x:c>
      <x:c r="G281" s="8" t="str">
        <x:f>IFERROR(INDEX('Lookup Tables'!$N$5:$N$14,MATCH(F281,'Lookup Tables'!$M$5:$M$14,0)),"Unknown")</x:f>
        <x:v>North</x:v>
      </x:c>
      <x:c r="H281" s="8" t="str">
        <x:v>PRD-011</x:v>
      </x:c>
      <x:c r="I281" s="8" t="str">
        <x:f>IFERROR(INDEX('Lookup Tables'!$G$5:$G$16,MATCH(H281,'Lookup Tables'!$F$5:$F$16,0)),"Unknown Product")</x:f>
        <x:v>Classic Wallet</x:v>
      </x:c>
      <x:c r="J281" s="8" t="str">
        <x:f>IFERROR(INDEX('Lookup Tables'!$H$5:$H$16,MATCH(H281,'Lookup Tables'!$F$5:$F$16,0)),"Unknown")</x:f>
        <x:v>Fashion</x:v>
      </x:c>
      <x:c r="K281" s="8" t="n">
        <x:v>3</x:v>
      </x:c>
      <x:c r="L281" s="9" t="n">
        <x:f>IFERROR(INDEX('Lookup Tables'!$I$5:$I$16,MATCH(H281,'Lookup Tables'!$F$5:$F$16,0)),0)</x:f>
        <x:v>1199</x:v>
      </x:c>
      <x:c r="M281" s="23" t="n">
        <x:f>IF('Raw Data'!M281="",0,'Raw Data'!M281)</x:f>
        <x:v>0</x:v>
      </x:c>
      <x:c r="N281" s="9" t="n">
        <x:f>IF(S281="Completed",K281*L281*(1-M281),0)</x:f>
        <x:v>3597</x:v>
      </x:c>
      <x:c r="O281" s="9" t="n">
        <x:f>IFERROR(INDEX('Lookup Tables'!$J$5:$J$16,MATCH(H281,'Lookup Tables'!$F$5:$F$16,0)),0)</x:f>
        <x:v>690</x:v>
      </x:c>
      <x:c r="P281" s="9" t="n">
        <x:f>IF(S281="Completed",K281*O281,0)</x:f>
        <x:v>2070</x:v>
      </x:c>
      <x:c r="Q281" s="9" t="n">
        <x:f>N281-P281</x:f>
        <x:v>1527</x:v>
      </x:c>
      <x:c r="R281" s="8" t="str">
        <x:f>IF(LOWER('Raw Data'!N281)="upi","UPI",'Raw Data'!N281)</x:f>
        <x:v>UPI</x:v>
      </x:c>
      <x:c r="S281" s="8" t="str">
        <x:v>Completed</x:v>
      </x:c>
      <x:c r="T281" s="8" t="str">
        <x:f>TEXT(B281,"mmm yyyy")</x:f>
        <x:v>Jan 2025</x:v>
      </x:c>
      <x:c r="U281" s="8" t="n">
        <x:f>YEAR(B281)</x:f>
        <x:v>2025</x:v>
      </x:c>
    </x:row>
    <x:row r="282">
      <x:c r="A282" s="8" t="str">
        <x:v>ORD-0278</x:v>
      </x:c>
      <x:c r="B282" s="22" t="n">
        <x:v>45695.758626944444</x:v>
      </x:c>
      <x:c r="C282" s="8" t="str">
        <x:v>CUS-041</x:v>
      </x:c>
      <x:c r="D282" s="8" t="str">
        <x:f>IFERROR(INDEX('Lookup Tables'!$B$5:$B$84,MATCH(C282,'Lookup Tables'!$A$5:$A$84,0)),"Unknown Customer")</x:f>
        <x:v>Aarav Sharma 3</x:v>
      </x:c>
      <x:c r="E282" s="8" t="str">
        <x:f>IFERROR(INDEX('Lookup Tables'!$C$5:$C$84,MATCH(C282,'Lookup Tables'!$A$5:$A$84,0)),"Unknown")</x:f>
        <x:v>Corporate</x:v>
      </x:c>
      <x:c r="F282" s="8" t="str">
        <x:v>Delhi</x:v>
      </x:c>
      <x:c r="G282" s="8" t="str">
        <x:f>IFERROR(INDEX('Lookup Tables'!$N$5:$N$14,MATCH(F282,'Lookup Tables'!$M$5:$M$14,0)),"Unknown")</x:f>
        <x:v>North</x:v>
      </x:c>
      <x:c r="H282" s="8" t="str">
        <x:v>PRD-010</x:v>
      </x:c>
      <x:c r="I282" s="8" t="str">
        <x:f>IFERROR(INDEX('Lookup Tables'!$G$5:$G$16,MATCH(H282,'Lookup Tables'!$F$5:$F$16,0)),"Unknown Product")</x:f>
        <x:v>Travel Backpack</x:v>
      </x:c>
      <x:c r="J282" s="8" t="str">
        <x:f>IFERROR(INDEX('Lookup Tables'!$H$5:$H$16,MATCH(H282,'Lookup Tables'!$F$5:$F$16,0)),"Unknown")</x:f>
        <x:v>Fashion</x:v>
      </x:c>
      <x:c r="K282" s="8" t="n">
        <x:v>4</x:v>
      </x:c>
      <x:c r="L282" s="9" t="n">
        <x:f>IFERROR(INDEX('Lookup Tables'!$I$5:$I$16,MATCH(H282,'Lookup Tables'!$F$5:$F$16,0)),0)</x:f>
        <x:v>2199</x:v>
      </x:c>
      <x:c r="M282" s="23" t="n">
        <x:f>IF('Raw Data'!M282="",0,'Raw Data'!M282)</x:f>
        <x:v>0</x:v>
      </x:c>
      <x:c r="N282" s="9" t="n">
        <x:f>IF(S282="Completed",K282*L282*(1-M282),0)</x:f>
        <x:v>8796</x:v>
      </x:c>
      <x:c r="O282" s="9" t="n">
        <x:f>IFERROR(INDEX('Lookup Tables'!$J$5:$J$16,MATCH(H282,'Lookup Tables'!$F$5:$F$16,0)),0)</x:f>
        <x:v>1380</x:v>
      </x:c>
      <x:c r="P282" s="9" t="n">
        <x:f>IF(S282="Completed",K282*O282,0)</x:f>
        <x:v>5520</x:v>
      </x:c>
      <x:c r="Q282" s="9" t="n">
        <x:f>N282-P282</x:f>
        <x:v>3276</x:v>
      </x:c>
      <x:c r="R282" s="8" t="str">
        <x:f>IF(LOWER('Raw Data'!N282)="upi","UPI",'Raw Data'!N282)</x:f>
        <x:v>UPI</x:v>
      </x:c>
      <x:c r="S282" s="8" t="str">
        <x:v>Completed</x:v>
      </x:c>
      <x:c r="T282" s="8" t="str">
        <x:f>TEXT(B282,"mmm yyyy")</x:f>
        <x:v>Feb 2025</x:v>
      </x:c>
      <x:c r="U282" s="8" t="n">
        <x:f>YEAR(B282)</x:f>
        <x:v>2025</x:v>
      </x:c>
    </x:row>
    <x:row r="283">
      <x:c r="A283" s="8" t="str">
        <x:v>ORD-0279</x:v>
      </x:c>
      <x:c r="B283" s="22" t="n">
        <x:v>45693.62450190972</x:v>
      </x:c>
      <x:c r="C283" s="8" t="str">
        <x:v>CUS-010</x:v>
      </x:c>
      <x:c r="D283" s="8" t="str">
        <x:f>IFERROR(INDEX('Lookup Tables'!$B$5:$B$84,MATCH(C283,'Lookup Tables'!$A$5:$A$84,0)),"Unknown Customer")</x:f>
        <x:v>Saanvi Iyer</x:v>
      </x:c>
      <x:c r="E283" s="8" t="str">
        <x:f>IFERROR(INDEX('Lookup Tables'!$C$5:$C$84,MATCH(C283,'Lookup Tables'!$A$5:$A$84,0)),"Unknown")</x:f>
        <x:v>Consumer</x:v>
      </x:c>
      <x:c r="F283" s="8" t="str">
        <x:v>Jaipur</x:v>
      </x:c>
      <x:c r="G283" s="8" t="str">
        <x:f>IFERROR(INDEX('Lookup Tables'!$N$5:$N$14,MATCH(F283,'Lookup Tables'!$M$5:$M$14,0)),"Unknown")</x:f>
        <x:v>North</x:v>
      </x:c>
      <x:c r="H283" s="8" t="str">
        <x:v>PRD-011</x:v>
      </x:c>
      <x:c r="I283" s="8" t="str">
        <x:f>IFERROR(INDEX('Lookup Tables'!$G$5:$G$16,MATCH(H283,'Lookup Tables'!$F$5:$F$16,0)),"Unknown Product")</x:f>
        <x:v>Classic Wallet</x:v>
      </x:c>
      <x:c r="J283" s="8" t="str">
        <x:f>IFERROR(INDEX('Lookup Tables'!$H$5:$H$16,MATCH(H283,'Lookup Tables'!$F$5:$F$16,0)),"Unknown")</x:f>
        <x:v>Fashion</x:v>
      </x:c>
      <x:c r="K283" s="8" t="n">
        <x:v>5</x:v>
      </x:c>
      <x:c r="L283" s="9" t="n">
        <x:f>IFERROR(INDEX('Lookup Tables'!$I$5:$I$16,MATCH(H283,'Lookup Tables'!$F$5:$F$16,0)),0)</x:f>
        <x:v>1199</x:v>
      </x:c>
      <x:c r="M283" s="23" t="n">
        <x:f>IF('Raw Data'!M283="",0,'Raw Data'!M283)</x:f>
        <x:v>0.1</x:v>
      </x:c>
      <x:c r="N283" s="9" t="n">
        <x:f>IF(S283="Completed",K283*L283*(1-M283),0)</x:f>
        <x:v>0</x:v>
      </x:c>
      <x:c r="O283" s="9" t="n">
        <x:f>IFERROR(INDEX('Lookup Tables'!$J$5:$J$16,MATCH(H283,'Lookup Tables'!$F$5:$F$16,0)),0)</x:f>
        <x:v>690</x:v>
      </x:c>
      <x:c r="P283" s="9" t="n">
        <x:f>IF(S283="Completed",K283*O283,0)</x:f>
        <x:v>0</x:v>
      </x:c>
      <x:c r="Q283" s="9" t="n">
        <x:f>N283-P283</x:f>
        <x:v>0</x:v>
      </x:c>
      <x:c r="R283" s="8" t="str">
        <x:f>IF(LOWER('Raw Data'!N283)="upi","UPI",'Raw Data'!N283)</x:f>
        <x:v>Net Banking</x:v>
      </x:c>
      <x:c r="S283" s="8" t="str">
        <x:v>Cancelled</x:v>
      </x:c>
      <x:c r="T283" s="8" t="str">
        <x:f>TEXT(B283,"mmm yyyy")</x:f>
        <x:v>Feb 2025</x:v>
      </x:c>
      <x:c r="U283" s="8" t="n">
        <x:f>YEAR(B283)</x:f>
        <x:v>2025</x:v>
      </x:c>
    </x:row>
    <x:row r="284">
      <x:c r="A284" s="8" t="str">
        <x:v>ORD-0280</x:v>
      </x:c>
      <x:c r="B284" s="22" t="n">
        <x:v>45984.18526873842</x:v>
      </x:c>
      <x:c r="C284" s="8" t="str">
        <x:v>CUS-050</x:v>
      </x:c>
      <x:c r="D284" s="8" t="str">
        <x:f>IFERROR(INDEX('Lookup Tables'!$B$5:$B$84,MATCH(C284,'Lookup Tables'!$A$5:$A$84,0)),"Unknown Customer")</x:f>
        <x:v>Saanvi Iyer 3</x:v>
      </x:c>
      <x:c r="E284" s="8" t="str">
        <x:f>IFERROR(INDEX('Lookup Tables'!$C$5:$C$84,MATCH(C284,'Lookup Tables'!$A$5:$A$84,0)),"Unknown")</x:f>
        <x:v>Corporate</x:v>
      </x:c>
      <x:c r="F284" s="8" t="str">
        <x:v>Jaipur</x:v>
      </x:c>
      <x:c r="G284" s="8" t="str">
        <x:f>IFERROR(INDEX('Lookup Tables'!$N$5:$N$14,MATCH(F284,'Lookup Tables'!$M$5:$M$14,0)),"Unknown")</x:f>
        <x:v>North</x:v>
      </x:c>
      <x:c r="H284" s="8" t="str">
        <x:v>PRD-006</x:v>
      </x:c>
      <x:c r="I284" s="8" t="str">
        <x:f>IFERROR(INDEX('Lookup Tables'!$G$5:$G$16,MATCH(H284,'Lookup Tables'!$F$5:$F$16,0)),"Unknown Product")</x:f>
        <x:v>Desk Organiser</x:v>
      </x:c>
      <x:c r="J284" s="8" t="str">
        <x:f>IFERROR(INDEX('Lookup Tables'!$H$5:$H$16,MATCH(H284,'Lookup Tables'!$F$5:$F$16,0)),"Unknown")</x:f>
        <x:v>Office Supplies</x:v>
      </x:c>
      <x:c r="K284" s="8" t="n">
        <x:v>3</x:v>
      </x:c>
      <x:c r="L284" s="9" t="n">
        <x:f>IFERROR(INDEX('Lookup Tables'!$I$5:$I$16,MATCH(H284,'Lookup Tables'!$F$5:$F$16,0)),0)</x:f>
        <x:v>699</x:v>
      </x:c>
      <x:c r="M284" s="23" t="n">
        <x:f>IF('Raw Data'!M284="",0,'Raw Data'!M284)</x:f>
        <x:v>0</x:v>
      </x:c>
      <x:c r="N284" s="9" t="n">
        <x:f>IF(S284="Completed",K284*L284*(1-M284),0)</x:f>
        <x:v>2097</x:v>
      </x:c>
      <x:c r="O284" s="9" t="n">
        <x:f>IFERROR(INDEX('Lookup Tables'!$J$5:$J$16,MATCH(H284,'Lookup Tables'!$F$5:$F$16,0)),0)</x:f>
        <x:v>390</x:v>
      </x:c>
      <x:c r="P284" s="9" t="n">
        <x:f>IF(S284="Completed",K284*O284,0)</x:f>
        <x:v>1170</x:v>
      </x:c>
      <x:c r="Q284" s="9" t="n">
        <x:f>N284-P284</x:f>
        <x:v>927</x:v>
      </x:c>
      <x:c r="R284" s="8" t="str">
        <x:f>IF(LOWER('Raw Data'!N284)="upi","UPI",'Raw Data'!N284)</x:f>
        <x:v>Cash on Delivery</x:v>
      </x:c>
      <x:c r="S284" s="8" t="str">
        <x:v>Completed</x:v>
      </x:c>
      <x:c r="T284" s="8" t="str">
        <x:f>TEXT(B284,"mmm yyyy")</x:f>
        <x:v>Nov 2025</x:v>
      </x:c>
      <x:c r="U284" s="8" t="n">
        <x:f>YEAR(B284)</x:f>
        <x:v>2025</x:v>
      </x:c>
    </x:row>
    <x:row r="285">
      <x:c r="A285" s="8" t="str">
        <x:v>ORD-0281</x:v>
      </x:c>
      <x:c r="B285" s="22" t="n">
        <x:v>46017.595869351855</x:v>
      </x:c>
      <x:c r="C285" s="8" t="str">
        <x:v>CUS-028</x:v>
      </x:c>
      <x:c r="D285" s="8" t="str">
        <x:f>IFERROR(INDEX('Lookup Tables'!$B$5:$B$84,MATCH(C285,'Lookup Tables'!$A$5:$A$84,0)),"Unknown Customer")</x:f>
        <x:v>Meera Nair 2</x:v>
      </x:c>
      <x:c r="E285" s="8" t="str">
        <x:f>IFERROR(INDEX('Lookup Tables'!$C$5:$C$84,MATCH(C285,'Lookup Tables'!$A$5:$A$84,0)),"Unknown")</x:f>
        <x:v>Consumer</x:v>
      </x:c>
      <x:c r="F285" s="8" t="str">
        <x:v>Jaipur</x:v>
      </x:c>
      <x:c r="G285" s="8" t="str">
        <x:f>IFERROR(INDEX('Lookup Tables'!$N$5:$N$14,MATCH(F285,'Lookup Tables'!$M$5:$M$14,0)),"Unknown")</x:f>
        <x:v>North</x:v>
      </x:c>
      <x:c r="H285" s="8" t="str">
        <x:v>PRD-005</x:v>
      </x:c>
      <x:c r="I285" s="8" t="str">
        <x:f>IFERROR(INDEX('Lookup Tables'!$G$5:$G$16,MATCH(H285,'Lookup Tables'!$F$5:$F$16,0)),"Unknown Product")</x:f>
        <x:v>Executive Notebook</x:v>
      </x:c>
      <x:c r="J285" s="8" t="str">
        <x:f>IFERROR(INDEX('Lookup Tables'!$H$5:$H$16,MATCH(H285,'Lookup Tables'!$F$5:$F$16,0)),"Unknown")</x:f>
        <x:v>Office Supplies</x:v>
      </x:c>
      <x:c r="K285" s="8" t="n">
        <x:v>5</x:v>
      </x:c>
      <x:c r="L285" s="9" t="n">
        <x:f>IFERROR(INDEX('Lookup Tables'!$I$5:$I$16,MATCH(H285,'Lookup Tables'!$F$5:$F$16,0)),0)</x:f>
        <x:v>349</x:v>
      </x:c>
      <x:c r="M285" s="23" t="n">
        <x:f>IF('Raw Data'!M285="",0,'Raw Data'!M285)</x:f>
        <x:v>0.05</x:v>
      </x:c>
      <x:c r="N285" s="9" t="n">
        <x:f>IF(S285="Completed",K285*L285*(1-M285),0)</x:f>
        <x:v>1657.75</x:v>
      </x:c>
      <x:c r="O285" s="9" t="n">
        <x:f>IFERROR(INDEX('Lookup Tables'!$J$5:$J$16,MATCH(H285,'Lookup Tables'!$F$5:$F$16,0)),0)</x:f>
        <x:v>170</x:v>
      </x:c>
      <x:c r="P285" s="9" t="n">
        <x:f>IF(S285="Completed",K285*O285,0)</x:f>
        <x:v>850</x:v>
      </x:c>
      <x:c r="Q285" s="9" t="n">
        <x:f>N285-P285</x:f>
        <x:v>807.75</x:v>
      </x:c>
      <x:c r="R285" s="8" t="str">
        <x:f>IF(LOWER('Raw Data'!N285)="upi","UPI",'Raw Data'!N285)</x:f>
        <x:v>Net Banking</x:v>
      </x:c>
      <x:c r="S285" s="8" t="str">
        <x:v>Completed</x:v>
      </x:c>
      <x:c r="T285" s="8" t="str">
        <x:f>TEXT(B285,"mmm yyyy")</x:f>
        <x:v>Dec 2025</x:v>
      </x:c>
      <x:c r="U285" s="8" t="n">
        <x:f>YEAR(B285)</x:f>
        <x:v>2025</x:v>
      </x:c>
    </x:row>
    <x:row r="286">
      <x:c r="A286" s="8" t="str">
        <x:v>ORD-0282</x:v>
      </x:c>
      <x:c r="B286" s="22" t="n">
        <x:v>45805.7188684838</x:v>
      </x:c>
      <x:c r="C286" s="8" t="str">
        <x:v>CUS-053</x:v>
      </x:c>
      <x:c r="D286" s="8" t="str">
        <x:f>IFERROR(INDEX('Lookup Tables'!$B$5:$B$84,MATCH(C286,'Lookup Tables'!$A$5:$A$84,0)),"Unknown Customer")</x:f>
        <x:v>Rahul Mishra 3</x:v>
      </x:c>
      <x:c r="E286" s="8" t="str">
        <x:f>IFERROR(INDEX('Lookup Tables'!$C$5:$C$84,MATCH(C286,'Lookup Tables'!$A$5:$A$84,0)),"Unknown")</x:f>
        <x:v>Corporate</x:v>
      </x:c>
      <x:c r="F286" s="8" t="str">
        <x:v>Delhi</x:v>
      </x:c>
      <x:c r="G286" s="8" t="str">
        <x:f>IFERROR(INDEX('Lookup Tables'!$N$5:$N$14,MATCH(F286,'Lookup Tables'!$M$5:$M$14,0)),"Unknown")</x:f>
        <x:v>North</x:v>
      </x:c>
      <x:c r="H286" s="8" t="str">
        <x:v>PRD-012</x:v>
      </x:c>
      <x:c r="I286" s="8" t="str">
        <x:f>IFERROR(INDEX('Lookup Tables'!$G$5:$G$16,MATCH(H286,'Lookup Tables'!$F$5:$F$16,0)),"Unknown Product")</x:f>
        <x:v>Stainless Water Bottle</x:v>
      </x:c>
      <x:c r="J286" s="8" t="str">
        <x:f>IFERROR(INDEX('Lookup Tables'!$H$5:$H$16,MATCH(H286,'Lookup Tables'!$F$5:$F$16,0)),"Unknown")</x:f>
        <x:v>Lifestyle</x:v>
      </x:c>
      <x:c r="K286" s="8" t="n">
        <x:v>3</x:v>
      </x:c>
      <x:c r="L286" s="9" t="n">
        <x:f>IFERROR(INDEX('Lookup Tables'!$I$5:$I$16,MATCH(H286,'Lookup Tables'!$F$5:$F$16,0)),0)</x:f>
        <x:v>799</x:v>
      </x:c>
      <x:c r="M286" s="23" t="n">
        <x:f>IF('Raw Data'!M286="",0,'Raw Data'!M286)</x:f>
        <x:v>0.05</x:v>
      </x:c>
      <x:c r="N286" s="9" t="n">
        <x:f>IF(S286="Completed",K286*L286*(1-M286),0)</x:f>
        <x:v>2277.15</x:v>
      </x:c>
      <x:c r="O286" s="9" t="n">
        <x:f>IFERROR(INDEX('Lookup Tables'!$J$5:$J$16,MATCH(H286,'Lookup Tables'!$F$5:$F$16,0)),0)</x:f>
        <x:v>410</x:v>
      </x:c>
      <x:c r="P286" s="9" t="n">
        <x:f>IF(S286="Completed",K286*O286,0)</x:f>
        <x:v>1230</x:v>
      </x:c>
      <x:c r="Q286" s="9" t="n">
        <x:f>N286-P286</x:f>
        <x:v>1047.15</x:v>
      </x:c>
      <x:c r="R286" s="8" t="str">
        <x:f>IF(LOWER('Raw Data'!N286)="upi","UPI",'Raw Data'!N286)</x:f>
        <x:v>Credit Card</x:v>
      </x:c>
      <x:c r="S286" s="8" t="str">
        <x:v>Completed</x:v>
      </x:c>
      <x:c r="T286" s="8" t="str">
        <x:f>TEXT(B286,"mmm yyyy")</x:f>
        <x:v>May 2025</x:v>
      </x:c>
      <x:c r="U286" s="8" t="n">
        <x:f>YEAR(B286)</x:f>
        <x:v>2025</x:v>
      </x:c>
    </x:row>
    <x:row r="287">
      <x:c r="A287" s="8" t="str">
        <x:v>ORD-0283</x:v>
      </x:c>
      <x:c r="B287" s="22" t="n">
        <x:v>45681.087685405095</x:v>
      </x:c>
      <x:c r="C287" s="8" t="str">
        <x:v>CUS-012</x:v>
      </x:c>
      <x:c r="D287" s="8" t="str">
        <x:f>IFERROR(INDEX('Lookup Tables'!$B$5:$B$84,MATCH(C287,'Lookup Tables'!$A$5:$A$84,0)),"Unknown Customer")</x:f>
        <x:v>Priya Kapoor</x:v>
      </x:c>
      <x:c r="E287" s="8" t="str">
        <x:f>IFERROR(INDEX('Lookup Tables'!$C$5:$C$84,MATCH(C287,'Lookup Tables'!$A$5:$A$84,0)),"Unknown")</x:f>
        <x:v>Small Business</x:v>
      </x:c>
      <x:c r="F287" s="8" t="str">
        <x:v>Mumbai</x:v>
      </x:c>
      <x:c r="G287" s="8" t="str">
        <x:f>IFERROR(INDEX('Lookup Tables'!$N$5:$N$14,MATCH(F287,'Lookup Tables'!$M$5:$M$14,0)),"Unknown")</x:f>
        <x:v>West</x:v>
      </x:c>
      <x:c r="H287" s="8" t="str">
        <x:v>PRD-008</x:v>
      </x:c>
      <x:c r="I287" s="8" t="str">
        <x:f>IFERROR(INDEX('Lookup Tables'!$G$5:$G$16,MATCH(H287,'Lookup Tables'!$F$5:$F$16,0)),"Unknown Product")</x:f>
        <x:v>Storage Container Set</x:v>
      </x:c>
      <x:c r="J287" s="8" t="str">
        <x:f>IFERROR(INDEX('Lookup Tables'!$H$5:$H$16,MATCH(H287,'Lookup Tables'!$F$5:$F$16,0)),"Unknown")</x:f>
        <x:v>Home &amp; Kitchen</x:v>
      </x:c>
      <x:c r="K287" s="8" t="n">
        <x:v>3</x:v>
      </x:c>
      <x:c r="L287" s="9" t="n">
        <x:f>IFERROR(INDEX('Lookup Tables'!$I$5:$I$16,MATCH(H287,'Lookup Tables'!$F$5:$F$16,0)),0)</x:f>
        <x:v>999</x:v>
      </x:c>
      <x:c r="M287" s="23" t="n">
        <x:f>IF('Raw Data'!M287="",0,'Raw Data'!M287)</x:f>
        <x:v>0.1</x:v>
      </x:c>
      <x:c r="N287" s="9" t="n">
        <x:f>IF(S287="Completed",K287*L287*(1-M287),0)</x:f>
        <x:v>0</x:v>
      </x:c>
      <x:c r="O287" s="9" t="n">
        <x:f>IFERROR(INDEX('Lookup Tables'!$J$5:$J$16,MATCH(H287,'Lookup Tables'!$F$5:$F$16,0)),0)</x:f>
        <x:v>580</x:v>
      </x:c>
      <x:c r="P287" s="9" t="n">
        <x:f>IF(S287="Completed",K287*O287,0)</x:f>
        <x:v>0</x:v>
      </x:c>
      <x:c r="Q287" s="9" t="n">
        <x:f>N287-P287</x:f>
        <x:v>0</x:v>
      </x:c>
      <x:c r="R287" s="8" t="str">
        <x:f>IF(LOWER('Raw Data'!N287)="upi","UPI",'Raw Data'!N287)</x:f>
        <x:v>Cash on Delivery</x:v>
      </x:c>
      <x:c r="S287" s="8" t="str">
        <x:v>Returned</x:v>
      </x:c>
      <x:c r="T287" s="8" t="str">
        <x:f>TEXT(B287,"mmm yyyy")</x:f>
        <x:v>Jan 2025</x:v>
      </x:c>
      <x:c r="U287" s="8" t="n">
        <x:f>YEAR(B287)</x:f>
        <x:v>2025</x:v>
      </x:c>
    </x:row>
    <x:row r="288">
      <x:c r="A288" s="8" t="str">
        <x:v>ORD-0284</x:v>
      </x:c>
      <x:c r="B288" s="22" t="n">
        <x:v>45964.466228969904</x:v>
      </x:c>
      <x:c r="C288" s="8" t="str">
        <x:v>CUS-011</x:v>
      </x:c>
      <x:c r="D288" s="8" t="str">
        <x:f>IFERROR(INDEX('Lookup Tables'!$B$5:$B$84,MATCH(C288,'Lookup Tables'!$A$5:$A$84,0)),"Unknown Customer")</x:f>
        <x:v>Aditya Joshi</x:v>
      </x:c>
      <x:c r="E288" s="8" t="str">
        <x:f>IFERROR(INDEX('Lookup Tables'!$C$5:$C$84,MATCH(C288,'Lookup Tables'!$A$5:$A$84,0)),"Unknown")</x:f>
        <x:v>Corporate</x:v>
      </x:c>
      <x:c r="F288" s="8" t="str">
        <x:v>Jaipur</x:v>
      </x:c>
      <x:c r="G288" s="8" t="str">
        <x:f>IFERROR(INDEX('Lookup Tables'!$N$5:$N$14,MATCH(F288,'Lookup Tables'!$M$5:$M$14,0)),"Unknown")</x:f>
        <x:v>North</x:v>
      </x:c>
      <x:c r="H288" s="8" t="str">
        <x:v>PRD-008</x:v>
      </x:c>
      <x:c r="I288" s="8" t="str">
        <x:f>IFERROR(INDEX('Lookup Tables'!$G$5:$G$16,MATCH(H288,'Lookup Tables'!$F$5:$F$16,0)),"Unknown Product")</x:f>
        <x:v>Storage Container Set</x:v>
      </x:c>
      <x:c r="J288" s="8" t="str">
        <x:f>IFERROR(INDEX('Lookup Tables'!$H$5:$H$16,MATCH(H288,'Lookup Tables'!$F$5:$F$16,0)),"Unknown")</x:f>
        <x:v>Home &amp; Kitchen</x:v>
      </x:c>
      <x:c r="K288" s="8" t="n">
        <x:v>3</x:v>
      </x:c>
      <x:c r="L288" s="9" t="n">
        <x:f>IFERROR(INDEX('Lookup Tables'!$I$5:$I$16,MATCH(H288,'Lookup Tables'!$F$5:$F$16,0)),0)</x:f>
        <x:v>999</x:v>
      </x:c>
      <x:c r="M288" s="23" t="n">
        <x:f>IF('Raw Data'!M288="",0,'Raw Data'!M288)</x:f>
        <x:v>0.1</x:v>
      </x:c>
      <x:c r="N288" s="9" t="n">
        <x:f>IF(S288="Completed",K288*L288*(1-M288),0)</x:f>
        <x:v>2697.3</x:v>
      </x:c>
      <x:c r="O288" s="9" t="n">
        <x:f>IFERROR(INDEX('Lookup Tables'!$J$5:$J$16,MATCH(H288,'Lookup Tables'!$F$5:$F$16,0)),0)</x:f>
        <x:v>580</x:v>
      </x:c>
      <x:c r="P288" s="9" t="n">
        <x:f>IF(S288="Completed",K288*O288,0)</x:f>
        <x:v>1740</x:v>
      </x:c>
      <x:c r="Q288" s="9" t="n">
        <x:f>N288-P288</x:f>
        <x:v>957.3000000000002</x:v>
      </x:c>
      <x:c r="R288" s="8" t="str">
        <x:f>IF(LOWER('Raw Data'!N288)="upi","UPI",'Raw Data'!N288)</x:f>
        <x:v>Cash on Delivery</x:v>
      </x:c>
      <x:c r="S288" s="8" t="str">
        <x:v>Completed</x:v>
      </x:c>
      <x:c r="T288" s="8" t="str">
        <x:f>TEXT(B288,"mmm yyyy")</x:f>
        <x:v>Nov 2025</x:v>
      </x:c>
      <x:c r="U288" s="8" t="n">
        <x:f>YEAR(B288)</x:f>
        <x:v>2025</x:v>
      </x:c>
    </x:row>
    <x:row r="289">
      <x:c r="A289" s="8" t="str">
        <x:v>ORD-0285</x:v>
      </x:c>
      <x:c r="B289" s="22" t="n">
        <x:v>45804.66103040509</x:v>
      </x:c>
      <x:c r="C289" s="8" t="str">
        <x:v>CUS-015</x:v>
      </x:c>
      <x:c r="D289" s="8" t="str">
        <x:f>IFERROR(INDEX('Lookup Tables'!$B$5:$B$84,MATCH(C289,'Lookup Tables'!$A$5:$A$84,0)),"Unknown Customer")</x:f>
        <x:v>Karan Malhotra</x:v>
      </x:c>
      <x:c r="E289" s="8" t="str">
        <x:f>IFERROR(INDEX('Lookup Tables'!$C$5:$C$84,MATCH(C289,'Lookup Tables'!$A$5:$A$84,0)),"Unknown")</x:f>
        <x:v>Small Business</x:v>
      </x:c>
      <x:c r="F289" s="8" t="str">
        <x:v>Mumbai</x:v>
      </x:c>
      <x:c r="G289" s="8" t="str">
        <x:f>IFERROR(INDEX('Lookup Tables'!$N$5:$N$14,MATCH(F289,'Lookup Tables'!$M$5:$M$14,0)),"Unknown")</x:f>
        <x:v>West</x:v>
      </x:c>
      <x:c r="H289" s="8" t="str">
        <x:v>PRD-009</x:v>
      </x:c>
      <x:c r="I289" s="8" t="str">
        <x:f>IFERROR(INDEX('Lookup Tables'!$G$5:$G$16,MATCH(H289,'Lookup Tables'!$F$5:$F$16,0)),"Unknown Product")</x:f>
        <x:v>Table Lamp</x:v>
      </x:c>
      <x:c r="J289" s="8" t="str">
        <x:f>IFERROR(INDEX('Lookup Tables'!$H$5:$H$16,MATCH(H289,'Lookup Tables'!$F$5:$F$16,0)),"Unknown")</x:f>
        <x:v>Home &amp; Kitchen</x:v>
      </x:c>
      <x:c r="K289" s="8" t="n">
        <x:v>1</x:v>
      </x:c>
      <x:c r="L289" s="9" t="n">
        <x:f>IFERROR(INDEX('Lookup Tables'!$I$5:$I$16,MATCH(H289,'Lookup Tables'!$F$5:$F$16,0)),0)</x:f>
        <x:v>1499</x:v>
      </x:c>
      <x:c r="M289" s="23" t="n">
        <x:f>IF('Raw Data'!M289="",0,'Raw Data'!M289)</x:f>
        <x:v>0</x:v>
      </x:c>
      <x:c r="N289" s="9" t="n">
        <x:f>IF(S289="Completed",K289*L289*(1-M289),0)</x:f>
        <x:v>1499</x:v>
      </x:c>
      <x:c r="O289" s="9" t="n">
        <x:f>IFERROR(INDEX('Lookup Tables'!$J$5:$J$16,MATCH(H289,'Lookup Tables'!$F$5:$F$16,0)),0)</x:f>
        <x:v>920</x:v>
      </x:c>
      <x:c r="P289" s="9" t="n">
        <x:f>IF(S289="Completed",K289*O289,0)</x:f>
        <x:v>920</x:v>
      </x:c>
      <x:c r="Q289" s="9" t="n">
        <x:f>N289-P289</x:f>
        <x:v>579</x:v>
      </x:c>
      <x:c r="R289" s="8" t="str">
        <x:f>IF(LOWER('Raw Data'!N289)="upi","UPI",'Raw Data'!N289)</x:f>
        <x:v>Credit Card</x:v>
      </x:c>
      <x:c r="S289" s="8" t="str">
        <x:v>Completed</x:v>
      </x:c>
      <x:c r="T289" s="8" t="str">
        <x:f>TEXT(B289,"mmm yyyy")</x:f>
        <x:v>May 2025</x:v>
      </x:c>
      <x:c r="U289" s="8" t="n">
        <x:f>YEAR(B289)</x:f>
        <x:v>2025</x:v>
      </x:c>
    </x:row>
    <x:row r="290">
      <x:c r="A290" s="8" t="str">
        <x:v>ORD-0286</x:v>
      </x:c>
      <x:c r="B290" s="22" t="n">
        <x:v>45685.993247708335</x:v>
      </x:c>
      <x:c r="C290" s="8" t="str">
        <x:v>CUS-030</x:v>
      </x:c>
      <x:c r="D290" s="8" t="str">
        <x:f>IFERROR(INDEX('Lookup Tables'!$B$5:$B$84,MATCH(C290,'Lookup Tables'!$A$5:$A$84,0)),"Unknown Customer")</x:f>
        <x:v>Saanvi Iyer 2</x:v>
      </x:c>
      <x:c r="E290" s="8" t="str">
        <x:f>IFERROR(INDEX('Lookup Tables'!$C$5:$C$84,MATCH(C290,'Lookup Tables'!$A$5:$A$84,0)),"Unknown")</x:f>
        <x:v>Small Business</x:v>
      </x:c>
      <x:c r="F290" s="8" t="str">
        <x:v>Mumbai</x:v>
      </x:c>
      <x:c r="G290" s="8" t="str">
        <x:f>IFERROR(INDEX('Lookup Tables'!$N$5:$N$14,MATCH(F290,'Lookup Tables'!$M$5:$M$14,0)),"Unknown")</x:f>
        <x:v>West</x:v>
      </x:c>
      <x:c r="H290" s="8" t="str">
        <x:v>PRD-011</x:v>
      </x:c>
      <x:c r="I290" s="8" t="str">
        <x:f>IFERROR(INDEX('Lookup Tables'!$G$5:$G$16,MATCH(H290,'Lookup Tables'!$F$5:$F$16,0)),"Unknown Product")</x:f>
        <x:v>Classic Wallet</x:v>
      </x:c>
      <x:c r="J290" s="8" t="str">
        <x:f>IFERROR(INDEX('Lookup Tables'!$H$5:$H$16,MATCH(H290,'Lookup Tables'!$F$5:$F$16,0)),"Unknown")</x:f>
        <x:v>Fashion</x:v>
      </x:c>
      <x:c r="K290" s="8" t="n">
        <x:v>1</x:v>
      </x:c>
      <x:c r="L290" s="9" t="n">
        <x:f>IFERROR(INDEX('Lookup Tables'!$I$5:$I$16,MATCH(H290,'Lookup Tables'!$F$5:$F$16,0)),0)</x:f>
        <x:v>1199</x:v>
      </x:c>
      <x:c r="M290" s="23" t="n">
        <x:f>IF('Raw Data'!M290="",0,'Raw Data'!M290)</x:f>
        <x:v>0</x:v>
      </x:c>
      <x:c r="N290" s="9" t="n">
        <x:f>IF(S290="Completed",K290*L290*(1-M290),0)</x:f>
        <x:v>1199</x:v>
      </x:c>
      <x:c r="O290" s="9" t="n">
        <x:f>IFERROR(INDEX('Lookup Tables'!$J$5:$J$16,MATCH(H290,'Lookup Tables'!$F$5:$F$16,0)),0)</x:f>
        <x:v>690</x:v>
      </x:c>
      <x:c r="P290" s="9" t="n">
        <x:f>IF(S290="Completed",K290*O290,0)</x:f>
        <x:v>690</x:v>
      </x:c>
      <x:c r="Q290" s="9" t="n">
        <x:f>N290-P290</x:f>
        <x:v>509</x:v>
      </x:c>
      <x:c r="R290" s="8" t="str">
        <x:f>IF(LOWER('Raw Data'!N290)="upi","UPI",'Raw Data'!N290)</x:f>
        <x:v>Net Banking</x:v>
      </x:c>
      <x:c r="S290" s="8" t="str">
        <x:v>Completed</x:v>
      </x:c>
      <x:c r="T290" s="8" t="str">
        <x:f>TEXT(B290,"mmm yyyy")</x:f>
        <x:v>Jan 2025</x:v>
      </x:c>
      <x:c r="U290" s="8" t="n">
        <x:f>YEAR(B290)</x:f>
        <x:v>2025</x:v>
      </x:c>
    </x:row>
    <x:row r="291">
      <x:c r="A291" s="8" t="str">
        <x:v>ORD-0287</x:v>
      </x:c>
      <x:c r="B291" s="22" t="n">
        <x:v>45772.49675197917</x:v>
      </x:c>
      <x:c r="C291" s="8" t="str">
        <x:v>CUS-072</x:v>
      </x:c>
      <x:c r="D291" s="8" t="str">
        <x:f>IFERROR(INDEX('Lookup Tables'!$B$5:$B$84,MATCH(C291,'Lookup Tables'!$A$5:$A$84,0)),"Unknown Customer")</x:f>
        <x:v>Priya Kapoor 4</x:v>
      </x:c>
      <x:c r="E291" s="8" t="str">
        <x:f>IFERROR(INDEX('Lookup Tables'!$C$5:$C$84,MATCH(C291,'Lookup Tables'!$A$5:$A$84,0)),"Unknown")</x:f>
        <x:v>Small Business</x:v>
      </x:c>
      <x:c r="F291" s="8" t="str">
        <x:v>Delhi</x:v>
      </x:c>
      <x:c r="G291" s="8" t="str">
        <x:f>IFERROR(INDEX('Lookup Tables'!$N$5:$N$14,MATCH(F291,'Lookup Tables'!$M$5:$M$14,0)),"Unknown")</x:f>
        <x:v>North</x:v>
      </x:c>
      <x:c r="H291" s="8" t="str">
        <x:v>PRD-007</x:v>
      </x:c>
      <x:c r="I291" s="8" t="str">
        <x:f>IFERROR(INDEX('Lookup Tables'!$G$5:$G$16,MATCH(H291,'Lookup Tables'!$F$5:$F$16,0)),"Unknown Product")</x:f>
        <x:v>Electric Kettle</x:v>
      </x:c>
      <x:c r="J291" s="8" t="str">
        <x:f>IFERROR(INDEX('Lookup Tables'!$H$5:$H$16,MATCH(H291,'Lookup Tables'!$F$5:$F$16,0)),"Unknown")</x:f>
        <x:v>Home &amp; Kitchen</x:v>
      </x:c>
      <x:c r="K291" s="8" t="n">
        <x:v>5</x:v>
      </x:c>
      <x:c r="L291" s="9" t="n">
        <x:f>IFERROR(INDEX('Lookup Tables'!$I$5:$I$16,MATCH(H291,'Lookup Tables'!$F$5:$F$16,0)),0)</x:f>
        <x:v>1699</x:v>
      </x:c>
      <x:c r="M291" s="23" t="n">
        <x:f>IF('Raw Data'!M291="",0,'Raw Data'!M291)</x:f>
        <x:v>0.15</x:v>
      </x:c>
      <x:c r="N291" s="9" t="n">
        <x:f>IF(S291="Completed",K291*L291*(1-M291),0)</x:f>
        <x:v>0</x:v>
      </x:c>
      <x:c r="O291" s="9" t="n">
        <x:f>IFERROR(INDEX('Lookup Tables'!$J$5:$J$16,MATCH(H291,'Lookup Tables'!$F$5:$F$16,0)),0)</x:f>
        <x:v>1040</x:v>
      </x:c>
      <x:c r="P291" s="9" t="n">
        <x:f>IF(S291="Completed",K291*O291,0)</x:f>
        <x:v>0</x:v>
      </x:c>
      <x:c r="Q291" s="9" t="n">
        <x:f>N291-P291</x:f>
        <x:v>0</x:v>
      </x:c>
      <x:c r="R291" s="8" t="str">
        <x:f>IF(LOWER('Raw Data'!N291)="upi","UPI",'Raw Data'!N291)</x:f>
        <x:v>Credit Card</x:v>
      </x:c>
      <x:c r="S291" s="8" t="str">
        <x:v>Cancelled</x:v>
      </x:c>
      <x:c r="T291" s="8" t="str">
        <x:f>TEXT(B291,"mmm yyyy")</x:f>
        <x:v>Apr 2025</x:v>
      </x:c>
      <x:c r="U291" s="8" t="n">
        <x:f>YEAR(B291)</x:f>
        <x:v>2025</x:v>
      </x:c>
    </x:row>
    <x:row r="292">
      <x:c r="A292" s="8" t="str">
        <x:v>ORD-0288</x:v>
      </x:c>
      <x:c r="B292" s="22" t="n">
        <x:v>45659.853977893516</x:v>
      </x:c>
      <x:c r="C292" s="8" t="str">
        <x:v>CUS-069</x:v>
      </x:c>
      <x:c r="D292" s="8" t="str">
        <x:f>IFERROR(INDEX('Lookup Tables'!$B$5:$B$84,MATCH(C292,'Lookup Tables'!$A$5:$A$84,0)),"Unknown Customer")</x:f>
        <x:v>Rohan Das 4</x:v>
      </x:c>
      <x:c r="E292" s="8" t="str">
        <x:f>IFERROR(INDEX('Lookup Tables'!$C$5:$C$84,MATCH(C292,'Lookup Tables'!$A$5:$A$84,0)),"Unknown")</x:f>
        <x:v>Small Business</x:v>
      </x:c>
      <x:c r="F292" s="8" t="str">
        <x:v>Hyderabad</x:v>
      </x:c>
      <x:c r="G292" s="8" t="str">
        <x:f>IFERROR(INDEX('Lookup Tables'!$N$5:$N$14,MATCH(F292,'Lookup Tables'!$M$5:$M$14,0)),"Unknown")</x:f>
        <x:v>South</x:v>
      </x:c>
      <x:c r="H292" s="8" t="str">
        <x:v>PRD-001</x:v>
      </x:c>
      <x:c r="I292" s="8" t="str">
        <x:f>IFERROR(INDEX('Lookup Tables'!$G$5:$G$16,MATCH(H292,'Lookup Tables'!$F$5:$F$16,0)),"Unknown Product")</x:f>
        <x:v>Wireless Mouse</x:v>
      </x:c>
      <x:c r="J292" s="8" t="str">
        <x:f>IFERROR(INDEX('Lookup Tables'!$H$5:$H$16,MATCH(H292,'Lookup Tables'!$F$5:$F$16,0)),"Unknown")</x:f>
        <x:v>Electronics</x:v>
      </x:c>
      <x:c r="K292" s="8" t="n">
        <x:v>4</x:v>
      </x:c>
      <x:c r="L292" s="9" t="n">
        <x:f>IFERROR(INDEX('Lookup Tables'!$I$5:$I$16,MATCH(H292,'Lookup Tables'!$F$5:$F$16,0)),0)</x:f>
        <x:v>899</x:v>
      </x:c>
      <x:c r="M292" s="23" t="n">
        <x:f>IF('Raw Data'!M292="",0,'Raw Data'!M292)</x:f>
        <x:v>0.15</x:v>
      </x:c>
      <x:c r="N292" s="9" t="n">
        <x:f>IF(S292="Completed",K292*L292*(1-M292),0)</x:f>
        <x:v>3056.6</x:v>
      </x:c>
      <x:c r="O292" s="9" t="n">
        <x:f>IFERROR(INDEX('Lookup Tables'!$J$5:$J$16,MATCH(H292,'Lookup Tables'!$F$5:$F$16,0)),0)</x:f>
        <x:v>540</x:v>
      </x:c>
      <x:c r="P292" s="9" t="n">
        <x:f>IF(S292="Completed",K292*O292,0)</x:f>
        <x:v>2160</x:v>
      </x:c>
      <x:c r="Q292" s="9" t="n">
        <x:f>N292-P292</x:f>
        <x:v>896.5999999999999</x:v>
      </x:c>
      <x:c r="R292" s="8" t="str">
        <x:f>IF(LOWER('Raw Data'!N292)="upi","UPI",'Raw Data'!N292)</x:f>
        <x:v>Net Banking</x:v>
      </x:c>
      <x:c r="S292" s="8" t="str">
        <x:v>Completed</x:v>
      </x:c>
      <x:c r="T292" s="8" t="str">
        <x:f>TEXT(B292,"mmm yyyy")</x:f>
        <x:v>Jan 2025</x:v>
      </x:c>
      <x:c r="U292" s="8" t="n">
        <x:f>YEAR(B292)</x:f>
        <x:v>2025</x:v>
      </x:c>
    </x:row>
    <x:row r="293">
      <x:c r="A293" s="8" t="str">
        <x:v>ORD-0289</x:v>
      </x:c>
      <x:c r="B293" s="22" t="n">
        <x:v>45931.78204269676</x:v>
      </x:c>
      <x:c r="C293" s="8" t="str">
        <x:v>CUS-049</x:v>
      </x:c>
      <x:c r="D293" s="8" t="str">
        <x:f>IFERROR(INDEX('Lookup Tables'!$B$5:$B$84,MATCH(C293,'Lookup Tables'!$A$5:$A$84,0)),"Unknown Customer")</x:f>
        <x:v>Rohan Das 3</x:v>
      </x:c>
      <x:c r="E293" s="8" t="str">
        <x:f>IFERROR(INDEX('Lookup Tables'!$C$5:$C$84,MATCH(C293,'Lookup Tables'!$A$5:$A$84,0)),"Unknown")</x:f>
        <x:v>Consumer</x:v>
      </x:c>
      <x:c r="F293" s="8" t="str">
        <x:v>Jaipur</x:v>
      </x:c>
      <x:c r="G293" s="8" t="str">
        <x:f>IFERROR(INDEX('Lookup Tables'!$N$5:$N$14,MATCH(F293,'Lookup Tables'!$M$5:$M$14,0)),"Unknown")</x:f>
        <x:v>North</x:v>
      </x:c>
      <x:c r="H293" s="8" t="str">
        <x:v>PRD-011</x:v>
      </x:c>
      <x:c r="I293" s="8" t="str">
        <x:f>IFERROR(INDEX('Lookup Tables'!$G$5:$G$16,MATCH(H293,'Lookup Tables'!$F$5:$F$16,0)),"Unknown Product")</x:f>
        <x:v>Classic Wallet</x:v>
      </x:c>
      <x:c r="J293" s="8" t="str">
        <x:f>IFERROR(INDEX('Lookup Tables'!$H$5:$H$16,MATCH(H293,'Lookup Tables'!$F$5:$F$16,0)),"Unknown")</x:f>
        <x:v>Fashion</x:v>
      </x:c>
      <x:c r="K293" s="8" t="n">
        <x:v>1</x:v>
      </x:c>
      <x:c r="L293" s="9" t="n">
        <x:f>IFERROR(INDEX('Lookup Tables'!$I$5:$I$16,MATCH(H293,'Lookup Tables'!$F$5:$F$16,0)),0)</x:f>
        <x:v>1199</x:v>
      </x:c>
      <x:c r="M293" s="23" t="n">
        <x:f>IF('Raw Data'!M293="",0,'Raw Data'!M293)</x:f>
        <x:v>0</x:v>
      </x:c>
      <x:c r="N293" s="9" t="n">
        <x:f>IF(S293="Completed",K293*L293*(1-M293),0)</x:f>
        <x:v>1199</x:v>
      </x:c>
      <x:c r="O293" s="9" t="n">
        <x:f>IFERROR(INDEX('Lookup Tables'!$J$5:$J$16,MATCH(H293,'Lookup Tables'!$F$5:$F$16,0)),0)</x:f>
        <x:v>690</x:v>
      </x:c>
      <x:c r="P293" s="9" t="n">
        <x:f>IF(S293="Completed",K293*O293,0)</x:f>
        <x:v>690</x:v>
      </x:c>
      <x:c r="Q293" s="9" t="n">
        <x:f>N293-P293</x:f>
        <x:v>509</x:v>
      </x:c>
      <x:c r="R293" s="8" t="str">
        <x:f>IF(LOWER('Raw Data'!N293)="upi","UPI",'Raw Data'!N293)</x:f>
        <x:v>Cash on Delivery</x:v>
      </x:c>
      <x:c r="S293" s="8" t="str">
        <x:v>Completed</x:v>
      </x:c>
      <x:c r="T293" s="8" t="str">
        <x:f>TEXT(B293,"mmm yyyy")</x:f>
        <x:v>Oct 2025</x:v>
      </x:c>
      <x:c r="U293" s="8" t="n">
        <x:f>YEAR(B293)</x:f>
        <x:v>2025</x:v>
      </x:c>
    </x:row>
    <x:row r="294">
      <x:c r="A294" s="8" t="str">
        <x:v>ORD-0290</x:v>
      </x:c>
      <x:c r="B294" s="22" t="n">
        <x:v>45676.02233936342</x:v>
      </x:c>
      <x:c r="C294" s="8" t="str">
        <x:v>CUS-029</x:v>
      </x:c>
      <x:c r="D294" s="8" t="str">
        <x:f>IFERROR(INDEX('Lookup Tables'!$B$5:$B$84,MATCH(C294,'Lookup Tables'!$A$5:$A$84,0)),"Unknown Customer")</x:f>
        <x:v>Rohan Das 2</x:v>
      </x:c>
      <x:c r="E294" s="8" t="str">
        <x:f>IFERROR(INDEX('Lookup Tables'!$C$5:$C$84,MATCH(C294,'Lookup Tables'!$A$5:$A$84,0)),"Unknown")</x:f>
        <x:v>Corporate</x:v>
      </x:c>
      <x:c r="F294" s="8" t="str">
        <x:v>Kolkata</x:v>
      </x:c>
      <x:c r="G294" s="8" t="str">
        <x:f>IFERROR(INDEX('Lookup Tables'!$N$5:$N$14,MATCH(F294,'Lookup Tables'!$M$5:$M$14,0)),"Unknown")</x:f>
        <x:v>East</x:v>
      </x:c>
      <x:c r="H294" s="8" t="str">
        <x:v>PRD-007</x:v>
      </x:c>
      <x:c r="I294" s="8" t="str">
        <x:f>IFERROR(INDEX('Lookup Tables'!$G$5:$G$16,MATCH(H294,'Lookup Tables'!$F$5:$F$16,0)),"Unknown Product")</x:f>
        <x:v>Electric Kettle</x:v>
      </x:c>
      <x:c r="J294" s="8" t="str">
        <x:f>IFERROR(INDEX('Lookup Tables'!$H$5:$H$16,MATCH(H294,'Lookup Tables'!$F$5:$F$16,0)),"Unknown")</x:f>
        <x:v>Home &amp; Kitchen</x:v>
      </x:c>
      <x:c r="K294" s="8" t="n">
        <x:v>5</x:v>
      </x:c>
      <x:c r="L294" s="9" t="n">
        <x:f>IFERROR(INDEX('Lookup Tables'!$I$5:$I$16,MATCH(H294,'Lookup Tables'!$F$5:$F$16,0)),0)</x:f>
        <x:v>1699</x:v>
      </x:c>
      <x:c r="M294" s="23" t="n">
        <x:f>IF('Raw Data'!M294="",0,'Raw Data'!M294)</x:f>
        <x:v>0.1</x:v>
      </x:c>
      <x:c r="N294" s="9" t="n">
        <x:f>IF(S294="Completed",K294*L294*(1-M294),0)</x:f>
        <x:v>0</x:v>
      </x:c>
      <x:c r="O294" s="9" t="n">
        <x:f>IFERROR(INDEX('Lookup Tables'!$J$5:$J$16,MATCH(H294,'Lookup Tables'!$F$5:$F$16,0)),0)</x:f>
        <x:v>1040</x:v>
      </x:c>
      <x:c r="P294" s="9" t="n">
        <x:f>IF(S294="Completed",K294*O294,0)</x:f>
        <x:v>0</x:v>
      </x:c>
      <x:c r="Q294" s="9" t="n">
        <x:f>N294-P294</x:f>
        <x:v>0</x:v>
      </x:c>
      <x:c r="R294" s="8" t="str">
        <x:f>IF(LOWER('Raw Data'!N294)="upi","UPI",'Raw Data'!N294)</x:f>
        <x:v>Debit Card</x:v>
      </x:c>
      <x:c r="S294" s="8" t="str">
        <x:v>Returned</x:v>
      </x:c>
      <x:c r="T294" s="8" t="str">
        <x:f>TEXT(B294,"mmm yyyy")</x:f>
        <x:v>Jan 2025</x:v>
      </x:c>
      <x:c r="U294" s="8" t="n">
        <x:f>YEAR(B294)</x:f>
        <x:v>2025</x:v>
      </x:c>
    </x:row>
    <x:row r="295">
      <x:c r="A295" s="8" t="str">
        <x:v>ORD-0291</x:v>
      </x:c>
      <x:c r="B295" s="22" t="n">
        <x:v>45864.50141631944</x:v>
      </x:c>
      <x:c r="C295" s="8" t="str">
        <x:v>CUS-070</x:v>
      </x:c>
      <x:c r="D295" s="8" t="str">
        <x:f>IFERROR(INDEX('Lookup Tables'!$B$5:$B$84,MATCH(C295,'Lookup Tables'!$A$5:$A$84,0)),"Unknown Customer")</x:f>
        <x:v>Saanvi Iyer 4</x:v>
      </x:c>
      <x:c r="E295" s="8" t="str">
        <x:f>IFERROR(INDEX('Lookup Tables'!$C$5:$C$84,MATCH(C295,'Lookup Tables'!$A$5:$A$84,0)),"Unknown")</x:f>
        <x:v>Consumer</x:v>
      </x:c>
      <x:c r="F295" s="8" t="str">
        <x:v>Jaipur</x:v>
      </x:c>
      <x:c r="G295" s="8" t="str">
        <x:f>IFERROR(INDEX('Lookup Tables'!$N$5:$N$14,MATCH(F295,'Lookup Tables'!$M$5:$M$14,0)),"Unknown")</x:f>
        <x:v>North</x:v>
      </x:c>
      <x:c r="H295" s="8" t="str">
        <x:v>PRD-004</x:v>
      </x:c>
      <x:c r="I295" s="8" t="str">
        <x:f>IFERROR(INDEX('Lookup Tables'!$G$5:$G$16,MATCH(H295,'Lookup Tables'!$F$5:$F$16,0)),"Unknown Product")</x:f>
        <x:v>Laptop Stand</x:v>
      </x:c>
      <x:c r="J295" s="8" t="str">
        <x:f>IFERROR(INDEX('Lookup Tables'!$H$5:$H$16,MATCH(H295,'Lookup Tables'!$F$5:$F$16,0)),"Unknown")</x:f>
        <x:v>Office Supplies</x:v>
      </x:c>
      <x:c r="K295" s="8" t="n">
        <x:v>5</x:v>
      </x:c>
      <x:c r="L295" s="9" t="n">
        <x:f>IFERROR(INDEX('Lookup Tables'!$I$5:$I$16,MATCH(H295,'Lookup Tables'!$F$5:$F$16,0)),0)</x:f>
        <x:v>1299</x:v>
      </x:c>
      <x:c r="M295" s="23" t="n">
        <x:f>IF('Raw Data'!M295="",0,'Raw Data'!M295)</x:f>
        <x:v>0.15</x:v>
      </x:c>
      <x:c r="N295" s="9" t="n">
        <x:f>IF(S295="Completed",K295*L295*(1-M295),0)</x:f>
        <x:v>5520.75</x:v>
      </x:c>
      <x:c r="O295" s="9" t="n">
        <x:f>IFERROR(INDEX('Lookup Tables'!$J$5:$J$16,MATCH(H295,'Lookup Tables'!$F$5:$F$16,0)),0)</x:f>
        <x:v>760</x:v>
      </x:c>
      <x:c r="P295" s="9" t="n">
        <x:f>IF(S295="Completed",K295*O295,0)</x:f>
        <x:v>3800</x:v>
      </x:c>
      <x:c r="Q295" s="9" t="n">
        <x:f>N295-P295</x:f>
        <x:v>1720.75</x:v>
      </x:c>
      <x:c r="R295" s="8" t="str">
        <x:f>IF(LOWER('Raw Data'!N295)="upi","UPI",'Raw Data'!N295)</x:f>
        <x:v>UPI</x:v>
      </x:c>
      <x:c r="S295" s="8" t="str">
        <x:v>Completed</x:v>
      </x:c>
      <x:c r="T295" s="8" t="str">
        <x:f>TEXT(B295,"mmm yyyy")</x:f>
        <x:v>Jul 2025</x:v>
      </x:c>
      <x:c r="U295" s="8" t="n">
        <x:f>YEAR(B295)</x:f>
        <x:v>2025</x:v>
      </x:c>
    </x:row>
    <x:row r="296">
      <x:c r="A296" s="8" t="str">
        <x:v>ORD-0292</x:v>
      </x:c>
      <x:c r="B296" s="22" t="n">
        <x:v>45997.21972550926</x:v>
      </x:c>
      <x:c r="C296" s="8" t="str">
        <x:v>CUS-025</x:v>
      </x:c>
      <x:c r="D296" s="8" t="str">
        <x:f>IFERROR(INDEX('Lookup Tables'!$B$5:$B$84,MATCH(C296,'Lookup Tables'!$A$5:$A$84,0)),"Unknown Customer")</x:f>
        <x:v>Arjun Verma 2</x:v>
      </x:c>
      <x:c r="E296" s="8" t="str">
        <x:f>IFERROR(INDEX('Lookup Tables'!$C$5:$C$84,MATCH(C296,'Lookup Tables'!$A$5:$A$84,0)),"Unknown")</x:f>
        <x:v>Consumer</x:v>
      </x:c>
      <x:c r="F296" s="8" t="str">
        <x:v>Pune</x:v>
      </x:c>
      <x:c r="G296" s="8" t="str">
        <x:f>IFERROR(INDEX('Lookup Tables'!$N$5:$N$14,MATCH(F296,'Lookup Tables'!$M$5:$M$14,0)),"Unknown")</x:f>
        <x:v>West</x:v>
      </x:c>
      <x:c r="H296" s="8" t="str">
        <x:v>PRD-002</x:v>
      </x:c>
      <x:c r="I296" s="8" t="str">
        <x:f>IFERROR(INDEX('Lookup Tables'!$G$5:$G$16,MATCH(H296,'Lookup Tables'!$F$5:$F$16,0)),"Unknown Product")</x:f>
        <x:v>Bluetooth Headphones</x:v>
      </x:c>
      <x:c r="J296" s="8" t="str">
        <x:f>IFERROR(INDEX('Lookup Tables'!$H$5:$H$16,MATCH(H296,'Lookup Tables'!$F$5:$F$16,0)),"Unknown")</x:f>
        <x:v>Electronics</x:v>
      </x:c>
      <x:c r="K296" s="8" t="n">
        <x:v>4</x:v>
      </x:c>
      <x:c r="L296" s="9" t="n">
        <x:f>IFERROR(INDEX('Lookup Tables'!$I$5:$I$16,MATCH(H296,'Lookup Tables'!$F$5:$F$16,0)),0)</x:f>
        <x:v>2499</x:v>
      </x:c>
      <x:c r="M296" s="23" t="n">
        <x:f>IF('Raw Data'!M296="",0,'Raw Data'!M296)</x:f>
        <x:v>0.1</x:v>
      </x:c>
      <x:c r="N296" s="9" t="n">
        <x:f>IF(S296="Completed",K296*L296*(1-M296),0)</x:f>
        <x:v>0</x:v>
      </x:c>
      <x:c r="O296" s="9" t="n">
        <x:f>IFERROR(INDEX('Lookup Tables'!$J$5:$J$16,MATCH(H296,'Lookup Tables'!$F$5:$F$16,0)),0)</x:f>
        <x:v>1620</x:v>
      </x:c>
      <x:c r="P296" s="9" t="n">
        <x:f>IF(S296="Completed",K296*O296,0)</x:f>
        <x:v>0</x:v>
      </x:c>
      <x:c r="Q296" s="9" t="n">
        <x:f>N296-P296</x:f>
        <x:v>0</x:v>
      </x:c>
      <x:c r="R296" s="8" t="str">
        <x:f>IF(LOWER('Raw Data'!N296)="upi","UPI",'Raw Data'!N296)</x:f>
        <x:v>Debit Card</x:v>
      </x:c>
      <x:c r="S296" s="8" t="str">
        <x:v>Returned</x:v>
      </x:c>
      <x:c r="T296" s="8" t="str">
        <x:f>TEXT(B296,"mmm yyyy")</x:f>
        <x:v>Dec 2025</x:v>
      </x:c>
      <x:c r="U296" s="8" t="n">
        <x:f>YEAR(B296)</x:f>
        <x:v>2025</x:v>
      </x:c>
    </x:row>
    <x:row r="297">
      <x:c r="A297" s="8" t="str">
        <x:v>ORD-0293</x:v>
      </x:c>
      <x:c r="B297" s="22" t="n">
        <x:v>45768.88002603009</x:v>
      </x:c>
      <x:c r="C297" s="8" t="str">
        <x:v>CUS-034</x:v>
      </x:c>
      <x:c r="D297" s="8" t="str">
        <x:f>IFERROR(INDEX('Lookup Tables'!$B$5:$B$84,MATCH(C297,'Lookup Tables'!$A$5:$A$84,0)),"Unknown Customer")</x:f>
        <x:v>Neha Rao 2</x:v>
      </x:c>
      <x:c r="E297" s="8" t="str">
        <x:f>IFERROR(INDEX('Lookup Tables'!$C$5:$C$84,MATCH(C297,'Lookup Tables'!$A$5:$A$84,0)),"Unknown")</x:f>
        <x:v>Consumer</x:v>
      </x:c>
      <x:c r="F297" s="8" t="str">
        <x:v>Ahmedabad</x:v>
      </x:c>
      <x:c r="G297" s="8" t="str">
        <x:f>IFERROR(INDEX('Lookup Tables'!$N$5:$N$14,MATCH(F297,'Lookup Tables'!$M$5:$M$14,0)),"Unknown")</x:f>
        <x:v>West</x:v>
      </x:c>
      <x:c r="H297" s="8" t="str">
        <x:v>PRD-010</x:v>
      </x:c>
      <x:c r="I297" s="8" t="str">
        <x:f>IFERROR(INDEX('Lookup Tables'!$G$5:$G$16,MATCH(H297,'Lookup Tables'!$F$5:$F$16,0)),"Unknown Product")</x:f>
        <x:v>Travel Backpack</x:v>
      </x:c>
      <x:c r="J297" s="8" t="str">
        <x:f>IFERROR(INDEX('Lookup Tables'!$H$5:$H$16,MATCH(H297,'Lookup Tables'!$F$5:$F$16,0)),"Unknown")</x:f>
        <x:v>Fashion</x:v>
      </x:c>
      <x:c r="K297" s="8" t="n">
        <x:v>3</x:v>
      </x:c>
      <x:c r="L297" s="9" t="n">
        <x:f>IFERROR(INDEX('Lookup Tables'!$I$5:$I$16,MATCH(H297,'Lookup Tables'!$F$5:$F$16,0)),0)</x:f>
        <x:v>2199</x:v>
      </x:c>
      <x:c r="M297" s="23" t="n">
        <x:f>IF('Raw Data'!M297="",0,'Raw Data'!M297)</x:f>
        <x:v>0</x:v>
      </x:c>
      <x:c r="N297" s="9" t="n">
        <x:f>IF(S297="Completed",K297*L297*(1-M297),0)</x:f>
        <x:v>6597</x:v>
      </x:c>
      <x:c r="O297" s="9" t="n">
        <x:f>IFERROR(INDEX('Lookup Tables'!$J$5:$J$16,MATCH(H297,'Lookup Tables'!$F$5:$F$16,0)),0)</x:f>
        <x:v>1380</x:v>
      </x:c>
      <x:c r="P297" s="9" t="n">
        <x:f>IF(S297="Completed",K297*O297,0)</x:f>
        <x:v>4140</x:v>
      </x:c>
      <x:c r="Q297" s="9" t="n">
        <x:f>N297-P297</x:f>
        <x:v>2457</x:v>
      </x:c>
      <x:c r="R297" s="8" t="str">
        <x:f>IF(LOWER('Raw Data'!N297)="upi","UPI",'Raw Data'!N297)</x:f>
        <x:v>Net Banking</x:v>
      </x:c>
      <x:c r="S297" s="8" t="str">
        <x:v>Completed</x:v>
      </x:c>
      <x:c r="T297" s="8" t="str">
        <x:f>TEXT(B297,"mmm yyyy")</x:f>
        <x:v>Apr 2025</x:v>
      </x:c>
      <x:c r="U297" s="8" t="n">
        <x:f>YEAR(B297)</x:f>
        <x:v>2025</x:v>
      </x:c>
    </x:row>
    <x:row r="298">
      <x:c r="A298" s="8" t="str">
        <x:v>ORD-0294</x:v>
      </x:c>
      <x:c r="B298" s="22" t="n">
        <x:v>45687.64912030093</x:v>
      </x:c>
      <x:c r="C298" s="8" t="str">
        <x:v>CUS-068</x:v>
      </x:c>
      <x:c r="D298" s="8" t="str">
        <x:f>IFERROR(INDEX('Lookup Tables'!$B$5:$B$84,MATCH(C298,'Lookup Tables'!$A$5:$A$84,0)),"Unknown Customer")</x:f>
        <x:v>Meera Nair 4</x:v>
      </x:c>
      <x:c r="E298" s="8" t="str">
        <x:f>IFERROR(INDEX('Lookup Tables'!$C$5:$C$84,MATCH(C298,'Lookup Tables'!$A$5:$A$84,0)),"Unknown")</x:f>
        <x:v>Corporate</x:v>
      </x:c>
      <x:c r="F298" s="8" t="str">
        <x:v>Ahmedabad</x:v>
      </x:c>
      <x:c r="G298" s="8" t="str">
        <x:f>IFERROR(INDEX('Lookup Tables'!$N$5:$N$14,MATCH(F298,'Lookup Tables'!$M$5:$M$14,0)),"Unknown")</x:f>
        <x:v>West</x:v>
      </x:c>
      <x:c r="H298" s="8" t="str">
        <x:v>PRD-002</x:v>
      </x:c>
      <x:c r="I298" s="8" t="str">
        <x:f>IFERROR(INDEX('Lookup Tables'!$G$5:$G$16,MATCH(H298,'Lookup Tables'!$F$5:$F$16,0)),"Unknown Product")</x:f>
        <x:v>Bluetooth Headphones</x:v>
      </x:c>
      <x:c r="J298" s="8" t="str">
        <x:f>IFERROR(INDEX('Lookup Tables'!$H$5:$H$16,MATCH(H298,'Lookup Tables'!$F$5:$F$16,0)),"Unknown")</x:f>
        <x:v>Electronics</x:v>
      </x:c>
      <x:c r="K298" s="8" t="n">
        <x:v>5</x:v>
      </x:c>
      <x:c r="L298" s="9" t="n">
        <x:f>IFERROR(INDEX('Lookup Tables'!$I$5:$I$16,MATCH(H298,'Lookup Tables'!$F$5:$F$16,0)),0)</x:f>
        <x:v>2499</x:v>
      </x:c>
      <x:c r="M298" s="23" t="n">
        <x:f>IF('Raw Data'!M298="",0,'Raw Data'!M298)</x:f>
        <x:v>0.1</x:v>
      </x:c>
      <x:c r="N298" s="9" t="n">
        <x:f>IF(S298="Completed",K298*L298*(1-M298),0)</x:f>
        <x:v>11245.5</x:v>
      </x:c>
      <x:c r="O298" s="9" t="n">
        <x:f>IFERROR(INDEX('Lookup Tables'!$J$5:$J$16,MATCH(H298,'Lookup Tables'!$F$5:$F$16,0)),0)</x:f>
        <x:v>1620</x:v>
      </x:c>
      <x:c r="P298" s="9" t="n">
        <x:f>IF(S298="Completed",K298*O298,0)</x:f>
        <x:v>8100</x:v>
      </x:c>
      <x:c r="Q298" s="9" t="n">
        <x:f>N298-P298</x:f>
        <x:v>3145.5</x:v>
      </x:c>
      <x:c r="R298" s="8" t="str">
        <x:f>IF(LOWER('Raw Data'!N298)="upi","UPI",'Raw Data'!N298)</x:f>
        <x:v>Net Banking</x:v>
      </x:c>
      <x:c r="S298" s="8" t="str">
        <x:v>Completed</x:v>
      </x:c>
      <x:c r="T298" s="8" t="str">
        <x:f>TEXT(B298,"mmm yyyy")</x:f>
        <x:v>Jan 2025</x:v>
      </x:c>
      <x:c r="U298" s="8" t="n">
        <x:f>YEAR(B298)</x:f>
        <x:v>2025</x:v>
      </x:c>
    </x:row>
    <x:row r="299">
      <x:c r="A299" s="8" t="str">
        <x:v>ORD-0295</x:v>
      </x:c>
      <x:c r="B299" s="22" t="n">
        <x:v>45796.788543055554</x:v>
      </x:c>
      <x:c r="C299" s="8" t="str">
        <x:v>CUS-033</x:v>
      </x:c>
      <x:c r="D299" s="8" t="str">
        <x:f>IFERROR(INDEX('Lookup Tables'!$B$5:$B$84,MATCH(C299,'Lookup Tables'!$A$5:$A$84,0)),"Unknown Customer")</x:f>
        <x:v>Rahul Mishra 2</x:v>
      </x:c>
      <x:c r="E299" s="8" t="str">
        <x:f>IFERROR(INDEX('Lookup Tables'!$C$5:$C$84,MATCH(C299,'Lookup Tables'!$A$5:$A$84,0)),"Unknown")</x:f>
        <x:v>Small Business</x:v>
      </x:c>
      <x:c r="F299" s="8" t="str">
        <x:v>Hyderabad</x:v>
      </x:c>
      <x:c r="G299" s="8" t="str">
        <x:f>IFERROR(INDEX('Lookup Tables'!$N$5:$N$14,MATCH(F299,'Lookup Tables'!$M$5:$M$14,0)),"Unknown")</x:f>
        <x:v>South</x:v>
      </x:c>
      <x:c r="H299" s="8" t="str">
        <x:v>PRD-002</x:v>
      </x:c>
      <x:c r="I299" s="8" t="str">
        <x:f>IFERROR(INDEX('Lookup Tables'!$G$5:$G$16,MATCH(H299,'Lookup Tables'!$F$5:$F$16,0)),"Unknown Product")</x:f>
        <x:v>Bluetooth Headphones</x:v>
      </x:c>
      <x:c r="J299" s="8" t="str">
        <x:f>IFERROR(INDEX('Lookup Tables'!$H$5:$H$16,MATCH(H299,'Lookup Tables'!$F$5:$F$16,0)),"Unknown")</x:f>
        <x:v>Electronics</x:v>
      </x:c>
      <x:c r="K299" s="8" t="n">
        <x:v>3</x:v>
      </x:c>
      <x:c r="L299" s="9" t="n">
        <x:f>IFERROR(INDEX('Lookup Tables'!$I$5:$I$16,MATCH(H299,'Lookup Tables'!$F$5:$F$16,0)),0)</x:f>
        <x:v>2499</x:v>
      </x:c>
      <x:c r="M299" s="23" t="n">
        <x:f>IF('Raw Data'!M299="",0,'Raw Data'!M299)</x:f>
        <x:v>0</x:v>
      </x:c>
      <x:c r="N299" s="9" t="n">
        <x:f>IF(S299="Completed",K299*L299*(1-M299),0)</x:f>
        <x:v>7497</x:v>
      </x:c>
      <x:c r="O299" s="9" t="n">
        <x:f>IFERROR(INDEX('Lookup Tables'!$J$5:$J$16,MATCH(H299,'Lookup Tables'!$F$5:$F$16,0)),0)</x:f>
        <x:v>1620</x:v>
      </x:c>
      <x:c r="P299" s="9" t="n">
        <x:f>IF(S299="Completed",K299*O299,0)</x:f>
        <x:v>4860</x:v>
      </x:c>
      <x:c r="Q299" s="9" t="n">
        <x:f>N299-P299</x:f>
        <x:v>2637</x:v>
      </x:c>
      <x:c r="R299" s="8" t="str">
        <x:f>IF(LOWER('Raw Data'!N299)="upi","UPI",'Raw Data'!N299)</x:f>
        <x:v>Credit Card</x:v>
      </x:c>
      <x:c r="S299" s="8" t="str">
        <x:v>Completed</x:v>
      </x:c>
      <x:c r="T299" s="8" t="str">
        <x:f>TEXT(B299,"mmm yyyy")</x:f>
        <x:v>May 2025</x:v>
      </x:c>
      <x:c r="U299" s="8" t="n">
        <x:f>YEAR(B299)</x:f>
        <x:v>2025</x:v>
      </x:c>
    </x:row>
    <x:row r="300">
      <x:c r="A300" s="8" t="str">
        <x:v>ORD-0296</x:v>
      </x:c>
      <x:c r="B300" s="22" t="n">
        <x:v>46005.36408141204</x:v>
      </x:c>
      <x:c r="C300" s="8" t="str">
        <x:v>CUS-072</x:v>
      </x:c>
      <x:c r="D300" s="8" t="str">
        <x:f>IFERROR(INDEX('Lookup Tables'!$B$5:$B$84,MATCH(C300,'Lookup Tables'!$A$5:$A$84,0)),"Unknown Customer")</x:f>
        <x:v>Priya Kapoor 4</x:v>
      </x:c>
      <x:c r="E300" s="8" t="str">
        <x:f>IFERROR(INDEX('Lookup Tables'!$C$5:$C$84,MATCH(C300,'Lookup Tables'!$A$5:$A$84,0)),"Unknown")</x:f>
        <x:v>Small Business</x:v>
      </x:c>
      <x:c r="F300" s="8" t="str">
        <x:v>Bengaluru</x:v>
      </x:c>
      <x:c r="G300" s="8" t="str">
        <x:f>IFERROR(INDEX('Lookup Tables'!$N$5:$N$14,MATCH(F300,'Lookup Tables'!$M$5:$M$14,0)),"Unknown")</x:f>
        <x:v>South</x:v>
      </x:c>
      <x:c r="H300" s="8" t="str">
        <x:v>PRD-009</x:v>
      </x:c>
      <x:c r="I300" s="8" t="str">
        <x:f>IFERROR(INDEX('Lookup Tables'!$G$5:$G$16,MATCH(H300,'Lookup Tables'!$F$5:$F$16,0)),"Unknown Product")</x:f>
        <x:v>Table Lamp</x:v>
      </x:c>
      <x:c r="J300" s="8" t="str">
        <x:f>IFERROR(INDEX('Lookup Tables'!$H$5:$H$16,MATCH(H300,'Lookup Tables'!$F$5:$F$16,0)),"Unknown")</x:f>
        <x:v>Home &amp; Kitchen</x:v>
      </x:c>
      <x:c r="K300" s="8" t="n">
        <x:v>5</x:v>
      </x:c>
      <x:c r="L300" s="9" t="n">
        <x:f>IFERROR(INDEX('Lookup Tables'!$I$5:$I$16,MATCH(H300,'Lookup Tables'!$F$5:$F$16,0)),0)</x:f>
        <x:v>1499</x:v>
      </x:c>
      <x:c r="M300" s="23" t="n">
        <x:f>IF('Raw Data'!M300="",0,'Raw Data'!M300)</x:f>
        <x:v>0</x:v>
      </x:c>
      <x:c r="N300" s="9" t="n">
        <x:f>IF(S300="Completed",K300*L300*(1-M300),0)</x:f>
        <x:v>7495</x:v>
      </x:c>
      <x:c r="O300" s="9" t="n">
        <x:f>IFERROR(INDEX('Lookup Tables'!$J$5:$J$16,MATCH(H300,'Lookup Tables'!$F$5:$F$16,0)),0)</x:f>
        <x:v>920</x:v>
      </x:c>
      <x:c r="P300" s="9" t="n">
        <x:f>IF(S300="Completed",K300*O300,0)</x:f>
        <x:v>4600</x:v>
      </x:c>
      <x:c r="Q300" s="9" t="n">
        <x:f>N300-P300</x:f>
        <x:v>2895</x:v>
      </x:c>
      <x:c r="R300" s="8" t="str">
        <x:f>IF(LOWER('Raw Data'!N300)="upi","UPI",'Raw Data'!N300)</x:f>
        <x:v>Credit Card</x:v>
      </x:c>
      <x:c r="S300" s="8" t="str">
        <x:v>Completed</x:v>
      </x:c>
      <x:c r="T300" s="8" t="str">
        <x:f>TEXT(B300,"mmm yyyy")</x:f>
        <x:v>Dec 2025</x:v>
      </x:c>
      <x:c r="U300" s="8" t="n">
        <x:f>YEAR(B300)</x:f>
        <x:v>2025</x:v>
      </x:c>
    </x:row>
    <x:row r="301">
      <x:c r="A301" s="8" t="str">
        <x:v>ORD-0297</x:v>
      </x:c>
      <x:c r="B301" s="22" t="n">
        <x:v>45684.93524699074</x:v>
      </x:c>
      <x:c r="C301" s="8" t="str">
        <x:v>CUS-055</x:v>
      </x:c>
      <x:c r="D301" s="8" t="str">
        <x:f>IFERROR(INDEX('Lookup Tables'!$B$5:$B$84,MATCH(C301,'Lookup Tables'!$A$5:$A$84,0)),"Unknown Customer")</x:f>
        <x:v>Karan Malhotra 3</x:v>
      </x:c>
      <x:c r="E301" s="8" t="str">
        <x:f>IFERROR(INDEX('Lookup Tables'!$C$5:$C$84,MATCH(C301,'Lookup Tables'!$A$5:$A$84,0)),"Unknown")</x:f>
        <x:v>Consumer</x:v>
      </x:c>
      <x:c r="F301" s="8" t="str">
        <x:v>Bengaluru</x:v>
      </x:c>
      <x:c r="G301" s="8" t="str">
        <x:f>IFERROR(INDEX('Lookup Tables'!$N$5:$N$14,MATCH(F301,'Lookup Tables'!$M$5:$M$14,0)),"Unknown")</x:f>
        <x:v>South</x:v>
      </x:c>
      <x:c r="H301" s="8" t="str">
        <x:v>PRD-003</x:v>
      </x:c>
      <x:c r="I301" s="8" t="str">
        <x:f>IFERROR(INDEX('Lookup Tables'!$G$5:$G$16,MATCH(H301,'Lookup Tables'!$F$5:$F$16,0)),"Unknown Product")</x:f>
        <x:v>USB-C Hub</x:v>
      </x:c>
      <x:c r="J301" s="8" t="str">
        <x:f>IFERROR(INDEX('Lookup Tables'!$H$5:$H$16,MATCH(H301,'Lookup Tables'!$F$5:$F$16,0)),"Unknown")</x:f>
        <x:v>Electronics</x:v>
      </x:c>
      <x:c r="K301" s="8" t="n">
        <x:v>5</x:v>
      </x:c>
      <x:c r="L301" s="9" t="n">
        <x:f>IFERROR(INDEX('Lookup Tables'!$I$5:$I$16,MATCH(H301,'Lookup Tables'!$F$5:$F$16,0)),0)</x:f>
        <x:v>1899</x:v>
      </x:c>
      <x:c r="M301" s="23" t="n">
        <x:f>IF('Raw Data'!M301="",0,'Raw Data'!M301)</x:f>
        <x:v>0</x:v>
      </x:c>
      <x:c r="N301" s="9" t="n">
        <x:f>IF(S301="Completed",K301*L301*(1-M301),0)</x:f>
        <x:v>9495</x:v>
      </x:c>
      <x:c r="O301" s="9" t="n">
        <x:f>IFERROR(INDEX('Lookup Tables'!$J$5:$J$16,MATCH(H301,'Lookup Tables'!$F$5:$F$16,0)),0)</x:f>
        <x:v>1180</x:v>
      </x:c>
      <x:c r="P301" s="9" t="n">
        <x:f>IF(S301="Completed",K301*O301,0)</x:f>
        <x:v>5900</x:v>
      </x:c>
      <x:c r="Q301" s="9" t="n">
        <x:f>N301-P301</x:f>
        <x:v>3595</x:v>
      </x:c>
      <x:c r="R301" s="8" t="str">
        <x:f>IF(LOWER('Raw Data'!N301)="upi","UPI",'Raw Data'!N301)</x:f>
        <x:v>Net Banking</x:v>
      </x:c>
      <x:c r="S301" s="8" t="str">
        <x:v>Completed</x:v>
      </x:c>
      <x:c r="T301" s="8" t="str">
        <x:f>TEXT(B301,"mmm yyyy")</x:f>
        <x:v>Jan 2025</x:v>
      </x:c>
      <x:c r="U301" s="8" t="n">
        <x:f>YEAR(B301)</x:f>
        <x:v>2025</x:v>
      </x:c>
    </x:row>
    <x:row r="302">
      <x:c r="A302" s="8" t="str">
        <x:v>ORD-0298</x:v>
      </x:c>
      <x:c r="B302" s="22" t="n">
        <x:v>45981.2267153125</x:v>
      </x:c>
      <x:c r="C302" s="8" t="str">
        <x:v>CUS-023</x:v>
      </x:c>
      <x:c r="D302" s="8" t="str">
        <x:f>IFERROR(INDEX('Lookup Tables'!$B$5:$B$84,MATCH(C302,'Lookup Tables'!$A$5:$A$84,0)),"Unknown Customer")</x:f>
        <x:v>Vihaan Singh 2</x:v>
      </x:c>
      <x:c r="E302" s="8" t="str">
        <x:f>IFERROR(INDEX('Lookup Tables'!$C$5:$C$84,MATCH(C302,'Lookup Tables'!$A$5:$A$84,0)),"Unknown")</x:f>
        <x:v>Corporate</x:v>
      </x:c>
      <x:c r="F302" s="8" t="str">
        <x:v>Delhi</x:v>
      </x:c>
      <x:c r="G302" s="8" t="str">
        <x:f>IFERROR(INDEX('Lookup Tables'!$N$5:$N$14,MATCH(F302,'Lookup Tables'!$M$5:$M$14,0)),"Unknown")</x:f>
        <x:v>North</x:v>
      </x:c>
      <x:c r="H302" s="8" t="str">
        <x:v>PRD-008</x:v>
      </x:c>
      <x:c r="I302" s="8" t="str">
        <x:f>IFERROR(INDEX('Lookup Tables'!$G$5:$G$16,MATCH(H302,'Lookup Tables'!$F$5:$F$16,0)),"Unknown Product")</x:f>
        <x:v>Storage Container Set</x:v>
      </x:c>
      <x:c r="J302" s="8" t="str">
        <x:f>IFERROR(INDEX('Lookup Tables'!$H$5:$H$16,MATCH(H302,'Lookup Tables'!$F$5:$F$16,0)),"Unknown")</x:f>
        <x:v>Home &amp; Kitchen</x:v>
      </x:c>
      <x:c r="K302" s="8" t="n">
        <x:v>2</x:v>
      </x:c>
      <x:c r="L302" s="9" t="n">
        <x:f>IFERROR(INDEX('Lookup Tables'!$I$5:$I$16,MATCH(H302,'Lookup Tables'!$F$5:$F$16,0)),0)</x:f>
        <x:v>999</x:v>
      </x:c>
      <x:c r="M302" s="23" t="n">
        <x:f>IF('Raw Data'!M302="",0,'Raw Data'!M302)</x:f>
        <x:v>0.2</x:v>
      </x:c>
      <x:c r="N302" s="9" t="n">
        <x:f>IF(S302="Completed",K302*L302*(1-M302),0)</x:f>
        <x:v>1598.4</x:v>
      </x:c>
      <x:c r="O302" s="9" t="n">
        <x:f>IFERROR(INDEX('Lookup Tables'!$J$5:$J$16,MATCH(H302,'Lookup Tables'!$F$5:$F$16,0)),0)</x:f>
        <x:v>580</x:v>
      </x:c>
      <x:c r="P302" s="9" t="n">
        <x:f>IF(S302="Completed",K302*O302,0)</x:f>
        <x:v>1160</x:v>
      </x:c>
      <x:c r="Q302" s="9" t="n">
        <x:f>N302-P302</x:f>
        <x:v>438.4000000000001</x:v>
      </x:c>
      <x:c r="R302" s="8" t="str">
        <x:f>IF(LOWER('Raw Data'!N302)="upi","UPI",'Raw Data'!N302)</x:f>
        <x:v>Debit Card</x:v>
      </x:c>
      <x:c r="S302" s="8" t="str">
        <x:v>Completed</x:v>
      </x:c>
      <x:c r="T302" s="8" t="str">
        <x:f>TEXT(B302,"mmm yyyy")</x:f>
        <x:v>Nov 2025</x:v>
      </x:c>
      <x:c r="U302" s="8" t="n">
        <x:f>YEAR(B302)</x:f>
        <x:v>2025</x:v>
      </x:c>
    </x:row>
    <x:row r="303">
      <x:c r="A303" s="8" t="str">
        <x:v>ORD-0299</x:v>
      </x:c>
      <x:c r="B303" s="22" t="n">
        <x:v>45664.021801076386</x:v>
      </x:c>
      <x:c r="C303" s="8" t="str">
        <x:v>CUS-069</x:v>
      </x:c>
      <x:c r="D303" s="8" t="str">
        <x:f>IFERROR(INDEX('Lookup Tables'!$B$5:$B$84,MATCH(C303,'Lookup Tables'!$A$5:$A$84,0)),"Unknown Customer")</x:f>
        <x:v>Rohan Das 4</x:v>
      </x:c>
      <x:c r="E303" s="8" t="str">
        <x:f>IFERROR(INDEX('Lookup Tables'!$C$5:$C$84,MATCH(C303,'Lookup Tables'!$A$5:$A$84,0)),"Unknown")</x:f>
        <x:v>Small Business</x:v>
      </x:c>
      <x:c r="F303" s="8" t="str">
        <x:v>Jaipur</x:v>
      </x:c>
      <x:c r="G303" s="8" t="str">
        <x:f>IFERROR(INDEX('Lookup Tables'!$N$5:$N$14,MATCH(F303,'Lookup Tables'!$M$5:$M$14,0)),"Unknown")</x:f>
        <x:v>North</x:v>
      </x:c>
      <x:c r="H303" s="8" t="str">
        <x:v>PRD-002</x:v>
      </x:c>
      <x:c r="I303" s="8" t="str">
        <x:f>IFERROR(INDEX('Lookup Tables'!$G$5:$G$16,MATCH(H303,'Lookup Tables'!$F$5:$F$16,0)),"Unknown Product")</x:f>
        <x:v>Bluetooth Headphones</x:v>
      </x:c>
      <x:c r="J303" s="8" t="str">
        <x:f>IFERROR(INDEX('Lookup Tables'!$H$5:$H$16,MATCH(H303,'Lookup Tables'!$F$5:$F$16,0)),"Unknown")</x:f>
        <x:v>Electronics</x:v>
      </x:c>
      <x:c r="K303" s="8" t="n">
        <x:v>4</x:v>
      </x:c>
      <x:c r="L303" s="9" t="n">
        <x:f>IFERROR(INDEX('Lookup Tables'!$I$5:$I$16,MATCH(H303,'Lookup Tables'!$F$5:$F$16,0)),0)</x:f>
        <x:v>2499</x:v>
      </x:c>
      <x:c r="M303" s="23" t="n">
        <x:f>IF('Raw Data'!M303="",0,'Raw Data'!M303)</x:f>
        <x:v>0.2</x:v>
      </x:c>
      <x:c r="N303" s="9" t="n">
        <x:f>IF(S303="Completed",K303*L303*(1-M303),0)</x:f>
        <x:v>7996.8</x:v>
      </x:c>
      <x:c r="O303" s="9" t="n">
        <x:f>IFERROR(INDEX('Lookup Tables'!$J$5:$J$16,MATCH(H303,'Lookup Tables'!$F$5:$F$16,0)),0)</x:f>
        <x:v>1620</x:v>
      </x:c>
      <x:c r="P303" s="9" t="n">
        <x:f>IF(S303="Completed",K303*O303,0)</x:f>
        <x:v>6480</x:v>
      </x:c>
      <x:c r="Q303" s="9" t="n">
        <x:f>N303-P303</x:f>
        <x:v>1516.8000000000002</x:v>
      </x:c>
      <x:c r="R303" s="8" t="str">
        <x:f>IF(LOWER('Raw Data'!N303)="upi","UPI",'Raw Data'!N303)</x:f>
        <x:v>Cash on Delivery</x:v>
      </x:c>
      <x:c r="S303" s="8" t="str">
        <x:v>Completed</x:v>
      </x:c>
      <x:c r="T303" s="8" t="str">
        <x:f>TEXT(B303,"mmm yyyy")</x:f>
        <x:v>Jan 2025</x:v>
      </x:c>
      <x:c r="U303" s="8" t="n">
        <x:f>YEAR(B303)</x:f>
        <x:v>2025</x:v>
      </x:c>
    </x:row>
    <x:row r="304">
      <x:c r="A304" s="8" t="str">
        <x:v>ORD-0300</x:v>
      </x:c>
      <x:c r="B304" s="22" t="n">
        <x:v>45816.13280590278</x:v>
      </x:c>
      <x:c r="C304" s="8" t="str">
        <x:v>CUS-078</x:v>
      </x:c>
      <x:c r="D304" s="8" t="str">
        <x:f>IFERROR(INDEX('Lookup Tables'!$B$5:$B$84,MATCH(C304,'Lookup Tables'!$A$5:$A$84,0)),"Unknown Customer")</x:f>
        <x:v>Nisha Bansal 4</x:v>
      </x:c>
      <x:c r="E304" s="8" t="str">
        <x:f>IFERROR(INDEX('Lookup Tables'!$C$5:$C$84,MATCH(C304,'Lookup Tables'!$A$5:$A$84,0)),"Unknown")</x:f>
        <x:v>Small Business</x:v>
      </x:c>
      <x:c r="F304" s="8" t="str">
        <x:v>Jaipur</x:v>
      </x:c>
      <x:c r="G304" s="8" t="str">
        <x:f>IFERROR(INDEX('Lookup Tables'!$N$5:$N$14,MATCH(F304,'Lookup Tables'!$M$5:$M$14,0)),"Unknown")</x:f>
        <x:v>North</x:v>
      </x:c>
      <x:c r="H304" s="8" t="str">
        <x:v>PRD-011</x:v>
      </x:c>
      <x:c r="I304" s="8" t="str">
        <x:f>IFERROR(INDEX('Lookup Tables'!$G$5:$G$16,MATCH(H304,'Lookup Tables'!$F$5:$F$16,0)),"Unknown Product")</x:f>
        <x:v>Classic Wallet</x:v>
      </x:c>
      <x:c r="J304" s="8" t="str">
        <x:f>IFERROR(INDEX('Lookup Tables'!$H$5:$H$16,MATCH(H304,'Lookup Tables'!$F$5:$F$16,0)),"Unknown")</x:f>
        <x:v>Fashion</x:v>
      </x:c>
      <x:c r="K304" s="8" t="n">
        <x:v>2</x:v>
      </x:c>
      <x:c r="L304" s="9" t="n">
        <x:f>IFERROR(INDEX('Lookup Tables'!$I$5:$I$16,MATCH(H304,'Lookup Tables'!$F$5:$F$16,0)),0)</x:f>
        <x:v>1199</x:v>
      </x:c>
      <x:c r="M304" s="23" t="n">
        <x:f>IF('Raw Data'!M304="",0,'Raw Data'!M304)</x:f>
        <x:v>0.2</x:v>
      </x:c>
      <x:c r="N304" s="9" t="n">
        <x:f>IF(S304="Completed",K304*L304*(1-M304),0)</x:f>
        <x:v>1918.4</x:v>
      </x:c>
      <x:c r="O304" s="9" t="n">
        <x:f>IFERROR(INDEX('Lookup Tables'!$J$5:$J$16,MATCH(H304,'Lookup Tables'!$F$5:$F$16,0)),0)</x:f>
        <x:v>690</x:v>
      </x:c>
      <x:c r="P304" s="9" t="n">
        <x:f>IF(S304="Completed",K304*O304,0)</x:f>
        <x:v>1380</x:v>
      </x:c>
      <x:c r="Q304" s="9" t="n">
        <x:f>N304-P304</x:f>
        <x:v>538.4000000000001</x:v>
      </x:c>
      <x:c r="R304" s="8" t="str">
        <x:f>IF(LOWER('Raw Data'!N304)="upi","UPI",'Raw Data'!N304)</x:f>
        <x:v>Cash on Delivery</x:v>
      </x:c>
      <x:c r="S304" s="8" t="str">
        <x:v>Completed</x:v>
      </x:c>
      <x:c r="T304" s="8" t="str">
        <x:f>TEXT(B304,"mmm yyyy")</x:f>
        <x:v>Jun 2025</x:v>
      </x:c>
      <x:c r="U304" s="8" t="n">
        <x:f>YEAR(B304)</x:f>
        <x:v>2025</x:v>
      </x:c>
    </x:row>
    <x:row r="305">
      <x:c r="A305" s="8" t="str">
        <x:v>ORD-0301</x:v>
      </x:c>
      <x:c r="B305" s="22" t="n">
        <x:v>45728.703917604165</x:v>
      </x:c>
      <x:c r="C305" s="8" t="str">
        <x:v>CUS-050</x:v>
      </x:c>
      <x:c r="D305" s="8" t="str">
        <x:f>IFERROR(INDEX('Lookup Tables'!$B$5:$B$84,MATCH(C305,'Lookup Tables'!$A$5:$A$84,0)),"Unknown Customer")</x:f>
        <x:v>Saanvi Iyer 3</x:v>
      </x:c>
      <x:c r="E305" s="8" t="str">
        <x:f>IFERROR(INDEX('Lookup Tables'!$C$5:$C$84,MATCH(C305,'Lookup Tables'!$A$5:$A$84,0)),"Unknown")</x:f>
        <x:v>Corporate</x:v>
      </x:c>
      <x:c r="F305" s="8" t="str">
        <x:v>Bengaluru</x:v>
      </x:c>
      <x:c r="G305" s="8" t="str">
        <x:f>IFERROR(INDEX('Lookup Tables'!$N$5:$N$14,MATCH(F305,'Lookup Tables'!$M$5:$M$14,0)),"Unknown")</x:f>
        <x:v>South</x:v>
      </x:c>
      <x:c r="H305" s="8" t="str">
        <x:v>PRD-003</x:v>
      </x:c>
      <x:c r="I305" s="8" t="str">
        <x:f>IFERROR(INDEX('Lookup Tables'!$G$5:$G$16,MATCH(H305,'Lookup Tables'!$F$5:$F$16,0)),"Unknown Product")</x:f>
        <x:v>USB-C Hub</x:v>
      </x:c>
      <x:c r="J305" s="8" t="str">
        <x:f>IFERROR(INDEX('Lookup Tables'!$H$5:$H$16,MATCH(H305,'Lookup Tables'!$F$5:$F$16,0)),"Unknown")</x:f>
        <x:v>Electronics</x:v>
      </x:c>
      <x:c r="K305" s="8" t="n">
        <x:v>2</x:v>
      </x:c>
      <x:c r="L305" s="9" t="n">
        <x:f>IFERROR(INDEX('Lookup Tables'!$I$5:$I$16,MATCH(H305,'Lookup Tables'!$F$5:$F$16,0)),0)</x:f>
        <x:v>1899</x:v>
      </x:c>
      <x:c r="M305" s="23" t="n">
        <x:f>IF('Raw Data'!M305="",0,'Raw Data'!M305)</x:f>
        <x:v>0.2</x:v>
      </x:c>
      <x:c r="N305" s="9" t="n">
        <x:f>IF(S305="Completed",K305*L305*(1-M305),0)</x:f>
        <x:v>3038.4</x:v>
      </x:c>
      <x:c r="O305" s="9" t="n">
        <x:f>IFERROR(INDEX('Lookup Tables'!$J$5:$J$16,MATCH(H305,'Lookup Tables'!$F$5:$F$16,0)),0)</x:f>
        <x:v>1180</x:v>
      </x:c>
      <x:c r="P305" s="9" t="n">
        <x:f>IF(S305="Completed",K305*O305,0)</x:f>
        <x:v>2360</x:v>
      </x:c>
      <x:c r="Q305" s="9" t="n">
        <x:f>N305-P305</x:f>
        <x:v>678.4000000000001</x:v>
      </x:c>
      <x:c r="R305" s="8" t="str">
        <x:f>IF(LOWER('Raw Data'!N305)="upi","UPI",'Raw Data'!N305)</x:f>
        <x:v>Debit Card</x:v>
      </x:c>
      <x:c r="S305" s="8" t="str">
        <x:v>Completed</x:v>
      </x:c>
      <x:c r="T305" s="8" t="str">
        <x:f>TEXT(B305,"mmm yyyy")</x:f>
        <x:v>Mar 2025</x:v>
      </x:c>
      <x:c r="U305" s="8" t="n">
        <x:f>YEAR(B305)</x:f>
        <x:v>2025</x:v>
      </x:c>
    </x:row>
    <x:row r="306">
      <x:c r="A306" s="8" t="str">
        <x:v>ORD-0302</x:v>
      </x:c>
      <x:c r="B306" s="22" t="n">
        <x:v>45986.66493731482</x:v>
      </x:c>
      <x:c r="C306" s="8" t="str">
        <x:v>CUS-039</x:v>
      </x:c>
      <x:c r="D306" s="8" t="str">
        <x:f>IFERROR(INDEX('Lookup Tables'!$B$5:$B$84,MATCH(C306,'Lookup Tables'!$A$5:$A$84,0)),"Unknown Customer")</x:f>
        <x:v>Siddharth Jain 2</x:v>
      </x:c>
      <x:c r="E306" s="8" t="str">
        <x:f>IFERROR(INDEX('Lookup Tables'!$C$5:$C$84,MATCH(C306,'Lookup Tables'!$A$5:$A$84,0)),"Unknown")</x:f>
        <x:v>Small Business</x:v>
      </x:c>
      <x:c r="F306" s="8" t="str">
        <x:v>Bengaluru</x:v>
      </x:c>
      <x:c r="G306" s="8" t="str">
        <x:f>IFERROR(INDEX('Lookup Tables'!$N$5:$N$14,MATCH(F306,'Lookup Tables'!$M$5:$M$14,0)),"Unknown")</x:f>
        <x:v>South</x:v>
      </x:c>
      <x:c r="H306" s="8" t="str">
        <x:v>PRD-003</x:v>
      </x:c>
      <x:c r="I306" s="8" t="str">
        <x:f>IFERROR(INDEX('Lookup Tables'!$G$5:$G$16,MATCH(H306,'Lookup Tables'!$F$5:$F$16,0)),"Unknown Product")</x:f>
        <x:v>USB-C Hub</x:v>
      </x:c>
      <x:c r="J306" s="8" t="str">
        <x:f>IFERROR(INDEX('Lookup Tables'!$H$5:$H$16,MATCH(H306,'Lookup Tables'!$F$5:$F$16,0)),"Unknown")</x:f>
        <x:v>Electronics</x:v>
      </x:c>
      <x:c r="K306" s="8" t="n">
        <x:v>3</x:v>
      </x:c>
      <x:c r="L306" s="9" t="n">
        <x:f>IFERROR(INDEX('Lookup Tables'!$I$5:$I$16,MATCH(H306,'Lookup Tables'!$F$5:$F$16,0)),0)</x:f>
        <x:v>1899</x:v>
      </x:c>
      <x:c r="M306" s="23" t="n">
        <x:f>IF('Raw Data'!M306="",0,'Raw Data'!M306)</x:f>
        <x:v>0.15</x:v>
      </x:c>
      <x:c r="N306" s="9" t="n">
        <x:f>IF(S306="Completed",K306*L306*(1-M306),0)</x:f>
        <x:v>4842.45</x:v>
      </x:c>
      <x:c r="O306" s="9" t="n">
        <x:f>IFERROR(INDEX('Lookup Tables'!$J$5:$J$16,MATCH(H306,'Lookup Tables'!$F$5:$F$16,0)),0)</x:f>
        <x:v>1180</x:v>
      </x:c>
      <x:c r="P306" s="9" t="n">
        <x:f>IF(S306="Completed",K306*O306,0)</x:f>
        <x:v>3540</x:v>
      </x:c>
      <x:c r="Q306" s="9" t="n">
        <x:f>N306-P306</x:f>
        <x:v>1302.4499999999998</x:v>
      </x:c>
      <x:c r="R306" s="8" t="str">
        <x:f>IF(LOWER('Raw Data'!N306)="upi","UPI",'Raw Data'!N306)</x:f>
        <x:v>Debit Card</x:v>
      </x:c>
      <x:c r="S306" s="8" t="str">
        <x:v>Completed</x:v>
      </x:c>
      <x:c r="T306" s="8" t="str">
        <x:f>TEXT(B306,"mmm yyyy")</x:f>
        <x:v>Nov 2025</x:v>
      </x:c>
      <x:c r="U306" s="8" t="n">
        <x:f>YEAR(B306)</x:f>
        <x:v>2025</x:v>
      </x:c>
    </x:row>
    <x:row r="307">
      <x:c r="A307" s="8" t="str">
        <x:v>ORD-0303</x:v>
      </x:c>
      <x:c r="B307" s="22" t="n">
        <x:v>45998.15974423611</x:v>
      </x:c>
      <x:c r="C307" s="8" t="str">
        <x:v>CUS-056</x:v>
      </x:c>
      <x:c r="D307" s="8" t="str">
        <x:f>IFERROR(INDEX('Lookup Tables'!$B$5:$B$84,MATCH(C307,'Lookup Tables'!$A$5:$A$84,0)),"Unknown Customer")</x:f>
        <x:v>Pooja Saxena 3</x:v>
      </x:c>
      <x:c r="E307" s="8" t="str">
        <x:f>IFERROR(INDEX('Lookup Tables'!$C$5:$C$84,MATCH(C307,'Lookup Tables'!$A$5:$A$84,0)),"Unknown")</x:f>
        <x:v>Corporate</x:v>
      </x:c>
      <x:c r="F307" s="8" t="str">
        <x:v>Chennai</x:v>
      </x:c>
      <x:c r="G307" s="8" t="str">
        <x:f>IFERROR(INDEX('Lookup Tables'!$N$5:$N$14,MATCH(F307,'Lookup Tables'!$M$5:$M$14,0)),"Unknown")</x:f>
        <x:v>South</x:v>
      </x:c>
      <x:c r="H307" s="8" t="str">
        <x:v>PRD-009</x:v>
      </x:c>
      <x:c r="I307" s="8" t="str">
        <x:f>IFERROR(INDEX('Lookup Tables'!$G$5:$G$16,MATCH(H307,'Lookup Tables'!$F$5:$F$16,0)),"Unknown Product")</x:f>
        <x:v>Table Lamp</x:v>
      </x:c>
      <x:c r="J307" s="8" t="str">
        <x:f>IFERROR(INDEX('Lookup Tables'!$H$5:$H$16,MATCH(H307,'Lookup Tables'!$F$5:$F$16,0)),"Unknown")</x:f>
        <x:v>Home &amp; Kitchen</x:v>
      </x:c>
      <x:c r="K307" s="8" t="n">
        <x:v>3</x:v>
      </x:c>
      <x:c r="L307" s="9" t="n">
        <x:f>IFERROR(INDEX('Lookup Tables'!$I$5:$I$16,MATCH(H307,'Lookup Tables'!$F$5:$F$16,0)),0)</x:f>
        <x:v>1499</x:v>
      </x:c>
      <x:c r="M307" s="23" t="n">
        <x:f>IF('Raw Data'!M307="",0,'Raw Data'!M307)</x:f>
        <x:v>0.2</x:v>
      </x:c>
      <x:c r="N307" s="9" t="n">
        <x:f>IF(S307="Completed",K307*L307*(1-M307),0)</x:f>
        <x:v>3597.6000000000004</x:v>
      </x:c>
      <x:c r="O307" s="9" t="n">
        <x:f>IFERROR(INDEX('Lookup Tables'!$J$5:$J$16,MATCH(H307,'Lookup Tables'!$F$5:$F$16,0)),0)</x:f>
        <x:v>920</x:v>
      </x:c>
      <x:c r="P307" s="9" t="n">
        <x:f>IF(S307="Completed",K307*O307,0)</x:f>
        <x:v>2760</x:v>
      </x:c>
      <x:c r="Q307" s="9" t="n">
        <x:f>N307-P307</x:f>
        <x:v>837.6000000000004</x:v>
      </x:c>
      <x:c r="R307" s="8" t="str">
        <x:f>IF(LOWER('Raw Data'!N307)="upi","UPI",'Raw Data'!N307)</x:f>
        <x:v>Cash on Delivery</x:v>
      </x:c>
      <x:c r="S307" s="8" t="str">
        <x:v>Completed</x:v>
      </x:c>
      <x:c r="T307" s="8" t="str">
        <x:f>TEXT(B307,"mmm yyyy")</x:f>
        <x:v>Dec 2025</x:v>
      </x:c>
      <x:c r="U307" s="8" t="n">
        <x:f>YEAR(B307)</x:f>
        <x:v>2025</x:v>
      </x:c>
    </x:row>
    <x:row r="308">
      <x:c r="A308" s="8" t="str">
        <x:v>ORD-0304</x:v>
      </x:c>
      <x:c r="B308" s="22" t="n">
        <x:v>45866.30557711806</x:v>
      </x:c>
      <x:c r="C308" s="8" t="str">
        <x:v>CUS-070</x:v>
      </x:c>
      <x:c r="D308" s="8" t="str">
        <x:f>IFERROR(INDEX('Lookup Tables'!$B$5:$B$84,MATCH(C308,'Lookup Tables'!$A$5:$A$84,0)),"Unknown Customer")</x:f>
        <x:v>Saanvi Iyer 4</x:v>
      </x:c>
      <x:c r="E308" s="8" t="str">
        <x:f>IFERROR(INDEX('Lookup Tables'!$C$5:$C$84,MATCH(C308,'Lookup Tables'!$A$5:$A$84,0)),"Unknown")</x:f>
        <x:v>Consumer</x:v>
      </x:c>
      <x:c r="F308" s="8" t="str">
        <x:v>Mumbai</x:v>
      </x:c>
      <x:c r="G308" s="8" t="str">
        <x:f>IFERROR(INDEX('Lookup Tables'!$N$5:$N$14,MATCH(F308,'Lookup Tables'!$M$5:$M$14,0)),"Unknown")</x:f>
        <x:v>West</x:v>
      </x:c>
      <x:c r="H308" s="8" t="str">
        <x:v>PRD-006</x:v>
      </x:c>
      <x:c r="I308" s="8" t="str">
        <x:f>IFERROR(INDEX('Lookup Tables'!$G$5:$G$16,MATCH(H308,'Lookup Tables'!$F$5:$F$16,0)),"Unknown Product")</x:f>
        <x:v>Desk Organiser</x:v>
      </x:c>
      <x:c r="J308" s="8" t="str">
        <x:f>IFERROR(INDEX('Lookup Tables'!$H$5:$H$16,MATCH(H308,'Lookup Tables'!$F$5:$F$16,0)),"Unknown")</x:f>
        <x:v>Office Supplies</x:v>
      </x:c>
      <x:c r="K308" s="8" t="n">
        <x:v>2</x:v>
      </x:c>
      <x:c r="L308" s="9" t="n">
        <x:f>IFERROR(INDEX('Lookup Tables'!$I$5:$I$16,MATCH(H308,'Lookup Tables'!$F$5:$F$16,0)),0)</x:f>
        <x:v>699</x:v>
      </x:c>
      <x:c r="M308" s="23" t="n">
        <x:f>IF('Raw Data'!M308="",0,'Raw Data'!M308)</x:f>
        <x:v>0.1</x:v>
      </x:c>
      <x:c r="N308" s="9" t="n">
        <x:f>IF(S308="Completed",K308*L308*(1-M308),0)</x:f>
        <x:v>0</x:v>
      </x:c>
      <x:c r="O308" s="9" t="n">
        <x:f>IFERROR(INDEX('Lookup Tables'!$J$5:$J$16,MATCH(H308,'Lookup Tables'!$F$5:$F$16,0)),0)</x:f>
        <x:v>390</x:v>
      </x:c>
      <x:c r="P308" s="9" t="n">
        <x:f>IF(S308="Completed",K308*O308,0)</x:f>
        <x:v>0</x:v>
      </x:c>
      <x:c r="Q308" s="9" t="n">
        <x:f>N308-P308</x:f>
        <x:v>0</x:v>
      </x:c>
      <x:c r="R308" s="8" t="str">
        <x:f>IF(LOWER('Raw Data'!N308)="upi","UPI",'Raw Data'!N308)</x:f>
        <x:v>Net Banking</x:v>
      </x:c>
      <x:c r="S308" s="8" t="str">
        <x:v>Returned</x:v>
      </x:c>
      <x:c r="T308" s="8" t="str">
        <x:f>TEXT(B308,"mmm yyyy")</x:f>
        <x:v>Jul 2025</x:v>
      </x:c>
      <x:c r="U308" s="8" t="n">
        <x:f>YEAR(B308)</x:f>
        <x:v>2025</x:v>
      </x:c>
    </x:row>
    <x:row r="309">
      <x:c r="A309" s="8" t="str">
        <x:v>ORD-0305</x:v>
      </x:c>
      <x:c r="B309" s="22" t="n">
        <x:v>45953.7205252662</x:v>
      </x:c>
      <x:c r="C309" s="8" t="str">
        <x:v>CUS-013</x:v>
      </x:c>
      <x:c r="D309" s="8" t="str">
        <x:f>IFERROR(INDEX('Lookup Tables'!$B$5:$B$84,MATCH(C309,'Lookup Tables'!$A$5:$A$84,0)),"Unknown Customer")</x:f>
        <x:v>Rahul Mishra</x:v>
      </x:c>
      <x:c r="E309" s="8" t="str">
        <x:f>IFERROR(INDEX('Lookup Tables'!$C$5:$C$84,MATCH(C309,'Lookup Tables'!$A$5:$A$84,0)),"Unknown")</x:f>
        <x:v>Consumer</x:v>
      </x:c>
      <x:c r="F309" s="8" t="str">
        <x:v>Kolkata</x:v>
      </x:c>
      <x:c r="G309" s="8" t="str">
        <x:f>IFERROR(INDEX('Lookup Tables'!$N$5:$N$14,MATCH(F309,'Lookup Tables'!$M$5:$M$14,0)),"Unknown")</x:f>
        <x:v>East</x:v>
      </x:c>
      <x:c r="H309" s="8" t="str">
        <x:v>PRD-012</x:v>
      </x:c>
      <x:c r="I309" s="8" t="str">
        <x:f>IFERROR(INDEX('Lookup Tables'!$G$5:$G$16,MATCH(H309,'Lookup Tables'!$F$5:$F$16,0)),"Unknown Product")</x:f>
        <x:v>Stainless Water Bottle</x:v>
      </x:c>
      <x:c r="J309" s="8" t="str">
        <x:f>IFERROR(INDEX('Lookup Tables'!$H$5:$H$16,MATCH(H309,'Lookup Tables'!$F$5:$F$16,0)),"Unknown")</x:f>
        <x:v>Lifestyle</x:v>
      </x:c>
      <x:c r="K309" s="8" t="n">
        <x:v>2</x:v>
      </x:c>
      <x:c r="L309" s="9" t="n">
        <x:f>IFERROR(INDEX('Lookup Tables'!$I$5:$I$16,MATCH(H309,'Lookup Tables'!$F$5:$F$16,0)),0)</x:f>
        <x:v>799</x:v>
      </x:c>
      <x:c r="M309" s="23" t="n">
        <x:f>IF('Raw Data'!M309="",0,'Raw Data'!M309)</x:f>
        <x:v>0.2</x:v>
      </x:c>
      <x:c r="N309" s="9" t="n">
        <x:f>IF(S309="Completed",K309*L309*(1-M309),0)</x:f>
        <x:v>0</x:v>
      </x:c>
      <x:c r="O309" s="9" t="n">
        <x:f>IFERROR(INDEX('Lookup Tables'!$J$5:$J$16,MATCH(H309,'Lookup Tables'!$F$5:$F$16,0)),0)</x:f>
        <x:v>410</x:v>
      </x:c>
      <x:c r="P309" s="9" t="n">
        <x:f>IF(S309="Completed",K309*O309,0)</x:f>
        <x:v>0</x:v>
      </x:c>
      <x:c r="Q309" s="9" t="n">
        <x:f>N309-P309</x:f>
        <x:v>0</x:v>
      </x:c>
      <x:c r="R309" s="8" t="str">
        <x:f>IF(LOWER('Raw Data'!N309)="upi","UPI",'Raw Data'!N309)</x:f>
        <x:v>Credit Card</x:v>
      </x:c>
      <x:c r="S309" s="8" t="str">
        <x:v>Returned</x:v>
      </x:c>
      <x:c r="T309" s="8" t="str">
        <x:f>TEXT(B309,"mmm yyyy")</x:f>
        <x:v>Oct 2025</x:v>
      </x:c>
      <x:c r="U309" s="8" t="n">
        <x:f>YEAR(B309)</x:f>
        <x:v>2025</x:v>
      </x:c>
    </x:row>
    <x:row r="310">
      <x:c r="A310" s="8" t="str">
        <x:v>ORD-0306</x:v>
      </x:c>
      <x:c r="B310" s="22" t="n">
        <x:v>45941.88573916667</x:v>
      </x:c>
      <x:c r="C310" s="8" t="str">
        <x:v>CUS-053</x:v>
      </x:c>
      <x:c r="D310" s="8" t="str">
        <x:f>IFERROR(INDEX('Lookup Tables'!$B$5:$B$84,MATCH(C310,'Lookup Tables'!$A$5:$A$84,0)),"Unknown Customer")</x:f>
        <x:v>Rahul Mishra 3</x:v>
      </x:c>
      <x:c r="E310" s="8" t="str">
        <x:f>IFERROR(INDEX('Lookup Tables'!$C$5:$C$84,MATCH(C310,'Lookup Tables'!$A$5:$A$84,0)),"Unknown")</x:f>
        <x:v>Corporate</x:v>
      </x:c>
      <x:c r="F310" s="8" t="str">
        <x:v>Hyderabad</x:v>
      </x:c>
      <x:c r="G310" s="8" t="str">
        <x:f>IFERROR(INDEX('Lookup Tables'!$N$5:$N$14,MATCH(F310,'Lookup Tables'!$M$5:$M$14,0)),"Unknown")</x:f>
        <x:v>South</x:v>
      </x:c>
      <x:c r="H310" s="8" t="str">
        <x:v>PRD-001</x:v>
      </x:c>
      <x:c r="I310" s="8" t="str">
        <x:f>IFERROR(INDEX('Lookup Tables'!$G$5:$G$16,MATCH(H310,'Lookup Tables'!$F$5:$F$16,0)),"Unknown Product")</x:f>
        <x:v>Wireless Mouse</x:v>
      </x:c>
      <x:c r="J310" s="8" t="str">
        <x:f>IFERROR(INDEX('Lookup Tables'!$H$5:$H$16,MATCH(H310,'Lookup Tables'!$F$5:$F$16,0)),"Unknown")</x:f>
        <x:v>Electronics</x:v>
      </x:c>
      <x:c r="K310" s="8" t="n">
        <x:v>4</x:v>
      </x:c>
      <x:c r="L310" s="9" t="n">
        <x:f>IFERROR(INDEX('Lookup Tables'!$I$5:$I$16,MATCH(H310,'Lookup Tables'!$F$5:$F$16,0)),0)</x:f>
        <x:v>899</x:v>
      </x:c>
      <x:c r="M310" s="23" t="n">
        <x:f>IF('Raw Data'!M310="",0,'Raw Data'!M310)</x:f>
        <x:v>0.2</x:v>
      </x:c>
      <x:c r="N310" s="9" t="n">
        <x:f>IF(S310="Completed",K310*L310*(1-M310),0)</x:f>
        <x:v>2876.8</x:v>
      </x:c>
      <x:c r="O310" s="9" t="n">
        <x:f>IFERROR(INDEX('Lookup Tables'!$J$5:$J$16,MATCH(H310,'Lookup Tables'!$F$5:$F$16,0)),0)</x:f>
        <x:v>540</x:v>
      </x:c>
      <x:c r="P310" s="9" t="n">
        <x:f>IF(S310="Completed",K310*O310,0)</x:f>
        <x:v>2160</x:v>
      </x:c>
      <x:c r="Q310" s="9" t="n">
        <x:f>N310-P310</x:f>
        <x:v>716.8000000000002</x:v>
      </x:c>
      <x:c r="R310" s="8" t="str">
        <x:f>IF(LOWER('Raw Data'!N310)="upi","UPI",'Raw Data'!N310)</x:f>
        <x:v>Credit Card</x:v>
      </x:c>
      <x:c r="S310" s="8" t="str">
        <x:v>Completed</x:v>
      </x:c>
      <x:c r="T310" s="8" t="str">
        <x:f>TEXT(B310,"mmm yyyy")</x:f>
        <x:v>Oct 2025</x:v>
      </x:c>
      <x:c r="U310" s="8" t="n">
        <x:f>YEAR(B310)</x:f>
        <x:v>2025</x:v>
      </x:c>
    </x:row>
    <x:row r="311">
      <x:c r="A311" s="8" t="str">
        <x:v>ORD-0307</x:v>
      </x:c>
      <x:c r="B311" s="22" t="n">
        <x:v>45694.07915806713</x:v>
      </x:c>
      <x:c r="C311" s="8" t="str">
        <x:v>CUS-051</x:v>
      </x:c>
      <x:c r="D311" s="8" t="str">
        <x:f>IFERROR(INDEX('Lookup Tables'!$B$5:$B$84,MATCH(C311,'Lookup Tables'!$A$5:$A$84,0)),"Unknown Customer")</x:f>
        <x:v>Aditya Joshi 3</x:v>
      </x:c>
      <x:c r="E311" s="8" t="str">
        <x:f>IFERROR(INDEX('Lookup Tables'!$C$5:$C$84,MATCH(C311,'Lookup Tables'!$A$5:$A$84,0)),"Unknown")</x:f>
        <x:v>Small Business</x:v>
      </x:c>
      <x:c r="F311" s="8" t="str">
        <x:v>Pune</x:v>
      </x:c>
      <x:c r="G311" s="8" t="str">
        <x:f>IFERROR(INDEX('Lookup Tables'!$N$5:$N$14,MATCH(F311,'Lookup Tables'!$M$5:$M$14,0)),"Unknown")</x:f>
        <x:v>West</x:v>
      </x:c>
      <x:c r="H311" s="8" t="str">
        <x:v>PRD-003</x:v>
      </x:c>
      <x:c r="I311" s="8" t="str">
        <x:f>IFERROR(INDEX('Lookup Tables'!$G$5:$G$16,MATCH(H311,'Lookup Tables'!$F$5:$F$16,0)),"Unknown Product")</x:f>
        <x:v>USB-C Hub</x:v>
      </x:c>
      <x:c r="J311" s="8" t="str">
        <x:f>IFERROR(INDEX('Lookup Tables'!$H$5:$H$16,MATCH(H311,'Lookup Tables'!$F$5:$F$16,0)),"Unknown")</x:f>
        <x:v>Electronics</x:v>
      </x:c>
      <x:c r="K311" s="8" t="n">
        <x:v>2</x:v>
      </x:c>
      <x:c r="L311" s="9" t="n">
        <x:f>IFERROR(INDEX('Lookup Tables'!$I$5:$I$16,MATCH(H311,'Lookup Tables'!$F$5:$F$16,0)),0)</x:f>
        <x:v>1899</x:v>
      </x:c>
      <x:c r="M311" s="23" t="n">
        <x:f>IF('Raw Data'!M311="",0,'Raw Data'!M311)</x:f>
        <x:v>0.15</x:v>
      </x:c>
      <x:c r="N311" s="9" t="n">
        <x:f>IF(S311="Completed",K311*L311*(1-M311),0)</x:f>
        <x:v>3228.2999999999997</x:v>
      </x:c>
      <x:c r="O311" s="9" t="n">
        <x:f>IFERROR(INDEX('Lookup Tables'!$J$5:$J$16,MATCH(H311,'Lookup Tables'!$F$5:$F$16,0)),0)</x:f>
        <x:v>1180</x:v>
      </x:c>
      <x:c r="P311" s="9" t="n">
        <x:f>IF(S311="Completed",K311*O311,0)</x:f>
        <x:v>2360</x:v>
      </x:c>
      <x:c r="Q311" s="9" t="n">
        <x:f>N311-P311</x:f>
        <x:v>868.2999999999997</x:v>
      </x:c>
      <x:c r="R311" s="8" t="str">
        <x:f>IF(LOWER('Raw Data'!N311)="upi","UPI",'Raw Data'!N311)</x:f>
        <x:v>Credit Card</x:v>
      </x:c>
      <x:c r="S311" s="8" t="str">
        <x:v>Completed</x:v>
      </x:c>
      <x:c r="T311" s="8" t="str">
        <x:f>TEXT(B311,"mmm yyyy")</x:f>
        <x:v>Feb 2025</x:v>
      </x:c>
      <x:c r="U311" s="8" t="n">
        <x:f>YEAR(B311)</x:f>
        <x:v>2025</x:v>
      </x:c>
    </x:row>
    <x:row r="312">
      <x:c r="A312" s="8" t="str">
        <x:v>ORD-0308</x:v>
      </x:c>
      <x:c r="B312" s="22" t="n">
        <x:v>45936.75168109954</x:v>
      </x:c>
      <x:c r="C312" s="8" t="str">
        <x:v>CUS-015</x:v>
      </x:c>
      <x:c r="D312" s="8" t="str">
        <x:f>IFERROR(INDEX('Lookup Tables'!$B$5:$B$84,MATCH(C312,'Lookup Tables'!$A$5:$A$84,0)),"Unknown Customer")</x:f>
        <x:v>Karan Malhotra</x:v>
      </x:c>
      <x:c r="E312" s="8" t="str">
        <x:f>IFERROR(INDEX('Lookup Tables'!$C$5:$C$84,MATCH(C312,'Lookup Tables'!$A$5:$A$84,0)),"Unknown")</x:f>
        <x:v>Small Business</x:v>
      </x:c>
      <x:c r="F312" s="8" t="str">
        <x:v>Mumbai</x:v>
      </x:c>
      <x:c r="G312" s="8" t="str">
        <x:f>IFERROR(INDEX('Lookup Tables'!$N$5:$N$14,MATCH(F312,'Lookup Tables'!$M$5:$M$14,0)),"Unknown")</x:f>
        <x:v>West</x:v>
      </x:c>
      <x:c r="H312" s="8" t="str">
        <x:v>PRD-008</x:v>
      </x:c>
      <x:c r="I312" s="8" t="str">
        <x:f>IFERROR(INDEX('Lookup Tables'!$G$5:$G$16,MATCH(H312,'Lookup Tables'!$F$5:$F$16,0)),"Unknown Product")</x:f>
        <x:v>Storage Container Set</x:v>
      </x:c>
      <x:c r="J312" s="8" t="str">
        <x:f>IFERROR(INDEX('Lookup Tables'!$H$5:$H$16,MATCH(H312,'Lookup Tables'!$F$5:$F$16,0)),"Unknown")</x:f>
        <x:v>Home &amp; Kitchen</x:v>
      </x:c>
      <x:c r="K312" s="8" t="n">
        <x:v>5</x:v>
      </x:c>
      <x:c r="L312" s="9" t="n">
        <x:f>IFERROR(INDEX('Lookup Tables'!$I$5:$I$16,MATCH(H312,'Lookup Tables'!$F$5:$F$16,0)),0)</x:f>
        <x:v>999</x:v>
      </x:c>
      <x:c r="M312" s="23" t="n">
        <x:f>IF('Raw Data'!M312="",0,'Raw Data'!M312)</x:f>
        <x:v>0</x:v>
      </x:c>
      <x:c r="N312" s="9" t="n">
        <x:f>IF(S312="Completed",K312*L312*(1-M312),0)</x:f>
        <x:v>0</x:v>
      </x:c>
      <x:c r="O312" s="9" t="n">
        <x:f>IFERROR(INDEX('Lookup Tables'!$J$5:$J$16,MATCH(H312,'Lookup Tables'!$F$5:$F$16,0)),0)</x:f>
        <x:v>580</x:v>
      </x:c>
      <x:c r="P312" s="9" t="n">
        <x:f>IF(S312="Completed",K312*O312,0)</x:f>
        <x:v>0</x:v>
      </x:c>
      <x:c r="Q312" s="9" t="n">
        <x:f>N312-P312</x:f>
        <x:v>0</x:v>
      </x:c>
      <x:c r="R312" s="8" t="str">
        <x:f>IF(LOWER('Raw Data'!N312)="upi","UPI",'Raw Data'!N312)</x:f>
        <x:v>Debit Card</x:v>
      </x:c>
      <x:c r="S312" s="8" t="str">
        <x:v>Cancelled</x:v>
      </x:c>
      <x:c r="T312" s="8" t="str">
        <x:f>TEXT(B312,"mmm yyyy")</x:f>
        <x:v>Oct 2025</x:v>
      </x:c>
      <x:c r="U312" s="8" t="n">
        <x:f>YEAR(B312)</x:f>
        <x:v>2025</x:v>
      </x:c>
    </x:row>
    <x:row r="313">
      <x:c r="A313" s="8" t="str">
        <x:v>ORD-0309</x:v>
      </x:c>
      <x:c r="B313" s="22" t="n">
        <x:v>45938.77623206018</x:v>
      </x:c>
      <x:c r="C313" s="8" t="str">
        <x:v>CUS-067</x:v>
      </x:c>
      <x:c r="D313" s="8" t="str">
        <x:f>IFERROR(INDEX('Lookup Tables'!$B$5:$B$84,MATCH(C313,'Lookup Tables'!$A$5:$A$84,0)),"Unknown Customer")</x:f>
        <x:v>Kabir Khan 4</x:v>
      </x:c>
      <x:c r="E313" s="8" t="str">
        <x:f>IFERROR(INDEX('Lookup Tables'!$C$5:$C$84,MATCH(C313,'Lookup Tables'!$A$5:$A$84,0)),"Unknown")</x:f>
        <x:v>Consumer</x:v>
      </x:c>
      <x:c r="F313" s="8" t="str">
        <x:v>Chennai</x:v>
      </x:c>
      <x:c r="G313" s="8" t="str">
        <x:f>IFERROR(INDEX('Lookup Tables'!$N$5:$N$14,MATCH(F313,'Lookup Tables'!$M$5:$M$14,0)),"Unknown")</x:f>
        <x:v>South</x:v>
      </x:c>
      <x:c r="H313" s="8" t="str">
        <x:v>PRD-003</x:v>
      </x:c>
      <x:c r="I313" s="8" t="str">
        <x:f>IFERROR(INDEX('Lookup Tables'!$G$5:$G$16,MATCH(H313,'Lookup Tables'!$F$5:$F$16,0)),"Unknown Product")</x:f>
        <x:v>USB-C Hub</x:v>
      </x:c>
      <x:c r="J313" s="8" t="str">
        <x:f>IFERROR(INDEX('Lookup Tables'!$H$5:$H$16,MATCH(H313,'Lookup Tables'!$F$5:$F$16,0)),"Unknown")</x:f>
        <x:v>Electronics</x:v>
      </x:c>
      <x:c r="K313" s="8" t="n">
        <x:v>1</x:v>
      </x:c>
      <x:c r="L313" s="9" t="n">
        <x:f>IFERROR(INDEX('Lookup Tables'!$I$5:$I$16,MATCH(H313,'Lookup Tables'!$F$5:$F$16,0)),0)</x:f>
        <x:v>1899</x:v>
      </x:c>
      <x:c r="M313" s="23" t="n">
        <x:f>IF('Raw Data'!M313="",0,'Raw Data'!M313)</x:f>
        <x:v>0.2</x:v>
      </x:c>
      <x:c r="N313" s="9" t="n">
        <x:f>IF(S313="Completed",K313*L313*(1-M313),0)</x:f>
        <x:v>1519.2</x:v>
      </x:c>
      <x:c r="O313" s="9" t="n">
        <x:f>IFERROR(INDEX('Lookup Tables'!$J$5:$J$16,MATCH(H313,'Lookup Tables'!$F$5:$F$16,0)),0)</x:f>
        <x:v>1180</x:v>
      </x:c>
      <x:c r="P313" s="9" t="n">
        <x:f>IF(S313="Completed",K313*O313,0)</x:f>
        <x:v>1180</x:v>
      </x:c>
      <x:c r="Q313" s="9" t="n">
        <x:f>N313-P313</x:f>
        <x:v>339.20000000000005</x:v>
      </x:c>
      <x:c r="R313" s="8" t="str">
        <x:f>IF(LOWER('Raw Data'!N313)="upi","UPI",'Raw Data'!N313)</x:f>
        <x:v>Debit Card</x:v>
      </x:c>
      <x:c r="S313" s="8" t="str">
        <x:v>Completed</x:v>
      </x:c>
      <x:c r="T313" s="8" t="str">
        <x:f>TEXT(B313,"mmm yyyy")</x:f>
        <x:v>Oct 2025</x:v>
      </x:c>
      <x:c r="U313" s="8" t="n">
        <x:f>YEAR(B313)</x:f>
        <x:v>2025</x:v>
      </x:c>
    </x:row>
    <x:row r="314">
      <x:c r="A314" s="8" t="str">
        <x:v>ORD-0310</x:v>
      </x:c>
      <x:c r="B314" s="22" t="n">
        <x:v>45675.121766006945</x:v>
      </x:c>
      <x:c r="C314" s="8" t="str">
        <x:v>CUS-037</x:v>
      </x:c>
      <x:c r="D314" s="8" t="str">
        <x:f>IFERROR(INDEX('Lookup Tables'!$B$5:$B$84,MATCH(C314,'Lookup Tables'!$A$5:$A$84,0)),"Unknown Customer")</x:f>
        <x:v>Vikram Yadav 2</x:v>
      </x:c>
      <x:c r="E314" s="8" t="str">
        <x:f>IFERROR(INDEX('Lookup Tables'!$C$5:$C$84,MATCH(C314,'Lookup Tables'!$A$5:$A$84,0)),"Unknown")</x:f>
        <x:v>Consumer</x:v>
      </x:c>
      <x:c r="F314" s="8" t="str">
        <x:v>Lucknow</x:v>
      </x:c>
      <x:c r="G314" s="8" t="str">
        <x:f>IFERROR(INDEX('Lookup Tables'!$N$5:$N$14,MATCH(F314,'Lookup Tables'!$M$5:$M$14,0)),"Unknown")</x:f>
        <x:v>North</x:v>
      </x:c>
      <x:c r="H314" s="8" t="str">
        <x:v>PRD-007</x:v>
      </x:c>
      <x:c r="I314" s="8" t="str">
        <x:f>IFERROR(INDEX('Lookup Tables'!$G$5:$G$16,MATCH(H314,'Lookup Tables'!$F$5:$F$16,0)),"Unknown Product")</x:f>
        <x:v>Electric Kettle</x:v>
      </x:c>
      <x:c r="J314" s="8" t="str">
        <x:f>IFERROR(INDEX('Lookup Tables'!$H$5:$H$16,MATCH(H314,'Lookup Tables'!$F$5:$F$16,0)),"Unknown")</x:f>
        <x:v>Home &amp; Kitchen</x:v>
      </x:c>
      <x:c r="K314" s="8" t="n">
        <x:v>2</x:v>
      </x:c>
      <x:c r="L314" s="9" t="n">
        <x:f>IFERROR(INDEX('Lookup Tables'!$I$5:$I$16,MATCH(H314,'Lookup Tables'!$F$5:$F$16,0)),0)</x:f>
        <x:v>1699</x:v>
      </x:c>
      <x:c r="M314" s="23" t="n">
        <x:f>IF('Raw Data'!M314="",0,'Raw Data'!M314)</x:f>
        <x:v>0.05</x:v>
      </x:c>
      <x:c r="N314" s="9" t="n">
        <x:f>IF(S314="Completed",K314*L314*(1-M314),0)</x:f>
        <x:v>3228.1</x:v>
      </x:c>
      <x:c r="O314" s="9" t="n">
        <x:f>IFERROR(INDEX('Lookup Tables'!$J$5:$J$16,MATCH(H314,'Lookup Tables'!$F$5:$F$16,0)),0)</x:f>
        <x:v>1040</x:v>
      </x:c>
      <x:c r="P314" s="9" t="n">
        <x:f>IF(S314="Completed",K314*O314,0)</x:f>
        <x:v>2080</x:v>
      </x:c>
      <x:c r="Q314" s="9" t="n">
        <x:f>N314-P314</x:f>
        <x:v>1148.1</x:v>
      </x:c>
      <x:c r="R314" s="8" t="str">
        <x:f>IF(LOWER('Raw Data'!N314)="upi","UPI",'Raw Data'!N314)</x:f>
        <x:v>Net Banking</x:v>
      </x:c>
      <x:c r="S314" s="8" t="str">
        <x:v>Completed</x:v>
      </x:c>
      <x:c r="T314" s="8" t="str">
        <x:f>TEXT(B314,"mmm yyyy")</x:f>
        <x:v>Jan 2025</x:v>
      </x:c>
      <x:c r="U314" s="8" t="n">
        <x:f>YEAR(B314)</x:f>
        <x:v>2025</x:v>
      </x:c>
    </x:row>
    <x:row r="315">
      <x:c r="A315" s="8" t="str">
        <x:v>ORD-0311</x:v>
      </x:c>
      <x:c r="B315" s="22" t="n">
        <x:v>45807.01484768518</x:v>
      </x:c>
      <x:c r="C315" s="8" t="str">
        <x:v>CUS-011</x:v>
      </x:c>
      <x:c r="D315" s="8" t="str">
        <x:f>IFERROR(INDEX('Lookup Tables'!$B$5:$B$84,MATCH(C315,'Lookup Tables'!$A$5:$A$84,0)),"Unknown Customer")</x:f>
        <x:v>Aditya Joshi</x:v>
      </x:c>
      <x:c r="E315" s="8" t="str">
        <x:f>IFERROR(INDEX('Lookup Tables'!$C$5:$C$84,MATCH(C315,'Lookup Tables'!$A$5:$A$84,0)),"Unknown")</x:f>
        <x:v>Corporate</x:v>
      </x:c>
      <x:c r="F315" s="8" t="str">
        <x:v>Jaipur</x:v>
      </x:c>
      <x:c r="G315" s="8" t="str">
        <x:f>IFERROR(INDEX('Lookup Tables'!$N$5:$N$14,MATCH(F315,'Lookup Tables'!$M$5:$M$14,0)),"Unknown")</x:f>
        <x:v>North</x:v>
      </x:c>
      <x:c r="H315" s="8" t="str">
        <x:v>PRD-007</x:v>
      </x:c>
      <x:c r="I315" s="8" t="str">
        <x:f>IFERROR(INDEX('Lookup Tables'!$G$5:$G$16,MATCH(H315,'Lookup Tables'!$F$5:$F$16,0)),"Unknown Product")</x:f>
        <x:v>Electric Kettle</x:v>
      </x:c>
      <x:c r="J315" s="8" t="str">
        <x:f>IFERROR(INDEX('Lookup Tables'!$H$5:$H$16,MATCH(H315,'Lookup Tables'!$F$5:$F$16,0)),"Unknown")</x:f>
        <x:v>Home &amp; Kitchen</x:v>
      </x:c>
      <x:c r="K315" s="8" t="n">
        <x:v>3</x:v>
      </x:c>
      <x:c r="L315" s="9" t="n">
        <x:f>IFERROR(INDEX('Lookup Tables'!$I$5:$I$16,MATCH(H315,'Lookup Tables'!$F$5:$F$16,0)),0)</x:f>
        <x:v>1699</x:v>
      </x:c>
      <x:c r="M315" s="23" t="n">
        <x:f>IF('Raw Data'!M315="",0,'Raw Data'!M315)</x:f>
        <x:v>0.15</x:v>
      </x:c>
      <x:c r="N315" s="9" t="n">
        <x:f>IF(S315="Completed",K315*L315*(1-M315),0)</x:f>
        <x:v>0</x:v>
      </x:c>
      <x:c r="O315" s="9" t="n">
        <x:f>IFERROR(INDEX('Lookup Tables'!$J$5:$J$16,MATCH(H315,'Lookup Tables'!$F$5:$F$16,0)),0)</x:f>
        <x:v>1040</x:v>
      </x:c>
      <x:c r="P315" s="9" t="n">
        <x:f>IF(S315="Completed",K315*O315,0)</x:f>
        <x:v>0</x:v>
      </x:c>
      <x:c r="Q315" s="9" t="n">
        <x:f>N315-P315</x:f>
        <x:v>0</x:v>
      </x:c>
      <x:c r="R315" s="8" t="str">
        <x:f>IF(LOWER('Raw Data'!N315)="upi","UPI",'Raw Data'!N315)</x:f>
        <x:v>UPI</x:v>
      </x:c>
      <x:c r="S315" s="8" t="str">
        <x:v>Cancelled</x:v>
      </x:c>
      <x:c r="T315" s="8" t="str">
        <x:f>TEXT(B315,"mmm yyyy")</x:f>
        <x:v>May 2025</x:v>
      </x:c>
      <x:c r="U315" s="8" t="n">
        <x:f>YEAR(B315)</x:f>
        <x:v>2025</x:v>
      </x:c>
    </x:row>
    <x:row r="316">
      <x:c r="A316" s="8" t="str">
        <x:v>ORD-0312</x:v>
      </x:c>
      <x:c r="B316" s="22" t="n">
        <x:v>45985.295174039355</x:v>
      </x:c>
      <x:c r="C316" s="8" t="str">
        <x:v>CUS-036</x:v>
      </x:c>
      <x:c r="D316" s="8" t="str">
        <x:f>IFERROR(INDEX('Lookup Tables'!$B$5:$B$84,MATCH(C316,'Lookup Tables'!$A$5:$A$84,0)),"Unknown Customer")</x:f>
        <x:v>Pooja Saxena 2</x:v>
      </x:c>
      <x:c r="E316" s="8" t="str">
        <x:f>IFERROR(INDEX('Lookup Tables'!$C$5:$C$84,MATCH(C316,'Lookup Tables'!$A$5:$A$84,0)),"Unknown")</x:f>
        <x:v>Small Business</x:v>
      </x:c>
      <x:c r="F316" s="8" t="str">
        <x:v>Jaipur</x:v>
      </x:c>
      <x:c r="G316" s="8" t="str">
        <x:f>IFERROR(INDEX('Lookup Tables'!$N$5:$N$14,MATCH(F316,'Lookup Tables'!$M$5:$M$14,0)),"Unknown")</x:f>
        <x:v>North</x:v>
      </x:c>
      <x:c r="H316" s="8" t="str">
        <x:v>PRD-002</x:v>
      </x:c>
      <x:c r="I316" s="8" t="str">
        <x:f>IFERROR(INDEX('Lookup Tables'!$G$5:$G$16,MATCH(H316,'Lookup Tables'!$F$5:$F$16,0)),"Unknown Product")</x:f>
        <x:v>Bluetooth Headphones</x:v>
      </x:c>
      <x:c r="J316" s="8" t="str">
        <x:f>IFERROR(INDEX('Lookup Tables'!$H$5:$H$16,MATCH(H316,'Lookup Tables'!$F$5:$F$16,0)),"Unknown")</x:f>
        <x:v>Electronics</x:v>
      </x:c>
      <x:c r="K316" s="8" t="n">
        <x:v>2</x:v>
      </x:c>
      <x:c r="L316" s="9" t="n">
        <x:f>IFERROR(INDEX('Lookup Tables'!$I$5:$I$16,MATCH(H316,'Lookup Tables'!$F$5:$F$16,0)),0)</x:f>
        <x:v>2499</x:v>
      </x:c>
      <x:c r="M316" s="23" t="n">
        <x:f>IF('Raw Data'!M316="",0,'Raw Data'!M316)</x:f>
        <x:v>0</x:v>
      </x:c>
      <x:c r="N316" s="9" t="n">
        <x:f>IF(S316="Completed",K316*L316*(1-M316),0)</x:f>
        <x:v>4998</x:v>
      </x:c>
      <x:c r="O316" s="9" t="n">
        <x:f>IFERROR(INDEX('Lookup Tables'!$J$5:$J$16,MATCH(H316,'Lookup Tables'!$F$5:$F$16,0)),0)</x:f>
        <x:v>1620</x:v>
      </x:c>
      <x:c r="P316" s="9" t="n">
        <x:f>IF(S316="Completed",K316*O316,0)</x:f>
        <x:v>3240</x:v>
      </x:c>
      <x:c r="Q316" s="9" t="n">
        <x:f>N316-P316</x:f>
        <x:v>1758</x:v>
      </x:c>
      <x:c r="R316" s="8" t="str">
        <x:f>IF(LOWER('Raw Data'!N316)="upi","UPI",'Raw Data'!N316)</x:f>
        <x:v>Debit Card</x:v>
      </x:c>
      <x:c r="S316" s="8" t="str">
        <x:v>Completed</x:v>
      </x:c>
      <x:c r="T316" s="8" t="str">
        <x:f>TEXT(B316,"mmm yyyy")</x:f>
        <x:v>Nov 2025</x:v>
      </x:c>
      <x:c r="U316" s="8" t="n">
        <x:f>YEAR(B316)</x:f>
        <x:v>2025</x:v>
      </x:c>
    </x:row>
    <x:row r="317">
      <x:c r="A317" s="8" t="str">
        <x:v>ORD-0313</x:v>
      </x:c>
      <x:c r="B317" s="22" t="n">
        <x:v>45677.05053728009</x:v>
      </x:c>
      <x:c r="C317" s="8" t="str">
        <x:v>CUS-041</x:v>
      </x:c>
      <x:c r="D317" s="8" t="str">
        <x:f>IFERROR(INDEX('Lookup Tables'!$B$5:$B$84,MATCH(C317,'Lookup Tables'!$A$5:$A$84,0)),"Unknown Customer")</x:f>
        <x:v>Aarav Sharma 3</x:v>
      </x:c>
      <x:c r="E317" s="8" t="str">
        <x:f>IFERROR(INDEX('Lookup Tables'!$C$5:$C$84,MATCH(C317,'Lookup Tables'!$A$5:$A$84,0)),"Unknown")</x:f>
        <x:v>Corporate</x:v>
      </x:c>
      <x:c r="F317" s="8" t="str">
        <x:v>Chennai</x:v>
      </x:c>
      <x:c r="G317" s="8" t="str">
        <x:f>IFERROR(INDEX('Lookup Tables'!$N$5:$N$14,MATCH(F317,'Lookup Tables'!$M$5:$M$14,0)),"Unknown")</x:f>
        <x:v>South</x:v>
      </x:c>
      <x:c r="H317" s="8" t="str">
        <x:v>PRD-003</x:v>
      </x:c>
      <x:c r="I317" s="8" t="str">
        <x:f>IFERROR(INDEX('Lookup Tables'!$G$5:$G$16,MATCH(H317,'Lookup Tables'!$F$5:$F$16,0)),"Unknown Product")</x:f>
        <x:v>USB-C Hub</x:v>
      </x:c>
      <x:c r="J317" s="8" t="str">
        <x:f>IFERROR(INDEX('Lookup Tables'!$H$5:$H$16,MATCH(H317,'Lookup Tables'!$F$5:$F$16,0)),"Unknown")</x:f>
        <x:v>Electronics</x:v>
      </x:c>
      <x:c r="K317" s="8" t="n">
        <x:v>2</x:v>
      </x:c>
      <x:c r="L317" s="9" t="n">
        <x:f>IFERROR(INDEX('Lookup Tables'!$I$5:$I$16,MATCH(H317,'Lookup Tables'!$F$5:$F$16,0)),0)</x:f>
        <x:v>1899</x:v>
      </x:c>
      <x:c r="M317" s="23" t="n">
        <x:f>IF('Raw Data'!M317="",0,'Raw Data'!M317)</x:f>
        <x:v>0.05</x:v>
      </x:c>
      <x:c r="N317" s="9" t="n">
        <x:f>IF(S317="Completed",K317*L317*(1-M317),0)</x:f>
        <x:v>0</x:v>
      </x:c>
      <x:c r="O317" s="9" t="n">
        <x:f>IFERROR(INDEX('Lookup Tables'!$J$5:$J$16,MATCH(H317,'Lookup Tables'!$F$5:$F$16,0)),0)</x:f>
        <x:v>1180</x:v>
      </x:c>
      <x:c r="P317" s="9" t="n">
        <x:f>IF(S317="Completed",K317*O317,0)</x:f>
        <x:v>0</x:v>
      </x:c>
      <x:c r="Q317" s="9" t="n">
        <x:f>N317-P317</x:f>
        <x:v>0</x:v>
      </x:c>
      <x:c r="R317" s="8" t="str">
        <x:f>IF(LOWER('Raw Data'!N317)="upi","UPI",'Raw Data'!N317)</x:f>
        <x:v>UPI</x:v>
      </x:c>
      <x:c r="S317" s="8" t="str">
        <x:v>Cancelled</x:v>
      </x:c>
      <x:c r="T317" s="8" t="str">
        <x:f>TEXT(B317,"mmm yyyy")</x:f>
        <x:v>Jan 2025</x:v>
      </x:c>
      <x:c r="U317" s="8" t="n">
        <x:f>YEAR(B317)</x:f>
        <x:v>2025</x:v>
      </x:c>
    </x:row>
    <x:row r="318">
      <x:c r="A318" s="8" t="str">
        <x:v>ORD-0314</x:v>
      </x:c>
      <x:c r="B318" s="22" t="n">
        <x:v>45958.35999577546</x:v>
      </x:c>
      <x:c r="C318" s="8" t="str">
        <x:v>CUS-043</x:v>
      </x:c>
      <x:c r="D318" s="8" t="str">
        <x:f>IFERROR(INDEX('Lookup Tables'!$B$5:$B$84,MATCH(C318,'Lookup Tables'!$A$5:$A$84,0)),"Unknown Customer")</x:f>
        <x:v>Vihaan Singh 3</x:v>
      </x:c>
      <x:c r="E318" s="8" t="str">
        <x:f>IFERROR(INDEX('Lookup Tables'!$C$5:$C$84,MATCH(C318,'Lookup Tables'!$A$5:$A$84,0)),"Unknown")</x:f>
        <x:v>Consumer</x:v>
      </x:c>
      <x:c r="F318" s="8" t="str">
        <x:v>Delhi</x:v>
      </x:c>
      <x:c r="G318" s="8" t="str">
        <x:f>IFERROR(INDEX('Lookup Tables'!$N$5:$N$14,MATCH(F318,'Lookup Tables'!$M$5:$M$14,0)),"Unknown")</x:f>
        <x:v>North</x:v>
      </x:c>
      <x:c r="H318" s="8" t="str">
        <x:v>PRD-012</x:v>
      </x:c>
      <x:c r="I318" s="8" t="str">
        <x:f>IFERROR(INDEX('Lookup Tables'!$G$5:$G$16,MATCH(H318,'Lookup Tables'!$F$5:$F$16,0)),"Unknown Product")</x:f>
        <x:v>Stainless Water Bottle</x:v>
      </x:c>
      <x:c r="J318" s="8" t="str">
        <x:f>IFERROR(INDEX('Lookup Tables'!$H$5:$H$16,MATCH(H318,'Lookup Tables'!$F$5:$F$16,0)),"Unknown")</x:f>
        <x:v>Lifestyle</x:v>
      </x:c>
      <x:c r="K318" s="8" t="n">
        <x:v>4</x:v>
      </x:c>
      <x:c r="L318" s="9" t="n">
        <x:f>IFERROR(INDEX('Lookup Tables'!$I$5:$I$16,MATCH(H318,'Lookup Tables'!$F$5:$F$16,0)),0)</x:f>
        <x:v>799</x:v>
      </x:c>
      <x:c r="M318" s="23" t="n">
        <x:f>IF('Raw Data'!M318="",0,'Raw Data'!M318)</x:f>
        <x:v>0</x:v>
      </x:c>
      <x:c r="N318" s="9" t="n">
        <x:f>IF(S318="Completed",K318*L318*(1-M318),0)</x:f>
        <x:v>3196</x:v>
      </x:c>
      <x:c r="O318" s="9" t="n">
        <x:f>IFERROR(INDEX('Lookup Tables'!$J$5:$J$16,MATCH(H318,'Lookup Tables'!$F$5:$F$16,0)),0)</x:f>
        <x:v>410</x:v>
      </x:c>
      <x:c r="P318" s="9" t="n">
        <x:f>IF(S318="Completed",K318*O318,0)</x:f>
        <x:v>1640</x:v>
      </x:c>
      <x:c r="Q318" s="9" t="n">
        <x:f>N318-P318</x:f>
        <x:v>1556</x:v>
      </x:c>
      <x:c r="R318" s="8" t="str">
        <x:f>IF(LOWER('Raw Data'!N318)="upi","UPI",'Raw Data'!N318)</x:f>
        <x:v>Cash on Delivery</x:v>
      </x:c>
      <x:c r="S318" s="8" t="str">
        <x:v>Completed</x:v>
      </x:c>
      <x:c r="T318" s="8" t="str">
        <x:f>TEXT(B318,"mmm yyyy")</x:f>
        <x:v>Oct 2025</x:v>
      </x:c>
      <x:c r="U318" s="8" t="n">
        <x:f>YEAR(B318)</x:f>
        <x:v>2025</x:v>
      </x:c>
    </x:row>
    <x:row r="319">
      <x:c r="A319" s="8" t="str">
        <x:v>ORD-0315</x:v>
      </x:c>
      <x:c r="B319" s="22" t="n">
        <x:v>46005.14743993056</x:v>
      </x:c>
      <x:c r="C319" s="8" t="str">
        <x:v>CUS-033</x:v>
      </x:c>
      <x:c r="D319" s="8" t="str">
        <x:f>IFERROR(INDEX('Lookup Tables'!$B$5:$B$84,MATCH(C319,'Lookup Tables'!$A$5:$A$84,0)),"Unknown Customer")</x:f>
        <x:v>Rahul Mishra 2</x:v>
      </x:c>
      <x:c r="E319" s="8" t="str">
        <x:f>IFERROR(INDEX('Lookup Tables'!$C$5:$C$84,MATCH(C319,'Lookup Tables'!$A$5:$A$84,0)),"Unknown")</x:f>
        <x:v>Small Business</x:v>
      </x:c>
      <x:c r="F319" s="8" t="str">
        <x:v>Hyderabad</x:v>
      </x:c>
      <x:c r="G319" s="8" t="str">
        <x:f>IFERROR(INDEX('Lookup Tables'!$N$5:$N$14,MATCH(F319,'Lookup Tables'!$M$5:$M$14,0)),"Unknown")</x:f>
        <x:v>South</x:v>
      </x:c>
      <x:c r="H319" s="8" t="str">
        <x:v>PRD-005</x:v>
      </x:c>
      <x:c r="I319" s="8" t="str">
        <x:f>IFERROR(INDEX('Lookup Tables'!$G$5:$G$16,MATCH(H319,'Lookup Tables'!$F$5:$F$16,0)),"Unknown Product")</x:f>
        <x:v>Executive Notebook</x:v>
      </x:c>
      <x:c r="J319" s="8" t="str">
        <x:f>IFERROR(INDEX('Lookup Tables'!$H$5:$H$16,MATCH(H319,'Lookup Tables'!$F$5:$F$16,0)),"Unknown")</x:f>
        <x:v>Office Supplies</x:v>
      </x:c>
      <x:c r="K319" s="8" t="n">
        <x:v>3</x:v>
      </x:c>
      <x:c r="L319" s="9" t="n">
        <x:f>IFERROR(INDEX('Lookup Tables'!$I$5:$I$16,MATCH(H319,'Lookup Tables'!$F$5:$F$16,0)),0)</x:f>
        <x:v>349</x:v>
      </x:c>
      <x:c r="M319" s="23" t="n">
        <x:f>IF('Raw Data'!M319="",0,'Raw Data'!M319)</x:f>
        <x:v>0.1</x:v>
      </x:c>
      <x:c r="N319" s="9" t="n">
        <x:f>IF(S319="Completed",K319*L319*(1-M319),0)</x:f>
        <x:v>0</x:v>
      </x:c>
      <x:c r="O319" s="9" t="n">
        <x:f>IFERROR(INDEX('Lookup Tables'!$J$5:$J$16,MATCH(H319,'Lookup Tables'!$F$5:$F$16,0)),0)</x:f>
        <x:v>170</x:v>
      </x:c>
      <x:c r="P319" s="9" t="n">
        <x:f>IF(S319="Completed",K319*O319,0)</x:f>
        <x:v>0</x:v>
      </x:c>
      <x:c r="Q319" s="9" t="n">
        <x:f>N319-P319</x:f>
        <x:v>0</x:v>
      </x:c>
      <x:c r="R319" s="8" t="str">
        <x:f>IF(LOWER('Raw Data'!N319)="upi","UPI",'Raw Data'!N319)</x:f>
        <x:v>Net Banking</x:v>
      </x:c>
      <x:c r="S319" s="8" t="str">
        <x:v>Cancelled</x:v>
      </x:c>
      <x:c r="T319" s="8" t="str">
        <x:f>TEXT(B319,"mmm yyyy")</x:f>
        <x:v>Dec 2025</x:v>
      </x:c>
      <x:c r="U319" s="8" t="n">
        <x:f>YEAR(B319)</x:f>
        <x:v>2025</x:v>
      </x:c>
    </x:row>
    <x:row r="320">
      <x:c r="A320" s="8" t="str">
        <x:v>ORD-0316</x:v>
      </x:c>
      <x:c r="B320" s="22" t="n">
        <x:v>45924.42116542824</x:v>
      </x:c>
      <x:c r="C320" s="8" t="str">
        <x:v>CUS-044</x:v>
      </x:c>
      <x:c r="D320" s="8" t="str">
        <x:f>IFERROR(INDEX('Lookup Tables'!$B$5:$B$84,MATCH(C320,'Lookup Tables'!$A$5:$A$84,0)),"Unknown Customer")</x:f>
        <x:v>Ananya Gupta 3</x:v>
      </x:c>
      <x:c r="E320" s="8" t="str">
        <x:f>IFERROR(INDEX('Lookup Tables'!$C$5:$C$84,MATCH(C320,'Lookup Tables'!$A$5:$A$84,0)),"Unknown")</x:f>
        <x:v>Corporate</x:v>
      </x:c>
      <x:c r="F320" s="8" t="str">
        <x:v>Lucknow</x:v>
      </x:c>
      <x:c r="G320" s="8" t="str">
        <x:f>IFERROR(INDEX('Lookup Tables'!$N$5:$N$14,MATCH(F320,'Lookup Tables'!$M$5:$M$14,0)),"Unknown")</x:f>
        <x:v>North</x:v>
      </x:c>
      <x:c r="H320" s="8" t="str">
        <x:v>PRD-006</x:v>
      </x:c>
      <x:c r="I320" s="8" t="str">
        <x:f>IFERROR(INDEX('Lookup Tables'!$G$5:$G$16,MATCH(H320,'Lookup Tables'!$F$5:$F$16,0)),"Unknown Product")</x:f>
        <x:v>Desk Organiser</x:v>
      </x:c>
      <x:c r="J320" s="8" t="str">
        <x:f>IFERROR(INDEX('Lookup Tables'!$H$5:$H$16,MATCH(H320,'Lookup Tables'!$F$5:$F$16,0)),"Unknown")</x:f>
        <x:v>Office Supplies</x:v>
      </x:c>
      <x:c r="K320" s="8" t="n">
        <x:v>3</x:v>
      </x:c>
      <x:c r="L320" s="9" t="n">
        <x:f>IFERROR(INDEX('Lookup Tables'!$I$5:$I$16,MATCH(H320,'Lookup Tables'!$F$5:$F$16,0)),0)</x:f>
        <x:v>699</x:v>
      </x:c>
      <x:c r="M320" s="23" t="n">
        <x:f>IF('Raw Data'!M320="",0,'Raw Data'!M320)</x:f>
        <x:v>0.05</x:v>
      </x:c>
      <x:c r="N320" s="9" t="n">
        <x:f>IF(S320="Completed",K320*L320*(1-M320),0)</x:f>
        <x:v>1992.1499999999999</x:v>
      </x:c>
      <x:c r="O320" s="9" t="n">
        <x:f>IFERROR(INDEX('Lookup Tables'!$J$5:$J$16,MATCH(H320,'Lookup Tables'!$F$5:$F$16,0)),0)</x:f>
        <x:v>390</x:v>
      </x:c>
      <x:c r="P320" s="9" t="n">
        <x:f>IF(S320="Completed",K320*O320,0)</x:f>
        <x:v>1170</x:v>
      </x:c>
      <x:c r="Q320" s="9" t="n">
        <x:f>N320-P320</x:f>
        <x:v>822.1499999999999</x:v>
      </x:c>
      <x:c r="R320" s="8" t="str">
        <x:f>IF(LOWER('Raw Data'!N320)="upi","UPI",'Raw Data'!N320)</x:f>
        <x:v>UPI</x:v>
      </x:c>
      <x:c r="S320" s="8" t="str">
        <x:v>Completed</x:v>
      </x:c>
      <x:c r="T320" s="8" t="str">
        <x:f>TEXT(B320,"mmm yyyy")</x:f>
        <x:v>Sep 2025</x:v>
      </x:c>
      <x:c r="U320" s="8" t="n">
        <x:f>YEAR(B320)</x:f>
        <x:v>2025</x:v>
      </x:c>
    </x:row>
    <x:row r="321">
      <x:c r="A321" s="8" t="str">
        <x:v>ORD-0317</x:v>
      </x:c>
      <x:c r="B321" s="22" t="n">
        <x:v>46008.02094755787</x:v>
      </x:c>
      <x:c r="C321" s="8" t="str">
        <x:v>CUS-031</x:v>
      </x:c>
      <x:c r="D321" s="8" t="str">
        <x:f>IFERROR(INDEX('Lookup Tables'!$B$5:$B$84,MATCH(C321,'Lookup Tables'!$A$5:$A$84,0)),"Unknown Customer")</x:f>
        <x:v>Aditya Joshi 2</x:v>
      </x:c>
      <x:c r="E321" s="8" t="str">
        <x:f>IFERROR(INDEX('Lookup Tables'!$C$5:$C$84,MATCH(C321,'Lookup Tables'!$A$5:$A$84,0)),"Unknown")</x:f>
        <x:v>Consumer</x:v>
      </x:c>
      <x:c r="F321" s="8" t="str">
        <x:v>Kolkata</x:v>
      </x:c>
      <x:c r="G321" s="8" t="str">
        <x:f>IFERROR(INDEX('Lookup Tables'!$N$5:$N$14,MATCH(F321,'Lookup Tables'!$M$5:$M$14,0)),"Unknown")</x:f>
        <x:v>East</x:v>
      </x:c>
      <x:c r="H321" s="8" t="str">
        <x:v>PRD-010</x:v>
      </x:c>
      <x:c r="I321" s="8" t="str">
        <x:f>IFERROR(INDEX('Lookup Tables'!$G$5:$G$16,MATCH(H321,'Lookup Tables'!$F$5:$F$16,0)),"Unknown Product")</x:f>
        <x:v>Travel Backpack</x:v>
      </x:c>
      <x:c r="J321" s="8" t="str">
        <x:f>IFERROR(INDEX('Lookup Tables'!$H$5:$H$16,MATCH(H321,'Lookup Tables'!$F$5:$F$16,0)),"Unknown")</x:f>
        <x:v>Fashion</x:v>
      </x:c>
      <x:c r="K321" s="8" t="n">
        <x:v>3</x:v>
      </x:c>
      <x:c r="L321" s="9" t="n">
        <x:f>IFERROR(INDEX('Lookup Tables'!$I$5:$I$16,MATCH(H321,'Lookup Tables'!$F$5:$F$16,0)),0)</x:f>
        <x:v>2199</x:v>
      </x:c>
      <x:c r="M321" s="23" t="n">
        <x:f>IF('Raw Data'!M321="",0,'Raw Data'!M321)</x:f>
        <x:v>0.15</x:v>
      </x:c>
      <x:c r="N321" s="9" t="n">
        <x:f>IF(S321="Completed",K321*L321*(1-M321),0)</x:f>
        <x:v>0</x:v>
      </x:c>
      <x:c r="O321" s="9" t="n">
        <x:f>IFERROR(INDEX('Lookup Tables'!$J$5:$J$16,MATCH(H321,'Lookup Tables'!$F$5:$F$16,0)),0)</x:f>
        <x:v>1380</x:v>
      </x:c>
      <x:c r="P321" s="9" t="n">
        <x:f>IF(S321="Completed",K321*O321,0)</x:f>
        <x:v>0</x:v>
      </x:c>
      <x:c r="Q321" s="9" t="n">
        <x:f>N321-P321</x:f>
        <x:v>0</x:v>
      </x:c>
      <x:c r="R321" s="8" t="str">
        <x:f>IF(LOWER('Raw Data'!N321)="upi","UPI",'Raw Data'!N321)</x:f>
        <x:v>Cash on Delivery</x:v>
      </x:c>
      <x:c r="S321" s="8" t="str">
        <x:v>Returned</x:v>
      </x:c>
      <x:c r="T321" s="8" t="str">
        <x:f>TEXT(B321,"mmm yyyy")</x:f>
        <x:v>Dec 2025</x:v>
      </x:c>
      <x:c r="U321" s="8" t="n">
        <x:f>YEAR(B321)</x:f>
        <x:v>2025</x:v>
      </x:c>
    </x:row>
    <x:row r="322">
      <x:c r="A322" s="8" t="str">
        <x:v>ORD-0318</x:v>
      </x:c>
      <x:c r="B322" s="22" t="n">
        <x:v>45687.01558640046</x:v>
      </x:c>
      <x:c r="C322" s="8" t="str">
        <x:v>CUS-043</x:v>
      </x:c>
      <x:c r="D322" s="8" t="str">
        <x:f>IFERROR(INDEX('Lookup Tables'!$B$5:$B$84,MATCH(C322,'Lookup Tables'!$A$5:$A$84,0)),"Unknown Customer")</x:f>
        <x:v>Vihaan Singh 3</x:v>
      </x:c>
      <x:c r="E322" s="8" t="str">
        <x:f>IFERROR(INDEX('Lookup Tables'!$C$5:$C$84,MATCH(C322,'Lookup Tables'!$A$5:$A$84,0)),"Unknown")</x:f>
        <x:v>Consumer</x:v>
      </x:c>
      <x:c r="F322" s="8" t="str">
        <x:v>Kolkata</x:v>
      </x:c>
      <x:c r="G322" s="8" t="str">
        <x:f>IFERROR(INDEX('Lookup Tables'!$N$5:$N$14,MATCH(F322,'Lookup Tables'!$M$5:$M$14,0)),"Unknown")</x:f>
        <x:v>East</x:v>
      </x:c>
      <x:c r="H322" s="8" t="str">
        <x:v>PRD-012</x:v>
      </x:c>
      <x:c r="I322" s="8" t="str">
        <x:f>IFERROR(INDEX('Lookup Tables'!$G$5:$G$16,MATCH(H322,'Lookup Tables'!$F$5:$F$16,0)),"Unknown Product")</x:f>
        <x:v>Stainless Water Bottle</x:v>
      </x:c>
      <x:c r="J322" s="8" t="str">
        <x:f>IFERROR(INDEX('Lookup Tables'!$H$5:$H$16,MATCH(H322,'Lookup Tables'!$F$5:$F$16,0)),"Unknown")</x:f>
        <x:v>Lifestyle</x:v>
      </x:c>
      <x:c r="K322" s="8" t="n">
        <x:v>1</x:v>
      </x:c>
      <x:c r="L322" s="9" t="n">
        <x:f>IFERROR(INDEX('Lookup Tables'!$I$5:$I$16,MATCH(H322,'Lookup Tables'!$F$5:$F$16,0)),0)</x:f>
        <x:v>799</x:v>
      </x:c>
      <x:c r="M322" s="23" t="n">
        <x:f>IF('Raw Data'!M322="",0,'Raw Data'!M322)</x:f>
        <x:v>0.05</x:v>
      </x:c>
      <x:c r="N322" s="9" t="n">
        <x:f>IF(S322="Completed",K322*L322*(1-M322),0)</x:f>
        <x:v>759.05</x:v>
      </x:c>
      <x:c r="O322" s="9" t="n">
        <x:f>IFERROR(INDEX('Lookup Tables'!$J$5:$J$16,MATCH(H322,'Lookup Tables'!$F$5:$F$16,0)),0)</x:f>
        <x:v>410</x:v>
      </x:c>
      <x:c r="P322" s="9" t="n">
        <x:f>IF(S322="Completed",K322*O322,0)</x:f>
        <x:v>410</x:v>
      </x:c>
      <x:c r="Q322" s="9" t="n">
        <x:f>N322-P322</x:f>
        <x:v>349.04999999999995</x:v>
      </x:c>
      <x:c r="R322" s="8" t="str">
        <x:f>IF(LOWER('Raw Data'!N322)="upi","UPI",'Raw Data'!N322)</x:f>
        <x:v>Debit Card</x:v>
      </x:c>
      <x:c r="S322" s="8" t="str">
        <x:v>Completed</x:v>
      </x:c>
      <x:c r="T322" s="8" t="str">
        <x:f>TEXT(B322,"mmm yyyy")</x:f>
        <x:v>Jan 2025</x:v>
      </x:c>
      <x:c r="U322" s="8" t="n">
        <x:f>YEAR(B322)</x:f>
        <x:v>2025</x:v>
      </x:c>
    </x:row>
    <x:row r="323">
      <x:c r="A323" s="8" t="str">
        <x:v>ORD-0319</x:v>
      </x:c>
      <x:c r="B323" s="22" t="n">
        <x:v>45847.70514574074</x:v>
      </x:c>
      <x:c r="C323" s="8" t="str">
        <x:v>CUS-038</x:v>
      </x:c>
      <x:c r="D323" s="8" t="str">
        <x:f>IFERROR(INDEX('Lookup Tables'!$B$5:$B$84,MATCH(C323,'Lookup Tables'!$A$5:$A$84,0)),"Unknown Customer")</x:f>
        <x:v>Nisha Bansal 2</x:v>
      </x:c>
      <x:c r="E323" s="8" t="str">
        <x:f>IFERROR(INDEX('Lookup Tables'!$C$5:$C$84,MATCH(C323,'Lookup Tables'!$A$5:$A$84,0)),"Unknown")</x:f>
        <x:v>Corporate</x:v>
      </x:c>
      <x:c r="F323" s="8" t="str">
        <x:v>Delhi</x:v>
      </x:c>
      <x:c r="G323" s="8" t="str">
        <x:f>IFERROR(INDEX('Lookup Tables'!$N$5:$N$14,MATCH(F323,'Lookup Tables'!$M$5:$M$14,0)),"Unknown")</x:f>
        <x:v>North</x:v>
      </x:c>
      <x:c r="H323" s="8" t="str">
        <x:v>PRD-008</x:v>
      </x:c>
      <x:c r="I323" s="8" t="str">
        <x:f>IFERROR(INDEX('Lookup Tables'!$G$5:$G$16,MATCH(H323,'Lookup Tables'!$F$5:$F$16,0)),"Unknown Product")</x:f>
        <x:v>Storage Container Set</x:v>
      </x:c>
      <x:c r="J323" s="8" t="str">
        <x:f>IFERROR(INDEX('Lookup Tables'!$H$5:$H$16,MATCH(H323,'Lookup Tables'!$F$5:$F$16,0)),"Unknown")</x:f>
        <x:v>Home &amp; Kitchen</x:v>
      </x:c>
      <x:c r="K323" s="8" t="n">
        <x:v>1</x:v>
      </x:c>
      <x:c r="L323" s="9" t="n">
        <x:f>IFERROR(INDEX('Lookup Tables'!$I$5:$I$16,MATCH(H323,'Lookup Tables'!$F$5:$F$16,0)),0)</x:f>
        <x:v>999</x:v>
      </x:c>
      <x:c r="M323" s="23" t="n">
        <x:f>IF('Raw Data'!M323="",0,'Raw Data'!M323)</x:f>
        <x:v>0.2</x:v>
      </x:c>
      <x:c r="N323" s="9" t="n">
        <x:f>IF(S323="Completed",K323*L323*(1-M323),0)</x:f>
        <x:v>0</x:v>
      </x:c>
      <x:c r="O323" s="9" t="n">
        <x:f>IFERROR(INDEX('Lookup Tables'!$J$5:$J$16,MATCH(H323,'Lookup Tables'!$F$5:$F$16,0)),0)</x:f>
        <x:v>580</x:v>
      </x:c>
      <x:c r="P323" s="9" t="n">
        <x:f>IF(S323="Completed",K323*O323,0)</x:f>
        <x:v>0</x:v>
      </x:c>
      <x:c r="Q323" s="9" t="n">
        <x:f>N323-P323</x:f>
        <x:v>0</x:v>
      </x:c>
      <x:c r="R323" s="8" t="str">
        <x:f>IF(LOWER('Raw Data'!N323)="upi","UPI",'Raw Data'!N323)</x:f>
        <x:v>UPI</x:v>
      </x:c>
      <x:c r="S323" s="8" t="str">
        <x:v>Returned</x:v>
      </x:c>
      <x:c r="T323" s="8" t="str">
        <x:f>TEXT(B323,"mmm yyyy")</x:f>
        <x:v>Jul 2025</x:v>
      </x:c>
      <x:c r="U323" s="8" t="n">
        <x:f>YEAR(B323)</x:f>
        <x:v>2025</x:v>
      </x:c>
    </x:row>
    <x:row r="324">
      <x:c r="A324" s="8" t="str">
        <x:v>ORD-0320</x:v>
      </x:c>
      <x:c r="B324" s="22" t="n">
        <x:v>45836.78783393519</x:v>
      </x:c>
      <x:c r="C324" s="8" t="str">
        <x:v>CUS-074</x:v>
      </x:c>
      <x:c r="D324" s="8" t="str">
        <x:f>IFERROR(INDEX('Lookup Tables'!$B$5:$B$84,MATCH(C324,'Lookup Tables'!$A$5:$A$84,0)),"Unknown Customer")</x:f>
        <x:v>Neha Rao 4</x:v>
      </x:c>
      <x:c r="E324" s="8" t="str">
        <x:f>IFERROR(INDEX('Lookup Tables'!$C$5:$C$84,MATCH(C324,'Lookup Tables'!$A$5:$A$84,0)),"Unknown")</x:f>
        <x:v>Corporate</x:v>
      </x:c>
      <x:c r="F324" s="8" t="str">
        <x:v>Kolkata</x:v>
      </x:c>
      <x:c r="G324" s="8" t="str">
        <x:f>IFERROR(INDEX('Lookup Tables'!$N$5:$N$14,MATCH(F324,'Lookup Tables'!$M$5:$M$14,0)),"Unknown")</x:f>
        <x:v>East</x:v>
      </x:c>
      <x:c r="H324" s="8" t="str">
        <x:v>PRD-003</x:v>
      </x:c>
      <x:c r="I324" s="8" t="str">
        <x:f>IFERROR(INDEX('Lookup Tables'!$G$5:$G$16,MATCH(H324,'Lookup Tables'!$F$5:$F$16,0)),"Unknown Product")</x:f>
        <x:v>USB-C Hub</x:v>
      </x:c>
      <x:c r="J324" s="8" t="str">
        <x:f>IFERROR(INDEX('Lookup Tables'!$H$5:$H$16,MATCH(H324,'Lookup Tables'!$F$5:$F$16,0)),"Unknown")</x:f>
        <x:v>Electronics</x:v>
      </x:c>
      <x:c r="K324" s="8" t="n">
        <x:v>1</x:v>
      </x:c>
      <x:c r="L324" s="9" t="n">
        <x:f>IFERROR(INDEX('Lookup Tables'!$I$5:$I$16,MATCH(H324,'Lookup Tables'!$F$5:$F$16,0)),0)</x:f>
        <x:v>1899</x:v>
      </x:c>
      <x:c r="M324" s="23" t="n">
        <x:f>IF('Raw Data'!M324="",0,'Raw Data'!M324)</x:f>
        <x:v>0.05</x:v>
      </x:c>
      <x:c r="N324" s="9" t="n">
        <x:f>IF(S324="Completed",K324*L324*(1-M324),0)</x:f>
        <x:v>1804.05</x:v>
      </x:c>
      <x:c r="O324" s="9" t="n">
        <x:f>IFERROR(INDEX('Lookup Tables'!$J$5:$J$16,MATCH(H324,'Lookup Tables'!$F$5:$F$16,0)),0)</x:f>
        <x:v>1180</x:v>
      </x:c>
      <x:c r="P324" s="9" t="n">
        <x:f>IF(S324="Completed",K324*O324,0)</x:f>
        <x:v>1180</x:v>
      </x:c>
      <x:c r="Q324" s="9" t="n">
        <x:f>N324-P324</x:f>
        <x:v>624.05</x:v>
      </x:c>
      <x:c r="R324" s="8" t="str">
        <x:f>IF(LOWER('Raw Data'!N324)="upi","UPI",'Raw Data'!N324)</x:f>
        <x:v>Credit Card</x:v>
      </x:c>
      <x:c r="S324" s="8" t="str">
        <x:v>Completed</x:v>
      </x:c>
      <x:c r="T324" s="8" t="str">
        <x:f>TEXT(B324,"mmm yyyy")</x:f>
        <x:v>Jun 2025</x:v>
      </x:c>
      <x:c r="U324" s="8" t="n">
        <x:f>YEAR(B324)</x:f>
        <x:v>2025</x:v>
      </x:c>
    </x:row>
    <x:row r="325">
      <x:c r="A325" s="8" t="str">
        <x:v>ORD-0321</x:v>
      </x:c>
      <x:c r="B325" s="22" t="n">
        <x:v>45959.244742511575</x:v>
      </x:c>
      <x:c r="C325" s="8" t="str">
        <x:v>CUS-022</x:v>
      </x:c>
      <x:c r="D325" s="8" t="str">
        <x:f>IFERROR(INDEX('Lookup Tables'!$B$5:$B$84,MATCH(C325,'Lookup Tables'!$A$5:$A$84,0)),"Unknown Customer")</x:f>
        <x:v>Diya Patel 2</x:v>
      </x:c>
      <x:c r="E325" s="8" t="str">
        <x:f>IFERROR(INDEX('Lookup Tables'!$C$5:$C$84,MATCH(C325,'Lookup Tables'!$A$5:$A$84,0)),"Unknown")</x:f>
        <x:v>Consumer</x:v>
      </x:c>
      <x:c r="F325" s="8" t="str">
        <x:v>Kolkata</x:v>
      </x:c>
      <x:c r="G325" s="8" t="str">
        <x:f>IFERROR(INDEX('Lookup Tables'!$N$5:$N$14,MATCH(F325,'Lookup Tables'!$M$5:$M$14,0)),"Unknown")</x:f>
        <x:v>East</x:v>
      </x:c>
      <x:c r="H325" s="8" t="str">
        <x:v>PRD-012</x:v>
      </x:c>
      <x:c r="I325" s="8" t="str">
        <x:f>IFERROR(INDEX('Lookup Tables'!$G$5:$G$16,MATCH(H325,'Lookup Tables'!$F$5:$F$16,0)),"Unknown Product")</x:f>
        <x:v>Stainless Water Bottle</x:v>
      </x:c>
      <x:c r="J325" s="8" t="str">
        <x:f>IFERROR(INDEX('Lookup Tables'!$H$5:$H$16,MATCH(H325,'Lookup Tables'!$F$5:$F$16,0)),"Unknown")</x:f>
        <x:v>Lifestyle</x:v>
      </x:c>
      <x:c r="K325" s="8" t="n">
        <x:v>4</x:v>
      </x:c>
      <x:c r="L325" s="9" t="n">
        <x:f>IFERROR(INDEX('Lookup Tables'!$I$5:$I$16,MATCH(H325,'Lookup Tables'!$F$5:$F$16,0)),0)</x:f>
        <x:v>799</x:v>
      </x:c>
      <x:c r="M325" s="23" t="n">
        <x:f>IF('Raw Data'!M325="",0,'Raw Data'!M325)</x:f>
        <x:v>0.1</x:v>
      </x:c>
      <x:c r="N325" s="9" t="n">
        <x:f>IF(S325="Completed",K325*L325*(1-M325),0)</x:f>
        <x:v>2876.4</x:v>
      </x:c>
      <x:c r="O325" s="9" t="n">
        <x:f>IFERROR(INDEX('Lookup Tables'!$J$5:$J$16,MATCH(H325,'Lookup Tables'!$F$5:$F$16,0)),0)</x:f>
        <x:v>410</x:v>
      </x:c>
      <x:c r="P325" s="9" t="n">
        <x:f>IF(S325="Completed",K325*O325,0)</x:f>
        <x:v>1640</x:v>
      </x:c>
      <x:c r="Q325" s="9" t="n">
        <x:f>N325-P325</x:f>
        <x:v>1236.4</x:v>
      </x:c>
      <x:c r="R325" s="8" t="str">
        <x:f>IF(LOWER('Raw Data'!N325)="upi","UPI",'Raw Data'!N325)</x:f>
        <x:v>Net Banking</x:v>
      </x:c>
      <x:c r="S325" s="8" t="str">
        <x:v>Completed</x:v>
      </x:c>
      <x:c r="T325" s="8" t="str">
        <x:f>TEXT(B325,"mmm yyyy")</x:f>
        <x:v>Oct 2025</x:v>
      </x:c>
      <x:c r="U325" s="8" t="n">
        <x:f>YEAR(B325)</x:f>
        <x:v>2025</x:v>
      </x:c>
    </x:row>
    <x:row r="326">
      <x:c r="A326" s="8" t="str">
        <x:v>ORD-0322</x:v>
      </x:c>
      <x:c r="B326" s="22" t="n">
        <x:v>45964.13739326389</x:v>
      </x:c>
      <x:c r="C326" s="8" t="str">
        <x:v>CUS-064</x:v>
      </x:c>
      <x:c r="D326" s="8" t="str">
        <x:f>IFERROR(INDEX('Lookup Tables'!$B$5:$B$84,MATCH(C326,'Lookup Tables'!$A$5:$A$84,0)),"Unknown Customer")</x:f>
        <x:v>Ananya Gupta 4</x:v>
      </x:c>
      <x:c r="E326" s="8" t="str">
        <x:f>IFERROR(INDEX('Lookup Tables'!$C$5:$C$84,MATCH(C326,'Lookup Tables'!$A$5:$A$84,0)),"Unknown")</x:f>
        <x:v>Consumer</x:v>
      </x:c>
      <x:c r="F326" s="8" t="str">
        <x:v>Mumbai</x:v>
      </x:c>
      <x:c r="G326" s="8" t="str">
        <x:f>IFERROR(INDEX('Lookup Tables'!$N$5:$N$14,MATCH(F326,'Lookup Tables'!$M$5:$M$14,0)),"Unknown")</x:f>
        <x:v>West</x:v>
      </x:c>
      <x:c r="H326" s="8" t="str">
        <x:v>PRD-009</x:v>
      </x:c>
      <x:c r="I326" s="8" t="str">
        <x:f>IFERROR(INDEX('Lookup Tables'!$G$5:$G$16,MATCH(H326,'Lookup Tables'!$F$5:$F$16,0)),"Unknown Product")</x:f>
        <x:v>Table Lamp</x:v>
      </x:c>
      <x:c r="J326" s="8" t="str">
        <x:f>IFERROR(INDEX('Lookup Tables'!$H$5:$H$16,MATCH(H326,'Lookup Tables'!$F$5:$F$16,0)),"Unknown")</x:f>
        <x:v>Home &amp; Kitchen</x:v>
      </x:c>
      <x:c r="K326" s="8" t="n">
        <x:v>2</x:v>
      </x:c>
      <x:c r="L326" s="9" t="n">
        <x:f>IFERROR(INDEX('Lookup Tables'!$I$5:$I$16,MATCH(H326,'Lookup Tables'!$F$5:$F$16,0)),0)</x:f>
        <x:v>1499</x:v>
      </x:c>
      <x:c r="M326" s="23" t="n">
        <x:f>IF('Raw Data'!M326="",0,'Raw Data'!M326)</x:f>
        <x:v>0</x:v>
      </x:c>
      <x:c r="N326" s="9" t="n">
        <x:f>IF(S326="Completed",K326*L326*(1-M326),0)</x:f>
        <x:v>0</x:v>
      </x:c>
      <x:c r="O326" s="9" t="n">
        <x:f>IFERROR(INDEX('Lookup Tables'!$J$5:$J$16,MATCH(H326,'Lookup Tables'!$F$5:$F$16,0)),0)</x:f>
        <x:v>920</x:v>
      </x:c>
      <x:c r="P326" s="9" t="n">
        <x:f>IF(S326="Completed",K326*O326,0)</x:f>
        <x:v>0</x:v>
      </x:c>
      <x:c r="Q326" s="9" t="n">
        <x:f>N326-P326</x:f>
        <x:v>0</x:v>
      </x:c>
      <x:c r="R326" s="8" t="str">
        <x:f>IF(LOWER('Raw Data'!N326)="upi","UPI",'Raw Data'!N326)</x:f>
        <x:v>Credit Card</x:v>
      </x:c>
      <x:c r="S326" s="8" t="str">
        <x:v>Returned</x:v>
      </x:c>
      <x:c r="T326" s="8" t="str">
        <x:f>TEXT(B326,"mmm yyyy")</x:f>
        <x:v>Nov 2025</x:v>
      </x:c>
      <x:c r="U326" s="8" t="n">
        <x:f>YEAR(B326)</x:f>
        <x:v>2025</x:v>
      </x:c>
    </x:row>
    <x:row r="327">
      <x:c r="A327" s="8" t="str">
        <x:v>ORD-0323</x:v>
      </x:c>
      <x:c r="B327" s="22" t="n">
        <x:v>45758.09879506945</x:v>
      </x:c>
      <x:c r="C327" s="8" t="str">
        <x:v>CUS-052</x:v>
      </x:c>
      <x:c r="D327" s="8" t="str">
        <x:f>IFERROR(INDEX('Lookup Tables'!$B$5:$B$84,MATCH(C327,'Lookup Tables'!$A$5:$A$84,0)),"Unknown Customer")</x:f>
        <x:v>Priya Kapoor 3</x:v>
      </x:c>
      <x:c r="E327" s="8" t="str">
        <x:f>IFERROR(INDEX('Lookup Tables'!$C$5:$C$84,MATCH(C327,'Lookup Tables'!$A$5:$A$84,0)),"Unknown")</x:f>
        <x:v>Consumer</x:v>
      </x:c>
      <x:c r="F327" s="8" t="str">
        <x:v>Ahmedabad</x:v>
      </x:c>
      <x:c r="G327" s="8" t="str">
        <x:f>IFERROR(INDEX('Lookup Tables'!$N$5:$N$14,MATCH(F327,'Lookup Tables'!$M$5:$M$14,0)),"Unknown")</x:f>
        <x:v>West</x:v>
      </x:c>
      <x:c r="H327" s="8" t="str">
        <x:v>PRD-001</x:v>
      </x:c>
      <x:c r="I327" s="8" t="str">
        <x:f>IFERROR(INDEX('Lookup Tables'!$G$5:$G$16,MATCH(H327,'Lookup Tables'!$F$5:$F$16,0)),"Unknown Product")</x:f>
        <x:v>Wireless Mouse</x:v>
      </x:c>
      <x:c r="J327" s="8" t="str">
        <x:f>IFERROR(INDEX('Lookup Tables'!$H$5:$H$16,MATCH(H327,'Lookup Tables'!$F$5:$F$16,0)),"Unknown")</x:f>
        <x:v>Electronics</x:v>
      </x:c>
      <x:c r="K327" s="8" t="n">
        <x:v>4</x:v>
      </x:c>
      <x:c r="L327" s="9" t="n">
        <x:f>IFERROR(INDEX('Lookup Tables'!$I$5:$I$16,MATCH(H327,'Lookup Tables'!$F$5:$F$16,0)),0)</x:f>
        <x:v>899</x:v>
      </x:c>
      <x:c r="M327" s="23" t="n">
        <x:f>IF('Raw Data'!M327="",0,'Raw Data'!M327)</x:f>
        <x:v>0</x:v>
      </x:c>
      <x:c r="N327" s="9" t="n">
        <x:f>IF(S327="Completed",K327*L327*(1-M327),0)</x:f>
        <x:v>0</x:v>
      </x:c>
      <x:c r="O327" s="9" t="n">
        <x:f>IFERROR(INDEX('Lookup Tables'!$J$5:$J$16,MATCH(H327,'Lookup Tables'!$F$5:$F$16,0)),0)</x:f>
        <x:v>540</x:v>
      </x:c>
      <x:c r="P327" s="9" t="n">
        <x:f>IF(S327="Completed",K327*O327,0)</x:f>
        <x:v>0</x:v>
      </x:c>
      <x:c r="Q327" s="9" t="n">
        <x:f>N327-P327</x:f>
        <x:v>0</x:v>
      </x:c>
      <x:c r="R327" s="8" t="str">
        <x:f>IF(LOWER('Raw Data'!N327)="upi","UPI",'Raw Data'!N327)</x:f>
        <x:v>UPI</x:v>
      </x:c>
      <x:c r="S327" s="8" t="str">
        <x:v>Cancelled</x:v>
      </x:c>
      <x:c r="T327" s="8" t="str">
        <x:f>TEXT(B327,"mmm yyyy")</x:f>
        <x:v>Apr 2025</x:v>
      </x:c>
      <x:c r="U327" s="8" t="n">
        <x:f>YEAR(B327)</x:f>
        <x:v>2025</x:v>
      </x:c>
    </x:row>
    <x:row r="328">
      <x:c r="A328" s="8" t="str">
        <x:v>ORD-0324</x:v>
      </x:c>
      <x:c r="B328" s="22" t="n">
        <x:v>45686.719316875</x:v>
      </x:c>
      <x:c r="C328" s="8" t="str">
        <x:v>CUS-022</x:v>
      </x:c>
      <x:c r="D328" s="8" t="str">
        <x:f>IFERROR(INDEX('Lookup Tables'!$B$5:$B$84,MATCH(C328,'Lookup Tables'!$A$5:$A$84,0)),"Unknown Customer")</x:f>
        <x:v>Diya Patel 2</x:v>
      </x:c>
      <x:c r="E328" s="8" t="str">
        <x:f>IFERROR(INDEX('Lookup Tables'!$C$5:$C$84,MATCH(C328,'Lookup Tables'!$A$5:$A$84,0)),"Unknown")</x:f>
        <x:v>Consumer</x:v>
      </x:c>
      <x:c r="F328" s="8" t="str">
        <x:v>Bengaluru</x:v>
      </x:c>
      <x:c r="G328" s="8" t="str">
        <x:f>IFERROR(INDEX('Lookup Tables'!$N$5:$N$14,MATCH(F328,'Lookup Tables'!$M$5:$M$14,0)),"Unknown")</x:f>
        <x:v>South</x:v>
      </x:c>
      <x:c r="H328" s="8" t="str">
        <x:v>PRD-011</x:v>
      </x:c>
      <x:c r="I328" s="8" t="str">
        <x:f>IFERROR(INDEX('Lookup Tables'!$G$5:$G$16,MATCH(H328,'Lookup Tables'!$F$5:$F$16,0)),"Unknown Product")</x:f>
        <x:v>Classic Wallet</x:v>
      </x:c>
      <x:c r="J328" s="8" t="str">
        <x:f>IFERROR(INDEX('Lookup Tables'!$H$5:$H$16,MATCH(H328,'Lookup Tables'!$F$5:$F$16,0)),"Unknown")</x:f>
        <x:v>Fashion</x:v>
      </x:c>
      <x:c r="K328" s="8" t="n">
        <x:v>5</x:v>
      </x:c>
      <x:c r="L328" s="9" t="n">
        <x:f>IFERROR(INDEX('Lookup Tables'!$I$5:$I$16,MATCH(H328,'Lookup Tables'!$F$5:$F$16,0)),0)</x:f>
        <x:v>1199</x:v>
      </x:c>
      <x:c r="M328" s="23" t="n">
        <x:f>IF('Raw Data'!M328="",0,'Raw Data'!M328)</x:f>
        <x:v>0</x:v>
      </x:c>
      <x:c r="N328" s="9" t="n">
        <x:f>IF(S328="Completed",K328*L328*(1-M328),0)</x:f>
        <x:v>5995</x:v>
      </x:c>
      <x:c r="O328" s="9" t="n">
        <x:f>IFERROR(INDEX('Lookup Tables'!$J$5:$J$16,MATCH(H328,'Lookup Tables'!$F$5:$F$16,0)),0)</x:f>
        <x:v>690</x:v>
      </x:c>
      <x:c r="P328" s="9" t="n">
        <x:f>IF(S328="Completed",K328*O328,0)</x:f>
        <x:v>3450</x:v>
      </x:c>
      <x:c r="Q328" s="9" t="n">
        <x:f>N328-P328</x:f>
        <x:v>2545</x:v>
      </x:c>
      <x:c r="R328" s="8" t="str">
        <x:f>IF(LOWER('Raw Data'!N328)="upi","UPI",'Raw Data'!N328)</x:f>
        <x:v>Net Banking</x:v>
      </x:c>
      <x:c r="S328" s="8" t="str">
        <x:v>Completed</x:v>
      </x:c>
      <x:c r="T328" s="8" t="str">
        <x:f>TEXT(B328,"mmm yyyy")</x:f>
        <x:v>Jan 2025</x:v>
      </x:c>
      <x:c r="U328" s="8" t="n">
        <x:f>YEAR(B328)</x:f>
        <x:v>2025</x:v>
      </x:c>
    </x:row>
    <x:row r="329">
      <x:c r="A329" s="8" t="str">
        <x:v>ORD-0325</x:v>
      </x:c>
      <x:c r="B329" s="22" t="n">
        <x:v>45788.79004920139</x:v>
      </x:c>
      <x:c r="C329" s="8" t="str">
        <x:v>CUS-066</x:v>
      </x:c>
      <x:c r="D329" s="8" t="str">
        <x:f>IFERROR(INDEX('Lookup Tables'!$B$5:$B$84,MATCH(C329,'Lookup Tables'!$A$5:$A$84,0)),"Unknown Customer")</x:f>
        <x:v>Isha Mehta 4</x:v>
      </x:c>
      <x:c r="E329" s="8" t="str">
        <x:f>IFERROR(INDEX('Lookup Tables'!$C$5:$C$84,MATCH(C329,'Lookup Tables'!$A$5:$A$84,0)),"Unknown")</x:f>
        <x:v>Small Business</x:v>
      </x:c>
      <x:c r="F329" s="8" t="str">
        <x:v>Lucknow</x:v>
      </x:c>
      <x:c r="G329" s="8" t="str">
        <x:f>IFERROR(INDEX('Lookup Tables'!$N$5:$N$14,MATCH(F329,'Lookup Tables'!$M$5:$M$14,0)),"Unknown")</x:f>
        <x:v>North</x:v>
      </x:c>
      <x:c r="H329" s="8" t="str">
        <x:v>PRD-007</x:v>
      </x:c>
      <x:c r="I329" s="8" t="str">
        <x:f>IFERROR(INDEX('Lookup Tables'!$G$5:$G$16,MATCH(H329,'Lookup Tables'!$F$5:$F$16,0)),"Unknown Product")</x:f>
        <x:v>Electric Kettle</x:v>
      </x:c>
      <x:c r="J329" s="8" t="str">
        <x:f>IFERROR(INDEX('Lookup Tables'!$H$5:$H$16,MATCH(H329,'Lookup Tables'!$F$5:$F$16,0)),"Unknown")</x:f>
        <x:v>Home &amp; Kitchen</x:v>
      </x:c>
      <x:c r="K329" s="8" t="n">
        <x:v>4</x:v>
      </x:c>
      <x:c r="L329" s="9" t="n">
        <x:f>IFERROR(INDEX('Lookup Tables'!$I$5:$I$16,MATCH(H329,'Lookup Tables'!$F$5:$F$16,0)),0)</x:f>
        <x:v>1699</x:v>
      </x:c>
      <x:c r="M329" s="23" t="n">
        <x:f>IF('Raw Data'!M329="",0,'Raw Data'!M329)</x:f>
        <x:v>0.15</x:v>
      </x:c>
      <x:c r="N329" s="9" t="n">
        <x:f>IF(S329="Completed",K329*L329*(1-M329),0)</x:f>
        <x:v>5776.599999999999</x:v>
      </x:c>
      <x:c r="O329" s="9" t="n">
        <x:f>IFERROR(INDEX('Lookup Tables'!$J$5:$J$16,MATCH(H329,'Lookup Tables'!$F$5:$F$16,0)),0)</x:f>
        <x:v>1040</x:v>
      </x:c>
      <x:c r="P329" s="9" t="n">
        <x:f>IF(S329="Completed",K329*O329,0)</x:f>
        <x:v>4160</x:v>
      </x:c>
      <x:c r="Q329" s="9" t="n">
        <x:f>N329-P329</x:f>
        <x:v>1616.5999999999995</x:v>
      </x:c>
      <x:c r="R329" s="8" t="str">
        <x:f>IF(LOWER('Raw Data'!N329)="upi","UPI",'Raw Data'!N329)</x:f>
        <x:v>Net Banking</x:v>
      </x:c>
      <x:c r="S329" s="8" t="str">
        <x:v>Completed</x:v>
      </x:c>
      <x:c r="T329" s="8" t="str">
        <x:f>TEXT(B329,"mmm yyyy")</x:f>
        <x:v>May 2025</x:v>
      </x:c>
      <x:c r="U329" s="8" t="n">
        <x:f>YEAR(B329)</x:f>
        <x:v>2025</x:v>
      </x:c>
    </x:row>
    <x:row r="330">
      <x:c r="A330" s="8" t="str">
        <x:v>ORD-0326</x:v>
      </x:c>
      <x:c r="B330" s="22" t="n">
        <x:v>45847.86921751157</x:v>
      </x:c>
      <x:c r="C330" s="8" t="str">
        <x:v>CUS-057</x:v>
      </x:c>
      <x:c r="D330" s="8" t="str">
        <x:f>IFERROR(INDEX('Lookup Tables'!$B$5:$B$84,MATCH(C330,'Lookup Tables'!$A$5:$A$84,0)),"Unknown Customer")</x:f>
        <x:v>Vikram Yadav 3</x:v>
      </x:c>
      <x:c r="E330" s="8" t="str">
        <x:f>IFERROR(INDEX('Lookup Tables'!$C$5:$C$84,MATCH(C330,'Lookup Tables'!$A$5:$A$84,0)),"Unknown")</x:f>
        <x:v>Small Business</x:v>
      </x:c>
      <x:c r="F330" s="8" t="str">
        <x:v>Hyderabad</x:v>
      </x:c>
      <x:c r="G330" s="8" t="str">
        <x:f>IFERROR(INDEX('Lookup Tables'!$N$5:$N$14,MATCH(F330,'Lookup Tables'!$M$5:$M$14,0)),"Unknown")</x:f>
        <x:v>South</x:v>
      </x:c>
      <x:c r="H330" s="8" t="str">
        <x:v>PRD-005</x:v>
      </x:c>
      <x:c r="I330" s="8" t="str">
        <x:f>IFERROR(INDEX('Lookup Tables'!$G$5:$G$16,MATCH(H330,'Lookup Tables'!$F$5:$F$16,0)),"Unknown Product")</x:f>
        <x:v>Executive Notebook</x:v>
      </x:c>
      <x:c r="J330" s="8" t="str">
        <x:f>IFERROR(INDEX('Lookup Tables'!$H$5:$H$16,MATCH(H330,'Lookup Tables'!$F$5:$F$16,0)),"Unknown")</x:f>
        <x:v>Office Supplies</x:v>
      </x:c>
      <x:c r="K330" s="8" t="n">
        <x:v>1</x:v>
      </x:c>
      <x:c r="L330" s="9" t="n">
        <x:f>IFERROR(INDEX('Lookup Tables'!$I$5:$I$16,MATCH(H330,'Lookup Tables'!$F$5:$F$16,0)),0)</x:f>
        <x:v>349</x:v>
      </x:c>
      <x:c r="M330" s="23" t="n">
        <x:f>IF('Raw Data'!M330="",0,'Raw Data'!M330)</x:f>
        <x:v>0</x:v>
      </x:c>
      <x:c r="N330" s="9" t="n">
        <x:f>IF(S330="Completed",K330*L330*(1-M330),0)</x:f>
        <x:v>349</x:v>
      </x:c>
      <x:c r="O330" s="9" t="n">
        <x:f>IFERROR(INDEX('Lookup Tables'!$J$5:$J$16,MATCH(H330,'Lookup Tables'!$F$5:$F$16,0)),0)</x:f>
        <x:v>170</x:v>
      </x:c>
      <x:c r="P330" s="9" t="n">
        <x:f>IF(S330="Completed",K330*O330,0)</x:f>
        <x:v>170</x:v>
      </x:c>
      <x:c r="Q330" s="9" t="n">
        <x:f>N330-P330</x:f>
        <x:v>179</x:v>
      </x:c>
      <x:c r="R330" s="8" t="str">
        <x:f>IF(LOWER('Raw Data'!N330)="upi","UPI",'Raw Data'!N330)</x:f>
        <x:v>UPI</x:v>
      </x:c>
      <x:c r="S330" s="8" t="str">
        <x:v>Completed</x:v>
      </x:c>
      <x:c r="T330" s="8" t="str">
        <x:f>TEXT(B330,"mmm yyyy")</x:f>
        <x:v>Jul 2025</x:v>
      </x:c>
      <x:c r="U330" s="8" t="n">
        <x:f>YEAR(B330)</x:f>
        <x:v>2025</x:v>
      </x:c>
    </x:row>
    <x:row r="331">
      <x:c r="A331" s="8" t="str">
        <x:v>ORD-0327</x:v>
      </x:c>
      <x:c r="B331" s="22" t="n">
        <x:v>45809.51139429398</x:v>
      </x:c>
      <x:c r="C331" s="8" t="str">
        <x:v>CUS-053</x:v>
      </x:c>
      <x:c r="D331" s="8" t="str">
        <x:f>IFERROR(INDEX('Lookup Tables'!$B$5:$B$84,MATCH(C331,'Lookup Tables'!$A$5:$A$84,0)),"Unknown Customer")</x:f>
        <x:v>Rahul Mishra 3</x:v>
      </x:c>
      <x:c r="E331" s="8" t="str">
        <x:f>IFERROR(INDEX('Lookup Tables'!$C$5:$C$84,MATCH(C331,'Lookup Tables'!$A$5:$A$84,0)),"Unknown")</x:f>
        <x:v>Corporate</x:v>
      </x:c>
      <x:c r="F331" s="8" t="str">
        <x:v>Ahmedabad</x:v>
      </x:c>
      <x:c r="G331" s="8" t="str">
        <x:f>IFERROR(INDEX('Lookup Tables'!$N$5:$N$14,MATCH(F331,'Lookup Tables'!$M$5:$M$14,0)),"Unknown")</x:f>
        <x:v>West</x:v>
      </x:c>
      <x:c r="H331" s="8" t="str">
        <x:v>PRD-006</x:v>
      </x:c>
      <x:c r="I331" s="8" t="str">
        <x:f>IFERROR(INDEX('Lookup Tables'!$G$5:$G$16,MATCH(H331,'Lookup Tables'!$F$5:$F$16,0)),"Unknown Product")</x:f>
        <x:v>Desk Organiser</x:v>
      </x:c>
      <x:c r="J331" s="8" t="str">
        <x:f>IFERROR(INDEX('Lookup Tables'!$H$5:$H$16,MATCH(H331,'Lookup Tables'!$F$5:$F$16,0)),"Unknown")</x:f>
        <x:v>Office Supplies</x:v>
      </x:c>
      <x:c r="K331" s="8" t="n">
        <x:v>5</x:v>
      </x:c>
      <x:c r="L331" s="9" t="n">
        <x:f>IFERROR(INDEX('Lookup Tables'!$I$5:$I$16,MATCH(H331,'Lookup Tables'!$F$5:$F$16,0)),0)</x:f>
        <x:v>699</x:v>
      </x:c>
      <x:c r="M331" s="23" t="n">
        <x:f>IF('Raw Data'!M331="",0,'Raw Data'!M331)</x:f>
        <x:v>0.1</x:v>
      </x:c>
      <x:c r="N331" s="9" t="n">
        <x:f>IF(S331="Completed",K331*L331*(1-M331),0)</x:f>
        <x:v>3145.5</x:v>
      </x:c>
      <x:c r="O331" s="9" t="n">
        <x:f>IFERROR(INDEX('Lookup Tables'!$J$5:$J$16,MATCH(H331,'Lookup Tables'!$F$5:$F$16,0)),0)</x:f>
        <x:v>390</x:v>
      </x:c>
      <x:c r="P331" s="9" t="n">
        <x:f>IF(S331="Completed",K331*O331,0)</x:f>
        <x:v>1950</x:v>
      </x:c>
      <x:c r="Q331" s="9" t="n">
        <x:f>N331-P331</x:f>
        <x:v>1195.5</x:v>
      </x:c>
      <x:c r="R331" s="8" t="str">
        <x:f>IF(LOWER('Raw Data'!N331)="upi","UPI",'Raw Data'!N331)</x:f>
        <x:v>Cash on Delivery</x:v>
      </x:c>
      <x:c r="S331" s="8" t="str">
        <x:v>Completed</x:v>
      </x:c>
      <x:c r="T331" s="8" t="str">
        <x:f>TEXT(B331,"mmm yyyy")</x:f>
        <x:v>Jun 2025</x:v>
      </x:c>
      <x:c r="U331" s="8" t="n">
        <x:f>YEAR(B331)</x:f>
        <x:v>2025</x:v>
      </x:c>
    </x:row>
    <x:row r="332">
      <x:c r="A332" s="8" t="str">
        <x:v>ORD-0328</x:v>
      </x:c>
      <x:c r="B332" s="22" t="n">
        <x:v>45679.98239679398</x:v>
      </x:c>
      <x:c r="C332" s="8" t="str">
        <x:v>CUS-007</x:v>
      </x:c>
      <x:c r="D332" s="8" t="str">
        <x:f>IFERROR(INDEX('Lookup Tables'!$B$5:$B$84,MATCH(C332,'Lookup Tables'!$A$5:$A$84,0)),"Unknown Customer")</x:f>
        <x:v>Kabir Khan</x:v>
      </x:c>
      <x:c r="E332" s="8" t="str">
        <x:f>IFERROR(INDEX('Lookup Tables'!$C$5:$C$84,MATCH(C332,'Lookup Tables'!$A$5:$A$84,0)),"Unknown")</x:f>
        <x:v>Consumer</x:v>
      </x:c>
      <x:c r="F332" s="8" t="str">
        <x:v>Mumbai</x:v>
      </x:c>
      <x:c r="G332" s="8" t="str">
        <x:f>IFERROR(INDEX('Lookup Tables'!$N$5:$N$14,MATCH(F332,'Lookup Tables'!$M$5:$M$14,0)),"Unknown")</x:f>
        <x:v>West</x:v>
      </x:c>
      <x:c r="H332" s="8" t="str">
        <x:v>PRD-003</x:v>
      </x:c>
      <x:c r="I332" s="8" t="str">
        <x:f>IFERROR(INDEX('Lookup Tables'!$G$5:$G$16,MATCH(H332,'Lookup Tables'!$F$5:$F$16,0)),"Unknown Product")</x:f>
        <x:v>USB-C Hub</x:v>
      </x:c>
      <x:c r="J332" s="8" t="str">
        <x:f>IFERROR(INDEX('Lookup Tables'!$H$5:$H$16,MATCH(H332,'Lookup Tables'!$F$5:$F$16,0)),"Unknown")</x:f>
        <x:v>Electronics</x:v>
      </x:c>
      <x:c r="K332" s="8" t="n">
        <x:v>2</x:v>
      </x:c>
      <x:c r="L332" s="9" t="n">
        <x:f>IFERROR(INDEX('Lookup Tables'!$I$5:$I$16,MATCH(H332,'Lookup Tables'!$F$5:$F$16,0)),0)</x:f>
        <x:v>1899</x:v>
      </x:c>
      <x:c r="M332" s="23" t="n">
        <x:f>IF('Raw Data'!M332="",0,'Raw Data'!M332)</x:f>
        <x:v>0</x:v>
      </x:c>
      <x:c r="N332" s="9" t="n">
        <x:f>IF(S332="Completed",K332*L332*(1-M332),0)</x:f>
        <x:v>3798</x:v>
      </x:c>
      <x:c r="O332" s="9" t="n">
        <x:f>IFERROR(INDEX('Lookup Tables'!$J$5:$J$16,MATCH(H332,'Lookup Tables'!$F$5:$F$16,0)),0)</x:f>
        <x:v>1180</x:v>
      </x:c>
      <x:c r="P332" s="9" t="n">
        <x:f>IF(S332="Completed",K332*O332,0)</x:f>
        <x:v>2360</x:v>
      </x:c>
      <x:c r="Q332" s="9" t="n">
        <x:f>N332-P332</x:f>
        <x:v>1438</x:v>
      </x:c>
      <x:c r="R332" s="8" t="str">
        <x:f>IF(LOWER('Raw Data'!N332)="upi","UPI",'Raw Data'!N332)</x:f>
        <x:v>Net Banking</x:v>
      </x:c>
      <x:c r="S332" s="8" t="str">
        <x:v>Completed</x:v>
      </x:c>
      <x:c r="T332" s="8" t="str">
        <x:f>TEXT(B332,"mmm yyyy")</x:f>
        <x:v>Jan 2025</x:v>
      </x:c>
      <x:c r="U332" s="8" t="n">
        <x:f>YEAR(B332)</x:f>
        <x:v>2025</x:v>
      </x:c>
    </x:row>
    <x:row r="333">
      <x:c r="A333" s="8" t="str">
        <x:v>ORD-0329</x:v>
      </x:c>
      <x:c r="B333" s="22" t="n">
        <x:v>45796.81252358796</x:v>
      </x:c>
      <x:c r="C333" s="8" t="str">
        <x:v>CUS-033</x:v>
      </x:c>
      <x:c r="D333" s="8" t="str">
        <x:f>IFERROR(INDEX('Lookup Tables'!$B$5:$B$84,MATCH(C333,'Lookup Tables'!$A$5:$A$84,0)),"Unknown Customer")</x:f>
        <x:v>Rahul Mishra 2</x:v>
      </x:c>
      <x:c r="E333" s="8" t="str">
        <x:f>IFERROR(INDEX('Lookup Tables'!$C$5:$C$84,MATCH(C333,'Lookup Tables'!$A$5:$A$84,0)),"Unknown")</x:f>
        <x:v>Small Business</x:v>
      </x:c>
      <x:c r="F333" s="8" t="str">
        <x:v>Delhi</x:v>
      </x:c>
      <x:c r="G333" s="8" t="str">
        <x:f>IFERROR(INDEX('Lookup Tables'!$N$5:$N$14,MATCH(F333,'Lookup Tables'!$M$5:$M$14,0)),"Unknown")</x:f>
        <x:v>North</x:v>
      </x:c>
      <x:c r="H333" s="8" t="str">
        <x:v>PRD-004</x:v>
      </x:c>
      <x:c r="I333" s="8" t="str">
        <x:f>IFERROR(INDEX('Lookup Tables'!$G$5:$G$16,MATCH(H333,'Lookup Tables'!$F$5:$F$16,0)),"Unknown Product")</x:f>
        <x:v>Laptop Stand</x:v>
      </x:c>
      <x:c r="J333" s="8" t="str">
        <x:f>IFERROR(INDEX('Lookup Tables'!$H$5:$H$16,MATCH(H333,'Lookup Tables'!$F$5:$F$16,0)),"Unknown")</x:f>
        <x:v>Office Supplies</x:v>
      </x:c>
      <x:c r="K333" s="8" t="n">
        <x:v>5</x:v>
      </x:c>
      <x:c r="L333" s="9" t="n">
        <x:f>IFERROR(INDEX('Lookup Tables'!$I$5:$I$16,MATCH(H333,'Lookup Tables'!$F$5:$F$16,0)),0)</x:f>
        <x:v>1299</x:v>
      </x:c>
      <x:c r="M333" s="23" t="n">
        <x:f>IF('Raw Data'!M333="",0,'Raw Data'!M333)</x:f>
        <x:v>0</x:v>
      </x:c>
      <x:c r="N333" s="9" t="n">
        <x:f>IF(S333="Completed",K333*L333*(1-M333),0)</x:f>
        <x:v>6495</x:v>
      </x:c>
      <x:c r="O333" s="9" t="n">
        <x:f>IFERROR(INDEX('Lookup Tables'!$J$5:$J$16,MATCH(H333,'Lookup Tables'!$F$5:$F$16,0)),0)</x:f>
        <x:v>760</x:v>
      </x:c>
      <x:c r="P333" s="9" t="n">
        <x:f>IF(S333="Completed",K333*O333,0)</x:f>
        <x:v>3800</x:v>
      </x:c>
      <x:c r="Q333" s="9" t="n">
        <x:f>N333-P333</x:f>
        <x:v>2695</x:v>
      </x:c>
      <x:c r="R333" s="8" t="str">
        <x:f>IF(LOWER('Raw Data'!N333)="upi","UPI",'Raw Data'!N333)</x:f>
        <x:v>Cash on Delivery</x:v>
      </x:c>
      <x:c r="S333" s="8" t="str">
        <x:v>Completed</x:v>
      </x:c>
      <x:c r="T333" s="8" t="str">
        <x:f>TEXT(B333,"mmm yyyy")</x:f>
        <x:v>May 2025</x:v>
      </x:c>
      <x:c r="U333" s="8" t="n">
        <x:f>YEAR(B333)</x:f>
        <x:v>2025</x:v>
      </x:c>
    </x:row>
    <x:row r="334">
      <x:c r="A334" s="8" t="str">
        <x:v>ORD-0330</x:v>
      </x:c>
      <x:c r="B334" s="22" t="n">
        <x:v>45957.60318655093</x:v>
      </x:c>
      <x:c r="C334" s="8" t="str">
        <x:v>CUS-023</x:v>
      </x:c>
      <x:c r="D334" s="8" t="str">
        <x:f>IFERROR(INDEX('Lookup Tables'!$B$5:$B$84,MATCH(C334,'Lookup Tables'!$A$5:$A$84,0)),"Unknown Customer")</x:f>
        <x:v>Vihaan Singh 2</x:v>
      </x:c>
      <x:c r="E334" s="8" t="str">
        <x:f>IFERROR(INDEX('Lookup Tables'!$C$5:$C$84,MATCH(C334,'Lookup Tables'!$A$5:$A$84,0)),"Unknown")</x:f>
        <x:v>Corporate</x:v>
      </x:c>
      <x:c r="F334" s="8" t="str">
        <x:v>Hyderabad</x:v>
      </x:c>
      <x:c r="G334" s="8" t="str">
        <x:f>IFERROR(INDEX('Lookup Tables'!$N$5:$N$14,MATCH(F334,'Lookup Tables'!$M$5:$M$14,0)),"Unknown")</x:f>
        <x:v>South</x:v>
      </x:c>
      <x:c r="H334" s="8" t="str">
        <x:v>PRD-006</x:v>
      </x:c>
      <x:c r="I334" s="8" t="str">
        <x:f>IFERROR(INDEX('Lookup Tables'!$G$5:$G$16,MATCH(H334,'Lookup Tables'!$F$5:$F$16,0)),"Unknown Product")</x:f>
        <x:v>Desk Organiser</x:v>
      </x:c>
      <x:c r="J334" s="8" t="str">
        <x:f>IFERROR(INDEX('Lookup Tables'!$H$5:$H$16,MATCH(H334,'Lookup Tables'!$F$5:$F$16,0)),"Unknown")</x:f>
        <x:v>Office Supplies</x:v>
      </x:c>
      <x:c r="K334" s="8" t="n">
        <x:v>3</x:v>
      </x:c>
      <x:c r="L334" s="9" t="n">
        <x:f>IFERROR(INDEX('Lookup Tables'!$I$5:$I$16,MATCH(H334,'Lookup Tables'!$F$5:$F$16,0)),0)</x:f>
        <x:v>699</x:v>
      </x:c>
      <x:c r="M334" s="23" t="n">
        <x:f>IF('Raw Data'!M334="",0,'Raw Data'!M334)</x:f>
        <x:v>0</x:v>
      </x:c>
      <x:c r="N334" s="9" t="n">
        <x:f>IF(S334="Completed",K334*L334*(1-M334),0)</x:f>
        <x:v>2097</x:v>
      </x:c>
      <x:c r="O334" s="9" t="n">
        <x:f>IFERROR(INDEX('Lookup Tables'!$J$5:$J$16,MATCH(H334,'Lookup Tables'!$F$5:$F$16,0)),0)</x:f>
        <x:v>390</x:v>
      </x:c>
      <x:c r="P334" s="9" t="n">
        <x:f>IF(S334="Completed",K334*O334,0)</x:f>
        <x:v>1170</x:v>
      </x:c>
      <x:c r="Q334" s="9" t="n">
        <x:f>N334-P334</x:f>
        <x:v>927</x:v>
      </x:c>
      <x:c r="R334" s="8" t="str">
        <x:f>IF(LOWER('Raw Data'!N334)="upi","UPI",'Raw Data'!N334)</x:f>
        <x:v>Credit Card</x:v>
      </x:c>
      <x:c r="S334" s="8" t="str">
        <x:v>Completed</x:v>
      </x:c>
      <x:c r="T334" s="8" t="str">
        <x:f>TEXT(B334,"mmm yyyy")</x:f>
        <x:v>Oct 2025</x:v>
      </x:c>
      <x:c r="U334" s="8" t="n">
        <x:f>YEAR(B334)</x:f>
        <x:v>2025</x:v>
      </x:c>
    </x:row>
    <x:row r="335">
      <x:c r="A335" s="8" t="str">
        <x:v>ORD-0331</x:v>
      </x:c>
      <x:c r="B335" s="22" t="n">
        <x:v>45832.4762333912</x:v>
      </x:c>
      <x:c r="C335" s="8" t="str">
        <x:v>CUS-039</x:v>
      </x:c>
      <x:c r="D335" s="8" t="str">
        <x:f>IFERROR(INDEX('Lookup Tables'!$B$5:$B$84,MATCH(C335,'Lookup Tables'!$A$5:$A$84,0)),"Unknown Customer")</x:f>
        <x:v>Siddharth Jain 2</x:v>
      </x:c>
      <x:c r="E335" s="8" t="str">
        <x:f>IFERROR(INDEX('Lookup Tables'!$C$5:$C$84,MATCH(C335,'Lookup Tables'!$A$5:$A$84,0)),"Unknown")</x:f>
        <x:v>Small Business</x:v>
      </x:c>
      <x:c r="F335" s="8" t="str">
        <x:v>Lucknow</x:v>
      </x:c>
      <x:c r="G335" s="8" t="str">
        <x:f>IFERROR(INDEX('Lookup Tables'!$N$5:$N$14,MATCH(F335,'Lookup Tables'!$M$5:$M$14,0)),"Unknown")</x:f>
        <x:v>North</x:v>
      </x:c>
      <x:c r="H335" s="8" t="str">
        <x:v>PRD-001</x:v>
      </x:c>
      <x:c r="I335" s="8" t="str">
        <x:f>IFERROR(INDEX('Lookup Tables'!$G$5:$G$16,MATCH(H335,'Lookup Tables'!$F$5:$F$16,0)),"Unknown Product")</x:f>
        <x:v>Wireless Mouse</x:v>
      </x:c>
      <x:c r="J335" s="8" t="str">
        <x:f>IFERROR(INDEX('Lookup Tables'!$H$5:$H$16,MATCH(H335,'Lookup Tables'!$F$5:$F$16,0)),"Unknown")</x:f>
        <x:v>Electronics</x:v>
      </x:c>
      <x:c r="K335" s="8" t="n">
        <x:v>4</x:v>
      </x:c>
      <x:c r="L335" s="9" t="n">
        <x:f>IFERROR(INDEX('Lookup Tables'!$I$5:$I$16,MATCH(H335,'Lookup Tables'!$F$5:$F$16,0)),0)</x:f>
        <x:v>899</x:v>
      </x:c>
      <x:c r="M335" s="23" t="n">
        <x:f>IF('Raw Data'!M335="",0,'Raw Data'!M335)</x:f>
        <x:v>0.1</x:v>
      </x:c>
      <x:c r="N335" s="9" t="n">
        <x:f>IF(S335="Completed",K335*L335*(1-M335),0)</x:f>
        <x:v>0</x:v>
      </x:c>
      <x:c r="O335" s="9" t="n">
        <x:f>IFERROR(INDEX('Lookup Tables'!$J$5:$J$16,MATCH(H335,'Lookup Tables'!$F$5:$F$16,0)),0)</x:f>
        <x:v>540</x:v>
      </x:c>
      <x:c r="P335" s="9" t="n">
        <x:f>IF(S335="Completed",K335*O335,0)</x:f>
        <x:v>0</x:v>
      </x:c>
      <x:c r="Q335" s="9" t="n">
        <x:f>N335-P335</x:f>
        <x:v>0</x:v>
      </x:c>
      <x:c r="R335" s="8" t="str">
        <x:f>IF(LOWER('Raw Data'!N335)="upi","UPI",'Raw Data'!N335)</x:f>
        <x:v>Cash on Delivery</x:v>
      </x:c>
      <x:c r="S335" s="8" t="str">
        <x:v>Cancelled</x:v>
      </x:c>
      <x:c r="T335" s="8" t="str">
        <x:f>TEXT(B335,"mmm yyyy")</x:f>
        <x:v>Jun 2025</x:v>
      </x:c>
      <x:c r="U335" s="8" t="n">
        <x:f>YEAR(B335)</x:f>
        <x:v>2025</x:v>
      </x:c>
    </x:row>
    <x:row r="336">
      <x:c r="A336" s="8" t="str">
        <x:v>ORD-0332</x:v>
      </x:c>
      <x:c r="B336" s="22" t="n">
        <x:v>45803.81840408565</x:v>
      </x:c>
      <x:c r="C336" s="8" t="str">
        <x:v>CUS-054</x:v>
      </x:c>
      <x:c r="D336" s="8" t="str">
        <x:f>IFERROR(INDEX('Lookup Tables'!$B$5:$B$84,MATCH(C336,'Lookup Tables'!$A$5:$A$84,0)),"Unknown Customer")</x:f>
        <x:v>Neha Rao 3</x:v>
      </x:c>
      <x:c r="E336" s="8" t="str">
        <x:f>IFERROR(INDEX('Lookup Tables'!$C$5:$C$84,MATCH(C336,'Lookup Tables'!$A$5:$A$84,0)),"Unknown")</x:f>
        <x:v>Small Business</x:v>
      </x:c>
      <x:c r="F336" s="8" t="str">
        <x:v>Chennai</x:v>
      </x:c>
      <x:c r="G336" s="8" t="str">
        <x:f>IFERROR(INDEX('Lookup Tables'!$N$5:$N$14,MATCH(F336,'Lookup Tables'!$M$5:$M$14,0)),"Unknown")</x:f>
        <x:v>South</x:v>
      </x:c>
      <x:c r="H336" s="8" t="str">
        <x:v>PRD-011</x:v>
      </x:c>
      <x:c r="I336" s="8" t="str">
        <x:f>IFERROR(INDEX('Lookup Tables'!$G$5:$G$16,MATCH(H336,'Lookup Tables'!$F$5:$F$16,0)),"Unknown Product")</x:f>
        <x:v>Classic Wallet</x:v>
      </x:c>
      <x:c r="J336" s="8" t="str">
        <x:f>IFERROR(INDEX('Lookup Tables'!$H$5:$H$16,MATCH(H336,'Lookup Tables'!$F$5:$F$16,0)),"Unknown")</x:f>
        <x:v>Fashion</x:v>
      </x:c>
      <x:c r="K336" s="8" t="n">
        <x:v>4</x:v>
      </x:c>
      <x:c r="L336" s="9" t="n">
        <x:f>IFERROR(INDEX('Lookup Tables'!$I$5:$I$16,MATCH(H336,'Lookup Tables'!$F$5:$F$16,0)),0)</x:f>
        <x:v>1199</x:v>
      </x:c>
      <x:c r="M336" s="23" t="n">
        <x:f>IF('Raw Data'!M336="",0,'Raw Data'!M336)</x:f>
        <x:v>0.1</x:v>
      </x:c>
      <x:c r="N336" s="9" t="n">
        <x:f>IF(S336="Completed",K336*L336*(1-M336),0)</x:f>
        <x:v>4316.400000000001</x:v>
      </x:c>
      <x:c r="O336" s="9" t="n">
        <x:f>IFERROR(INDEX('Lookup Tables'!$J$5:$J$16,MATCH(H336,'Lookup Tables'!$F$5:$F$16,0)),0)</x:f>
        <x:v>690</x:v>
      </x:c>
      <x:c r="P336" s="9" t="n">
        <x:f>IF(S336="Completed",K336*O336,0)</x:f>
        <x:v>2760</x:v>
      </x:c>
      <x:c r="Q336" s="9" t="n">
        <x:f>N336-P336</x:f>
        <x:v>1556.4000000000005</x:v>
      </x:c>
      <x:c r="R336" s="8" t="str">
        <x:f>IF(LOWER('Raw Data'!N336)="upi","UPI",'Raw Data'!N336)</x:f>
        <x:v>Debit Card</x:v>
      </x:c>
      <x:c r="S336" s="8" t="str">
        <x:v>Completed</x:v>
      </x:c>
      <x:c r="T336" s="8" t="str">
        <x:f>TEXT(B336,"mmm yyyy")</x:f>
        <x:v>May 2025</x:v>
      </x:c>
      <x:c r="U336" s="8" t="n">
        <x:f>YEAR(B336)</x:f>
        <x:v>2025</x:v>
      </x:c>
    </x:row>
    <x:row r="337">
      <x:c r="A337" s="8" t="str">
        <x:v>ORD-0333</x:v>
      </x:c>
      <x:c r="B337" s="22" t="n">
        <x:v>45880.863152592596</x:v>
      </x:c>
      <x:c r="C337" s="8" t="str">
        <x:v>CUS-074</x:v>
      </x:c>
      <x:c r="D337" s="8" t="str">
        <x:f>IFERROR(INDEX('Lookup Tables'!$B$5:$B$84,MATCH(C337,'Lookup Tables'!$A$5:$A$84,0)),"Unknown Customer")</x:f>
        <x:v>Neha Rao 4</x:v>
      </x:c>
      <x:c r="E337" s="8" t="str">
        <x:f>IFERROR(INDEX('Lookup Tables'!$C$5:$C$84,MATCH(C337,'Lookup Tables'!$A$5:$A$84,0)),"Unknown")</x:f>
        <x:v>Corporate</x:v>
      </x:c>
      <x:c r="F337" s="8" t="str">
        <x:v>Jaipur</x:v>
      </x:c>
      <x:c r="G337" s="8" t="str">
        <x:f>IFERROR(INDEX('Lookup Tables'!$N$5:$N$14,MATCH(F337,'Lookup Tables'!$M$5:$M$14,0)),"Unknown")</x:f>
        <x:v>North</x:v>
      </x:c>
      <x:c r="H337" s="8" t="str">
        <x:v>PRD-011</x:v>
      </x:c>
      <x:c r="I337" s="8" t="str">
        <x:f>IFERROR(INDEX('Lookup Tables'!$G$5:$G$16,MATCH(H337,'Lookup Tables'!$F$5:$F$16,0)),"Unknown Product")</x:f>
        <x:v>Classic Wallet</x:v>
      </x:c>
      <x:c r="J337" s="8" t="str">
        <x:f>IFERROR(INDEX('Lookup Tables'!$H$5:$H$16,MATCH(H337,'Lookup Tables'!$F$5:$F$16,0)),"Unknown")</x:f>
        <x:v>Fashion</x:v>
      </x:c>
      <x:c r="K337" s="8" t="n">
        <x:v>4</x:v>
      </x:c>
      <x:c r="L337" s="9" t="n">
        <x:f>IFERROR(INDEX('Lookup Tables'!$I$5:$I$16,MATCH(H337,'Lookup Tables'!$F$5:$F$16,0)),0)</x:f>
        <x:v>1199</x:v>
      </x:c>
      <x:c r="M337" s="23" t="n">
        <x:f>IF('Raw Data'!M337="",0,'Raw Data'!M337)</x:f>
        <x:v>0.1</x:v>
      </x:c>
      <x:c r="N337" s="9" t="n">
        <x:f>IF(S337="Completed",K337*L337*(1-M337),0)</x:f>
        <x:v>4316.400000000001</x:v>
      </x:c>
      <x:c r="O337" s="9" t="n">
        <x:f>IFERROR(INDEX('Lookup Tables'!$J$5:$J$16,MATCH(H337,'Lookup Tables'!$F$5:$F$16,0)),0)</x:f>
        <x:v>690</x:v>
      </x:c>
      <x:c r="P337" s="9" t="n">
        <x:f>IF(S337="Completed",K337*O337,0)</x:f>
        <x:v>2760</x:v>
      </x:c>
      <x:c r="Q337" s="9" t="n">
        <x:f>N337-P337</x:f>
        <x:v>1556.4000000000005</x:v>
      </x:c>
      <x:c r="R337" s="8" t="str">
        <x:f>IF(LOWER('Raw Data'!N337)="upi","UPI",'Raw Data'!N337)</x:f>
        <x:v>UPI</x:v>
      </x:c>
      <x:c r="S337" s="8" t="str">
        <x:v>Completed</x:v>
      </x:c>
      <x:c r="T337" s="8" t="str">
        <x:f>TEXT(B337,"mmm yyyy")</x:f>
        <x:v>Aug 2025</x:v>
      </x:c>
      <x:c r="U337" s="8" t="n">
        <x:f>YEAR(B337)</x:f>
        <x:v>2025</x:v>
      </x:c>
    </x:row>
    <x:row r="338">
      <x:c r="A338" s="8" t="str">
        <x:v>ORD-0334</x:v>
      </x:c>
      <x:c r="B338" s="22" t="n">
        <x:v>46012.42198625</x:v>
      </x:c>
      <x:c r="C338" s="8" t="str">
        <x:v>CUS-050</x:v>
      </x:c>
      <x:c r="D338" s="8" t="str">
        <x:f>IFERROR(INDEX('Lookup Tables'!$B$5:$B$84,MATCH(C338,'Lookup Tables'!$A$5:$A$84,0)),"Unknown Customer")</x:f>
        <x:v>Saanvi Iyer 3</x:v>
      </x:c>
      <x:c r="E338" s="8" t="str">
        <x:f>IFERROR(INDEX('Lookup Tables'!$C$5:$C$84,MATCH(C338,'Lookup Tables'!$A$5:$A$84,0)),"Unknown")</x:f>
        <x:v>Corporate</x:v>
      </x:c>
      <x:c r="F338" s="8" t="str">
        <x:v>Delhi</x:v>
      </x:c>
      <x:c r="G338" s="8" t="str">
        <x:f>IFERROR(INDEX('Lookup Tables'!$N$5:$N$14,MATCH(F338,'Lookup Tables'!$M$5:$M$14,0)),"Unknown")</x:f>
        <x:v>North</x:v>
      </x:c>
      <x:c r="H338" s="8" t="str">
        <x:v>PRD-011</x:v>
      </x:c>
      <x:c r="I338" s="8" t="str">
        <x:f>IFERROR(INDEX('Lookup Tables'!$G$5:$G$16,MATCH(H338,'Lookup Tables'!$F$5:$F$16,0)),"Unknown Product")</x:f>
        <x:v>Classic Wallet</x:v>
      </x:c>
      <x:c r="J338" s="8" t="str">
        <x:f>IFERROR(INDEX('Lookup Tables'!$H$5:$H$16,MATCH(H338,'Lookup Tables'!$F$5:$F$16,0)),"Unknown")</x:f>
        <x:v>Fashion</x:v>
      </x:c>
      <x:c r="K338" s="8" t="n">
        <x:v>1</x:v>
      </x:c>
      <x:c r="L338" s="9" t="n">
        <x:f>IFERROR(INDEX('Lookup Tables'!$I$5:$I$16,MATCH(H338,'Lookup Tables'!$F$5:$F$16,0)),0)</x:f>
        <x:v>1199</x:v>
      </x:c>
      <x:c r="M338" s="23" t="n">
        <x:f>IF('Raw Data'!M338="",0,'Raw Data'!M338)</x:f>
        <x:v>0.2</x:v>
      </x:c>
      <x:c r="N338" s="9" t="n">
        <x:f>IF(S338="Completed",K338*L338*(1-M338),0)</x:f>
        <x:v>959.2</x:v>
      </x:c>
      <x:c r="O338" s="9" t="n">
        <x:f>IFERROR(INDEX('Lookup Tables'!$J$5:$J$16,MATCH(H338,'Lookup Tables'!$F$5:$F$16,0)),0)</x:f>
        <x:v>690</x:v>
      </x:c>
      <x:c r="P338" s="9" t="n">
        <x:f>IF(S338="Completed",K338*O338,0)</x:f>
        <x:v>690</x:v>
      </x:c>
      <x:c r="Q338" s="9" t="n">
        <x:f>N338-P338</x:f>
        <x:v>269.20000000000005</x:v>
      </x:c>
      <x:c r="R338" s="8" t="str">
        <x:f>IF(LOWER('Raw Data'!N338)="upi","UPI",'Raw Data'!N338)</x:f>
        <x:v>Debit Card</x:v>
      </x:c>
      <x:c r="S338" s="8" t="str">
        <x:v>Completed</x:v>
      </x:c>
      <x:c r="T338" s="8" t="str">
        <x:f>TEXT(B338,"mmm yyyy")</x:f>
        <x:v>Dec 2025</x:v>
      </x:c>
      <x:c r="U338" s="8" t="n">
        <x:f>YEAR(B338)</x:f>
        <x:v>2025</x:v>
      </x:c>
    </x:row>
    <x:row r="339">
      <x:c r="A339" s="8" t="str">
        <x:v>ORD-0335</x:v>
      </x:c>
      <x:c r="B339" s="22" t="n">
        <x:v>45808.30522623842</x:v>
      </x:c>
      <x:c r="C339" s="8" t="str">
        <x:v>CUS-075</x:v>
      </x:c>
      <x:c r="D339" s="8" t="str">
        <x:f>IFERROR(INDEX('Lookup Tables'!$B$5:$B$84,MATCH(C339,'Lookup Tables'!$A$5:$A$84,0)),"Unknown Customer")</x:f>
        <x:v>Karan Malhotra 4</x:v>
      </x:c>
      <x:c r="E339" s="8" t="str">
        <x:f>IFERROR(INDEX('Lookup Tables'!$C$5:$C$84,MATCH(C339,'Lookup Tables'!$A$5:$A$84,0)),"Unknown")</x:f>
        <x:v>Small Business</x:v>
      </x:c>
      <x:c r="F339" s="8" t="str">
        <x:v>Kolkata</x:v>
      </x:c>
      <x:c r="G339" s="8" t="str">
        <x:f>IFERROR(INDEX('Lookup Tables'!$N$5:$N$14,MATCH(F339,'Lookup Tables'!$M$5:$M$14,0)),"Unknown")</x:f>
        <x:v>East</x:v>
      </x:c>
      <x:c r="H339" s="8" t="str">
        <x:v>PRD-006</x:v>
      </x:c>
      <x:c r="I339" s="8" t="str">
        <x:f>IFERROR(INDEX('Lookup Tables'!$G$5:$G$16,MATCH(H339,'Lookup Tables'!$F$5:$F$16,0)),"Unknown Product")</x:f>
        <x:v>Desk Organiser</x:v>
      </x:c>
      <x:c r="J339" s="8" t="str">
        <x:f>IFERROR(INDEX('Lookup Tables'!$H$5:$H$16,MATCH(H339,'Lookup Tables'!$F$5:$F$16,0)),"Unknown")</x:f>
        <x:v>Office Supplies</x:v>
      </x:c>
      <x:c r="K339" s="8" t="n">
        <x:v>2</x:v>
      </x:c>
      <x:c r="L339" s="9" t="n">
        <x:f>IFERROR(INDEX('Lookup Tables'!$I$5:$I$16,MATCH(H339,'Lookup Tables'!$F$5:$F$16,0)),0)</x:f>
        <x:v>699</x:v>
      </x:c>
      <x:c r="M339" s="23" t="n">
        <x:f>IF('Raw Data'!M339="",0,'Raw Data'!M339)</x:f>
        <x:v>0.05</x:v>
      </x:c>
      <x:c r="N339" s="9" t="n">
        <x:f>IF(S339="Completed",K339*L339*(1-M339),0)</x:f>
        <x:v>1328.1</x:v>
      </x:c>
      <x:c r="O339" s="9" t="n">
        <x:f>IFERROR(INDEX('Lookup Tables'!$J$5:$J$16,MATCH(H339,'Lookup Tables'!$F$5:$F$16,0)),0)</x:f>
        <x:v>390</x:v>
      </x:c>
      <x:c r="P339" s="9" t="n">
        <x:f>IF(S339="Completed",K339*O339,0)</x:f>
        <x:v>780</x:v>
      </x:c>
      <x:c r="Q339" s="9" t="n">
        <x:f>N339-P339</x:f>
        <x:v>548.0999999999999</x:v>
      </x:c>
      <x:c r="R339" s="8" t="str">
        <x:f>IF(LOWER('Raw Data'!N339)="upi","UPI",'Raw Data'!N339)</x:f>
        <x:v>Cash on Delivery</x:v>
      </x:c>
      <x:c r="S339" s="8" t="str">
        <x:v>Completed</x:v>
      </x:c>
      <x:c r="T339" s="8" t="str">
        <x:f>TEXT(B339,"mmm yyyy")</x:f>
        <x:v>May 2025</x:v>
      </x:c>
      <x:c r="U339" s="8" t="n">
        <x:f>YEAR(B339)</x:f>
        <x:v>2025</x:v>
      </x:c>
    </x:row>
    <x:row r="340">
      <x:c r="A340" s="8" t="str">
        <x:v>ORD-0336</x:v>
      </x:c>
      <x:c r="B340" s="22" t="n">
        <x:v>45873.2719427662</x:v>
      </x:c>
      <x:c r="C340" s="8" t="str">
        <x:v>CUS-036</x:v>
      </x:c>
      <x:c r="D340" s="8" t="str">
        <x:f>IFERROR(INDEX('Lookup Tables'!$B$5:$B$84,MATCH(C340,'Lookup Tables'!$A$5:$A$84,0)),"Unknown Customer")</x:f>
        <x:v>Pooja Saxena 2</x:v>
      </x:c>
      <x:c r="E340" s="8" t="str">
        <x:f>IFERROR(INDEX('Lookup Tables'!$C$5:$C$84,MATCH(C340,'Lookup Tables'!$A$5:$A$84,0)),"Unknown")</x:f>
        <x:v>Small Business</x:v>
      </x:c>
      <x:c r="F340" s="8" t="str">
        <x:v>Pune</x:v>
      </x:c>
      <x:c r="G340" s="8" t="str">
        <x:f>IFERROR(INDEX('Lookup Tables'!$N$5:$N$14,MATCH(F340,'Lookup Tables'!$M$5:$M$14,0)),"Unknown")</x:f>
        <x:v>West</x:v>
      </x:c>
      <x:c r="H340" s="8" t="str">
        <x:v>PRD-003</x:v>
      </x:c>
      <x:c r="I340" s="8" t="str">
        <x:f>IFERROR(INDEX('Lookup Tables'!$G$5:$G$16,MATCH(H340,'Lookup Tables'!$F$5:$F$16,0)),"Unknown Product")</x:f>
        <x:v>USB-C Hub</x:v>
      </x:c>
      <x:c r="J340" s="8" t="str">
        <x:f>IFERROR(INDEX('Lookup Tables'!$H$5:$H$16,MATCH(H340,'Lookup Tables'!$F$5:$F$16,0)),"Unknown")</x:f>
        <x:v>Electronics</x:v>
      </x:c>
      <x:c r="K340" s="8" t="n">
        <x:v>2</x:v>
      </x:c>
      <x:c r="L340" s="9" t="n">
        <x:f>IFERROR(INDEX('Lookup Tables'!$I$5:$I$16,MATCH(H340,'Lookup Tables'!$F$5:$F$16,0)),0)</x:f>
        <x:v>1899</x:v>
      </x:c>
      <x:c r="M340" s="23" t="n">
        <x:f>IF('Raw Data'!M340="",0,'Raw Data'!M340)</x:f>
        <x:v>0</x:v>
      </x:c>
      <x:c r="N340" s="9" t="n">
        <x:f>IF(S340="Completed",K340*L340*(1-M340),0)</x:f>
        <x:v>0</x:v>
      </x:c>
      <x:c r="O340" s="9" t="n">
        <x:f>IFERROR(INDEX('Lookup Tables'!$J$5:$J$16,MATCH(H340,'Lookup Tables'!$F$5:$F$16,0)),0)</x:f>
        <x:v>1180</x:v>
      </x:c>
      <x:c r="P340" s="9" t="n">
        <x:f>IF(S340="Completed",K340*O340,0)</x:f>
        <x:v>0</x:v>
      </x:c>
      <x:c r="Q340" s="9" t="n">
        <x:f>N340-P340</x:f>
        <x:v>0</x:v>
      </x:c>
      <x:c r="R340" s="8" t="str">
        <x:f>IF(LOWER('Raw Data'!N340)="upi","UPI",'Raw Data'!N340)</x:f>
        <x:v>UPI</x:v>
      </x:c>
      <x:c r="S340" s="8" t="str">
        <x:v>Returned</x:v>
      </x:c>
      <x:c r="T340" s="8" t="str">
        <x:f>TEXT(B340,"mmm yyyy")</x:f>
        <x:v>Aug 2025</x:v>
      </x:c>
      <x:c r="U340" s="8" t="n">
        <x:f>YEAR(B340)</x:f>
        <x:v>2025</x:v>
      </x:c>
    </x:row>
    <x:row r="341">
      <x:c r="A341" s="8" t="str">
        <x:v>ORD-0337</x:v>
      </x:c>
      <x:c r="B341" s="22" t="n">
        <x:v>45673.97211659722</x:v>
      </x:c>
      <x:c r="C341" s="8" t="str">
        <x:v>CUS-064</x:v>
      </x:c>
      <x:c r="D341" s="8" t="str">
        <x:f>IFERROR(INDEX('Lookup Tables'!$B$5:$B$84,MATCH(C341,'Lookup Tables'!$A$5:$A$84,0)),"Unknown Customer")</x:f>
        <x:v>Ananya Gupta 4</x:v>
      </x:c>
      <x:c r="E341" s="8" t="str">
        <x:f>IFERROR(INDEX('Lookup Tables'!$C$5:$C$84,MATCH(C341,'Lookup Tables'!$A$5:$A$84,0)),"Unknown")</x:f>
        <x:v>Consumer</x:v>
      </x:c>
      <x:c r="F341" s="8" t="str">
        <x:v>Ahmedabad</x:v>
      </x:c>
      <x:c r="G341" s="8" t="str">
        <x:f>IFERROR(INDEX('Lookup Tables'!$N$5:$N$14,MATCH(F341,'Lookup Tables'!$M$5:$M$14,0)),"Unknown")</x:f>
        <x:v>West</x:v>
      </x:c>
      <x:c r="H341" s="8" t="str">
        <x:v>PRD-008</x:v>
      </x:c>
      <x:c r="I341" s="8" t="str">
        <x:f>IFERROR(INDEX('Lookup Tables'!$G$5:$G$16,MATCH(H341,'Lookup Tables'!$F$5:$F$16,0)),"Unknown Product")</x:f>
        <x:v>Storage Container Set</x:v>
      </x:c>
      <x:c r="J341" s="8" t="str">
        <x:f>IFERROR(INDEX('Lookup Tables'!$H$5:$H$16,MATCH(H341,'Lookup Tables'!$F$5:$F$16,0)),"Unknown")</x:f>
        <x:v>Home &amp; Kitchen</x:v>
      </x:c>
      <x:c r="K341" s="8" t="n">
        <x:v>3</x:v>
      </x:c>
      <x:c r="L341" s="9" t="n">
        <x:f>IFERROR(INDEX('Lookup Tables'!$I$5:$I$16,MATCH(H341,'Lookup Tables'!$F$5:$F$16,0)),0)</x:f>
        <x:v>999</x:v>
      </x:c>
      <x:c r="M341" s="23" t="n">
        <x:f>IF('Raw Data'!M341="",0,'Raw Data'!M341)</x:f>
        <x:v>0.1</x:v>
      </x:c>
      <x:c r="N341" s="9" t="n">
        <x:f>IF(S341="Completed",K341*L341*(1-M341),0)</x:f>
        <x:v>2697.3</x:v>
      </x:c>
      <x:c r="O341" s="9" t="n">
        <x:f>IFERROR(INDEX('Lookup Tables'!$J$5:$J$16,MATCH(H341,'Lookup Tables'!$F$5:$F$16,0)),0)</x:f>
        <x:v>580</x:v>
      </x:c>
      <x:c r="P341" s="9" t="n">
        <x:f>IF(S341="Completed",K341*O341,0)</x:f>
        <x:v>1740</x:v>
      </x:c>
      <x:c r="Q341" s="9" t="n">
        <x:f>N341-P341</x:f>
        <x:v>957.3000000000002</x:v>
      </x:c>
      <x:c r="R341" s="8" t="str">
        <x:f>IF(LOWER('Raw Data'!N341)="upi","UPI",'Raw Data'!N341)</x:f>
        <x:v>Debit Card</x:v>
      </x:c>
      <x:c r="S341" s="8" t="str">
        <x:v>Completed</x:v>
      </x:c>
      <x:c r="T341" s="8" t="str">
        <x:f>TEXT(B341,"mmm yyyy")</x:f>
        <x:v>Jan 2025</x:v>
      </x:c>
      <x:c r="U341" s="8" t="n">
        <x:f>YEAR(B341)</x:f>
        <x:v>2025</x:v>
      </x:c>
    </x:row>
    <x:row r="342">
      <x:c r="A342" s="8" t="str">
        <x:v>ORD-0338</x:v>
      </x:c>
      <x:c r="B342" s="22" t="n">
        <x:v>45705.95148322917</x:v>
      </x:c>
      <x:c r="C342" s="8" t="str">
        <x:v>CUS-061</x:v>
      </x:c>
      <x:c r="D342" s="8" t="str">
        <x:f>IFERROR(INDEX('Lookup Tables'!$B$5:$B$84,MATCH(C342,'Lookup Tables'!$A$5:$A$84,0)),"Unknown Customer")</x:f>
        <x:v>Aarav Sharma 4</x:v>
      </x:c>
      <x:c r="E342" s="8" t="str">
        <x:f>IFERROR(INDEX('Lookup Tables'!$C$5:$C$84,MATCH(C342,'Lookup Tables'!$A$5:$A$84,0)),"Unknown")</x:f>
        <x:v>Consumer</x:v>
      </x:c>
      <x:c r="F342" s="8" t="str">
        <x:v>Jaipur</x:v>
      </x:c>
      <x:c r="G342" s="8" t="str">
        <x:f>IFERROR(INDEX('Lookup Tables'!$N$5:$N$14,MATCH(F342,'Lookup Tables'!$M$5:$M$14,0)),"Unknown")</x:f>
        <x:v>North</x:v>
      </x:c>
      <x:c r="H342" s="8" t="str">
        <x:v>PRD-003</x:v>
      </x:c>
      <x:c r="I342" s="8" t="str">
        <x:f>IFERROR(INDEX('Lookup Tables'!$G$5:$G$16,MATCH(H342,'Lookup Tables'!$F$5:$F$16,0)),"Unknown Product")</x:f>
        <x:v>USB-C Hub</x:v>
      </x:c>
      <x:c r="J342" s="8" t="str">
        <x:f>IFERROR(INDEX('Lookup Tables'!$H$5:$H$16,MATCH(H342,'Lookup Tables'!$F$5:$F$16,0)),"Unknown")</x:f>
        <x:v>Electronics</x:v>
      </x:c>
      <x:c r="K342" s="8" t="n">
        <x:v>3</x:v>
      </x:c>
      <x:c r="L342" s="9" t="n">
        <x:f>IFERROR(INDEX('Lookup Tables'!$I$5:$I$16,MATCH(H342,'Lookup Tables'!$F$5:$F$16,0)),0)</x:f>
        <x:v>1899</x:v>
      </x:c>
      <x:c r="M342" s="23" t="n">
        <x:f>IF('Raw Data'!M342="",0,'Raw Data'!M342)</x:f>
        <x:v>0.15</x:v>
      </x:c>
      <x:c r="N342" s="9" t="n">
        <x:f>IF(S342="Completed",K342*L342*(1-M342),0)</x:f>
        <x:v>4842.45</x:v>
      </x:c>
      <x:c r="O342" s="9" t="n">
        <x:f>IFERROR(INDEX('Lookup Tables'!$J$5:$J$16,MATCH(H342,'Lookup Tables'!$F$5:$F$16,0)),0)</x:f>
        <x:v>1180</x:v>
      </x:c>
      <x:c r="P342" s="9" t="n">
        <x:f>IF(S342="Completed",K342*O342,0)</x:f>
        <x:v>3540</x:v>
      </x:c>
      <x:c r="Q342" s="9" t="n">
        <x:f>N342-P342</x:f>
        <x:v>1302.4499999999998</x:v>
      </x:c>
      <x:c r="R342" s="8" t="str">
        <x:f>IF(LOWER('Raw Data'!N342)="upi","UPI",'Raw Data'!N342)</x:f>
        <x:v>Credit Card</x:v>
      </x:c>
      <x:c r="S342" s="8" t="str">
        <x:v>Completed</x:v>
      </x:c>
      <x:c r="T342" s="8" t="str">
        <x:f>TEXT(B342,"mmm yyyy")</x:f>
        <x:v>Feb 2025</x:v>
      </x:c>
      <x:c r="U342" s="8" t="n">
        <x:f>YEAR(B342)</x:f>
        <x:v>2025</x:v>
      </x:c>
    </x:row>
    <x:row r="343">
      <x:c r="A343" s="8" t="str">
        <x:v>ORD-0339</x:v>
      </x:c>
      <x:c r="B343" s="22" t="n">
        <x:v>46018.52143966435</x:v>
      </x:c>
      <x:c r="C343" s="8" t="str">
        <x:v>CUS-067</x:v>
      </x:c>
      <x:c r="D343" s="8" t="str">
        <x:f>IFERROR(INDEX('Lookup Tables'!$B$5:$B$84,MATCH(C343,'Lookup Tables'!$A$5:$A$84,0)),"Unknown Customer")</x:f>
        <x:v>Kabir Khan 4</x:v>
      </x:c>
      <x:c r="E343" s="8" t="str">
        <x:f>IFERROR(INDEX('Lookup Tables'!$C$5:$C$84,MATCH(C343,'Lookup Tables'!$A$5:$A$84,0)),"Unknown")</x:f>
        <x:v>Consumer</x:v>
      </x:c>
      <x:c r="F343" s="8" t="str">
        <x:v>Kolkata</x:v>
      </x:c>
      <x:c r="G343" s="8" t="str">
        <x:f>IFERROR(INDEX('Lookup Tables'!$N$5:$N$14,MATCH(F343,'Lookup Tables'!$M$5:$M$14,0)),"Unknown")</x:f>
        <x:v>East</x:v>
      </x:c>
      <x:c r="H343" s="8" t="str">
        <x:v>PRD-004</x:v>
      </x:c>
      <x:c r="I343" s="8" t="str">
        <x:f>IFERROR(INDEX('Lookup Tables'!$G$5:$G$16,MATCH(H343,'Lookup Tables'!$F$5:$F$16,0)),"Unknown Product")</x:f>
        <x:v>Laptop Stand</x:v>
      </x:c>
      <x:c r="J343" s="8" t="str">
        <x:f>IFERROR(INDEX('Lookup Tables'!$H$5:$H$16,MATCH(H343,'Lookup Tables'!$F$5:$F$16,0)),"Unknown")</x:f>
        <x:v>Office Supplies</x:v>
      </x:c>
      <x:c r="K343" s="8" t="n">
        <x:v>3</x:v>
      </x:c>
      <x:c r="L343" s="9" t="n">
        <x:f>IFERROR(INDEX('Lookup Tables'!$I$5:$I$16,MATCH(H343,'Lookup Tables'!$F$5:$F$16,0)),0)</x:f>
        <x:v>1299</x:v>
      </x:c>
      <x:c r="M343" s="23" t="n">
        <x:f>IF('Raw Data'!M343="",0,'Raw Data'!M343)</x:f>
        <x:v>0.2</x:v>
      </x:c>
      <x:c r="N343" s="9" t="n">
        <x:f>IF(S343="Completed",K343*L343*(1-M343),0)</x:f>
        <x:v>3117.6000000000004</x:v>
      </x:c>
      <x:c r="O343" s="9" t="n">
        <x:f>IFERROR(INDEX('Lookup Tables'!$J$5:$J$16,MATCH(H343,'Lookup Tables'!$F$5:$F$16,0)),0)</x:f>
        <x:v>760</x:v>
      </x:c>
      <x:c r="P343" s="9" t="n">
        <x:f>IF(S343="Completed",K343*O343,0)</x:f>
        <x:v>2280</x:v>
      </x:c>
      <x:c r="Q343" s="9" t="n">
        <x:f>N343-P343</x:f>
        <x:v>837.6000000000004</x:v>
      </x:c>
      <x:c r="R343" s="8" t="str">
        <x:f>IF(LOWER('Raw Data'!N343)="upi","UPI",'Raw Data'!N343)</x:f>
        <x:v>Net Banking</x:v>
      </x:c>
      <x:c r="S343" s="8" t="str">
        <x:v>Completed</x:v>
      </x:c>
      <x:c r="T343" s="8" t="str">
        <x:f>TEXT(B343,"mmm yyyy")</x:f>
        <x:v>Dec 2025</x:v>
      </x:c>
      <x:c r="U343" s="8" t="n">
        <x:f>YEAR(B343)</x:f>
        <x:v>2025</x:v>
      </x:c>
    </x:row>
    <x:row r="344">
      <x:c r="A344" s="8" t="str">
        <x:v>ORD-0340</x:v>
      </x:c>
      <x:c r="B344" s="22" t="n">
        <x:v>45811.22362935185</x:v>
      </x:c>
      <x:c r="C344" s="8" t="str">
        <x:v>CUS-041</x:v>
      </x:c>
      <x:c r="D344" s="8" t="str">
        <x:f>IFERROR(INDEX('Lookup Tables'!$B$5:$B$84,MATCH(C344,'Lookup Tables'!$A$5:$A$84,0)),"Unknown Customer")</x:f>
        <x:v>Aarav Sharma 3</x:v>
      </x:c>
      <x:c r="E344" s="8" t="str">
        <x:f>IFERROR(INDEX('Lookup Tables'!$C$5:$C$84,MATCH(C344,'Lookup Tables'!$A$5:$A$84,0)),"Unknown")</x:f>
        <x:v>Corporate</x:v>
      </x:c>
      <x:c r="F344" s="8" t="str">
        <x:v>Hyderabad</x:v>
      </x:c>
      <x:c r="G344" s="8" t="str">
        <x:f>IFERROR(INDEX('Lookup Tables'!$N$5:$N$14,MATCH(F344,'Lookup Tables'!$M$5:$M$14,0)),"Unknown")</x:f>
        <x:v>South</x:v>
      </x:c>
      <x:c r="H344" s="8" t="str">
        <x:v>PRD-012</x:v>
      </x:c>
      <x:c r="I344" s="8" t="str">
        <x:f>IFERROR(INDEX('Lookup Tables'!$G$5:$G$16,MATCH(H344,'Lookup Tables'!$F$5:$F$16,0)),"Unknown Product")</x:f>
        <x:v>Stainless Water Bottle</x:v>
      </x:c>
      <x:c r="J344" s="8" t="str">
        <x:f>IFERROR(INDEX('Lookup Tables'!$H$5:$H$16,MATCH(H344,'Lookup Tables'!$F$5:$F$16,0)),"Unknown")</x:f>
        <x:v>Lifestyle</x:v>
      </x:c>
      <x:c r="K344" s="8" t="n">
        <x:v>2</x:v>
      </x:c>
      <x:c r="L344" s="9" t="n">
        <x:f>IFERROR(INDEX('Lookup Tables'!$I$5:$I$16,MATCH(H344,'Lookup Tables'!$F$5:$F$16,0)),0)</x:f>
        <x:v>799</x:v>
      </x:c>
      <x:c r="M344" s="23" t="n">
        <x:f>IF('Raw Data'!M344="",0,'Raw Data'!M344)</x:f>
        <x:v>0</x:v>
      </x:c>
      <x:c r="N344" s="9" t="n">
        <x:f>IF(S344="Completed",K344*L344*(1-M344),0)</x:f>
        <x:v>0</x:v>
      </x:c>
      <x:c r="O344" s="9" t="n">
        <x:f>IFERROR(INDEX('Lookup Tables'!$J$5:$J$16,MATCH(H344,'Lookup Tables'!$F$5:$F$16,0)),0)</x:f>
        <x:v>410</x:v>
      </x:c>
      <x:c r="P344" s="9" t="n">
        <x:f>IF(S344="Completed",K344*O344,0)</x:f>
        <x:v>0</x:v>
      </x:c>
      <x:c r="Q344" s="9" t="n">
        <x:f>N344-P344</x:f>
        <x:v>0</x:v>
      </x:c>
      <x:c r="R344" s="8" t="str">
        <x:f>IF(LOWER('Raw Data'!N344)="upi","UPI",'Raw Data'!N344)</x:f>
        <x:v>Cash on Delivery</x:v>
      </x:c>
      <x:c r="S344" s="8" t="str">
        <x:v>Cancelled</x:v>
      </x:c>
      <x:c r="T344" s="8" t="str">
        <x:f>TEXT(B344,"mmm yyyy")</x:f>
        <x:v>Jun 2025</x:v>
      </x:c>
      <x:c r="U344" s="8" t="n">
        <x:f>YEAR(B344)</x:f>
        <x:v>2025</x:v>
      </x:c>
    </x:row>
    <x:row r="345">
      <x:c r="A345" s="8" t="str">
        <x:v>ORD-0341</x:v>
      </x:c>
      <x:c r="B345" s="22" t="n">
        <x:v>45746.36748652778</x:v>
      </x:c>
      <x:c r="C345" s="8" t="str">
        <x:v>CUS-028</x:v>
      </x:c>
      <x:c r="D345" s="8" t="str">
        <x:f>IFERROR(INDEX('Lookup Tables'!$B$5:$B$84,MATCH(C345,'Lookup Tables'!$A$5:$A$84,0)),"Unknown Customer")</x:f>
        <x:v>Meera Nair 2</x:v>
      </x:c>
      <x:c r="E345" s="8" t="str">
        <x:f>IFERROR(INDEX('Lookup Tables'!$C$5:$C$84,MATCH(C345,'Lookup Tables'!$A$5:$A$84,0)),"Unknown")</x:f>
        <x:v>Consumer</x:v>
      </x:c>
      <x:c r="F345" s="8" t="str">
        <x:v>Pune</x:v>
      </x:c>
      <x:c r="G345" s="8" t="str">
        <x:f>IFERROR(INDEX('Lookup Tables'!$N$5:$N$14,MATCH(F345,'Lookup Tables'!$M$5:$M$14,0)),"Unknown")</x:f>
        <x:v>West</x:v>
      </x:c>
      <x:c r="H345" s="8" t="str">
        <x:v>PRD-003</x:v>
      </x:c>
      <x:c r="I345" s="8" t="str">
        <x:f>IFERROR(INDEX('Lookup Tables'!$G$5:$G$16,MATCH(H345,'Lookup Tables'!$F$5:$F$16,0)),"Unknown Product")</x:f>
        <x:v>USB-C Hub</x:v>
      </x:c>
      <x:c r="J345" s="8" t="str">
        <x:f>IFERROR(INDEX('Lookup Tables'!$H$5:$H$16,MATCH(H345,'Lookup Tables'!$F$5:$F$16,0)),"Unknown")</x:f>
        <x:v>Electronics</x:v>
      </x:c>
      <x:c r="K345" s="8" t="n">
        <x:v>5</x:v>
      </x:c>
      <x:c r="L345" s="9" t="n">
        <x:f>IFERROR(INDEX('Lookup Tables'!$I$5:$I$16,MATCH(H345,'Lookup Tables'!$F$5:$F$16,0)),0)</x:f>
        <x:v>1899</x:v>
      </x:c>
      <x:c r="M345" s="23" t="n">
        <x:f>IF('Raw Data'!M345="",0,'Raw Data'!M345)</x:f>
        <x:v>0.1</x:v>
      </x:c>
      <x:c r="N345" s="9" t="n">
        <x:f>IF(S345="Completed",K345*L345*(1-M345),0)</x:f>
        <x:v>8545.5</x:v>
      </x:c>
      <x:c r="O345" s="9" t="n">
        <x:f>IFERROR(INDEX('Lookup Tables'!$J$5:$J$16,MATCH(H345,'Lookup Tables'!$F$5:$F$16,0)),0)</x:f>
        <x:v>1180</x:v>
      </x:c>
      <x:c r="P345" s="9" t="n">
        <x:f>IF(S345="Completed",K345*O345,0)</x:f>
        <x:v>5900</x:v>
      </x:c>
      <x:c r="Q345" s="9" t="n">
        <x:f>N345-P345</x:f>
        <x:v>2645.5</x:v>
      </x:c>
      <x:c r="R345" s="8" t="str">
        <x:f>IF(LOWER('Raw Data'!N345)="upi","UPI",'Raw Data'!N345)</x:f>
        <x:v>Debit Card</x:v>
      </x:c>
      <x:c r="S345" s="8" t="str">
        <x:v>Completed</x:v>
      </x:c>
      <x:c r="T345" s="8" t="str">
        <x:f>TEXT(B345,"mmm yyyy")</x:f>
        <x:v>Mar 2025</x:v>
      </x:c>
      <x:c r="U345" s="8" t="n">
        <x:f>YEAR(B345)</x:f>
        <x:v>2025</x:v>
      </x:c>
    </x:row>
    <x:row r="346">
      <x:c r="A346" s="8" t="str">
        <x:v>ORD-0342</x:v>
      </x:c>
      <x:c r="B346" s="22" t="n">
        <x:v>45714.86609002315</x:v>
      </x:c>
      <x:c r="C346" s="8" t="str">
        <x:v>CUS-041</x:v>
      </x:c>
      <x:c r="D346" s="8" t="str">
        <x:f>IFERROR(INDEX('Lookup Tables'!$B$5:$B$84,MATCH(C346,'Lookup Tables'!$A$5:$A$84,0)),"Unknown Customer")</x:f>
        <x:v>Aarav Sharma 3</x:v>
      </x:c>
      <x:c r="E346" s="8" t="str">
        <x:f>IFERROR(INDEX('Lookup Tables'!$C$5:$C$84,MATCH(C346,'Lookup Tables'!$A$5:$A$84,0)),"Unknown")</x:f>
        <x:v>Corporate</x:v>
      </x:c>
      <x:c r="F346" s="8" t="str">
        <x:v>Chennai</x:v>
      </x:c>
      <x:c r="G346" s="8" t="str">
        <x:f>IFERROR(INDEX('Lookup Tables'!$N$5:$N$14,MATCH(F346,'Lookup Tables'!$M$5:$M$14,0)),"Unknown")</x:f>
        <x:v>South</x:v>
      </x:c>
      <x:c r="H346" s="8" t="str">
        <x:v>PRD-003</x:v>
      </x:c>
      <x:c r="I346" s="8" t="str">
        <x:f>IFERROR(INDEX('Lookup Tables'!$G$5:$G$16,MATCH(H346,'Lookup Tables'!$F$5:$F$16,0)),"Unknown Product")</x:f>
        <x:v>USB-C Hub</x:v>
      </x:c>
      <x:c r="J346" s="8" t="str">
        <x:f>IFERROR(INDEX('Lookup Tables'!$H$5:$H$16,MATCH(H346,'Lookup Tables'!$F$5:$F$16,0)),"Unknown")</x:f>
        <x:v>Electronics</x:v>
      </x:c>
      <x:c r="K346" s="8" t="n">
        <x:v>2</x:v>
      </x:c>
      <x:c r="L346" s="9" t="n">
        <x:f>IFERROR(INDEX('Lookup Tables'!$I$5:$I$16,MATCH(H346,'Lookup Tables'!$F$5:$F$16,0)),0)</x:f>
        <x:v>1899</x:v>
      </x:c>
      <x:c r="M346" s="23" t="n">
        <x:f>IF('Raw Data'!M346="",0,'Raw Data'!M346)</x:f>
        <x:v>0</x:v>
      </x:c>
      <x:c r="N346" s="9" t="n">
        <x:f>IF(S346="Completed",K346*L346*(1-M346),0)</x:f>
        <x:v>3798</x:v>
      </x:c>
      <x:c r="O346" s="9" t="n">
        <x:f>IFERROR(INDEX('Lookup Tables'!$J$5:$J$16,MATCH(H346,'Lookup Tables'!$F$5:$F$16,0)),0)</x:f>
        <x:v>1180</x:v>
      </x:c>
      <x:c r="P346" s="9" t="n">
        <x:f>IF(S346="Completed",K346*O346,0)</x:f>
        <x:v>2360</x:v>
      </x:c>
      <x:c r="Q346" s="9" t="n">
        <x:f>N346-P346</x:f>
        <x:v>1438</x:v>
      </x:c>
      <x:c r="R346" s="8" t="str">
        <x:f>IF(LOWER('Raw Data'!N346)="upi","UPI",'Raw Data'!N346)</x:f>
        <x:v>UPI</x:v>
      </x:c>
      <x:c r="S346" s="8" t="str">
        <x:v>Completed</x:v>
      </x:c>
      <x:c r="T346" s="8" t="str">
        <x:f>TEXT(B346,"mmm yyyy")</x:f>
        <x:v>Feb 2025</x:v>
      </x:c>
      <x:c r="U346" s="8" t="n">
        <x:f>YEAR(B346)</x:f>
        <x:v>2025</x:v>
      </x:c>
    </x:row>
    <x:row r="347">
      <x:c r="A347" s="8" t="str">
        <x:v>ORD-0343</x:v>
      </x:c>
      <x:c r="B347" s="22" t="n">
        <x:v>45658.66732461806</x:v>
      </x:c>
      <x:c r="C347" s="8" t="str">
        <x:v>CUS-002</x:v>
      </x:c>
      <x:c r="D347" s="8" t="str">
        <x:f>IFERROR(INDEX('Lookup Tables'!$B$5:$B$84,MATCH(C347,'Lookup Tables'!$A$5:$A$84,0)),"Unknown Customer")</x:f>
        <x:v>Diya Patel</x:v>
      </x:c>
      <x:c r="E347" s="8" t="str">
        <x:f>IFERROR(INDEX('Lookup Tables'!$C$5:$C$84,MATCH(C347,'Lookup Tables'!$A$5:$A$84,0)),"Unknown")</x:f>
        <x:v>Corporate</x:v>
      </x:c>
      <x:c r="F347" s="8" t="str">
        <x:v>Hyderabad</x:v>
      </x:c>
      <x:c r="G347" s="8" t="str">
        <x:f>IFERROR(INDEX('Lookup Tables'!$N$5:$N$14,MATCH(F347,'Lookup Tables'!$M$5:$M$14,0)),"Unknown")</x:f>
        <x:v>South</x:v>
      </x:c>
      <x:c r="H347" s="8" t="str">
        <x:v>PRD-010</x:v>
      </x:c>
      <x:c r="I347" s="8" t="str">
        <x:f>IFERROR(INDEX('Lookup Tables'!$G$5:$G$16,MATCH(H347,'Lookup Tables'!$F$5:$F$16,0)),"Unknown Product")</x:f>
        <x:v>Travel Backpack</x:v>
      </x:c>
      <x:c r="J347" s="8" t="str">
        <x:f>IFERROR(INDEX('Lookup Tables'!$H$5:$H$16,MATCH(H347,'Lookup Tables'!$F$5:$F$16,0)),"Unknown")</x:f>
        <x:v>Fashion</x:v>
      </x:c>
      <x:c r="K347" s="8" t="n">
        <x:v>3</x:v>
      </x:c>
      <x:c r="L347" s="9" t="n">
        <x:f>IFERROR(INDEX('Lookup Tables'!$I$5:$I$16,MATCH(H347,'Lookup Tables'!$F$5:$F$16,0)),0)</x:f>
        <x:v>2199</x:v>
      </x:c>
      <x:c r="M347" s="23" t="n">
        <x:f>IF('Raw Data'!M347="",0,'Raw Data'!M347)</x:f>
        <x:v>0</x:v>
      </x:c>
      <x:c r="N347" s="9" t="n">
        <x:f>IF(S347="Completed",K347*L347*(1-M347),0)</x:f>
        <x:v>6597</x:v>
      </x:c>
      <x:c r="O347" s="9" t="n">
        <x:f>IFERROR(INDEX('Lookup Tables'!$J$5:$J$16,MATCH(H347,'Lookup Tables'!$F$5:$F$16,0)),0)</x:f>
        <x:v>1380</x:v>
      </x:c>
      <x:c r="P347" s="9" t="n">
        <x:f>IF(S347="Completed",K347*O347,0)</x:f>
        <x:v>4140</x:v>
      </x:c>
      <x:c r="Q347" s="9" t="n">
        <x:f>N347-P347</x:f>
        <x:v>2457</x:v>
      </x:c>
      <x:c r="R347" s="8" t="str">
        <x:f>IF(LOWER('Raw Data'!N347)="upi","UPI",'Raw Data'!N347)</x:f>
        <x:v>Net Banking</x:v>
      </x:c>
      <x:c r="S347" s="8" t="str">
        <x:v>Completed</x:v>
      </x:c>
      <x:c r="T347" s="8" t="str">
        <x:f>TEXT(B347,"mmm yyyy")</x:f>
        <x:v>Jan 2025</x:v>
      </x:c>
      <x:c r="U347" s="8" t="n">
        <x:f>YEAR(B347)</x:f>
        <x:v>2025</x:v>
      </x:c>
    </x:row>
    <x:row r="348">
      <x:c r="A348" s="8" t="str">
        <x:v>ORD-0344</x:v>
      </x:c>
      <x:c r="B348" s="22" t="n">
        <x:v>45699.00770898148</x:v>
      </x:c>
      <x:c r="C348" s="8" t="str">
        <x:v>CUS-030</x:v>
      </x:c>
      <x:c r="D348" s="8" t="str">
        <x:f>IFERROR(INDEX('Lookup Tables'!$B$5:$B$84,MATCH(C348,'Lookup Tables'!$A$5:$A$84,0)),"Unknown Customer")</x:f>
        <x:v>Saanvi Iyer 2</x:v>
      </x:c>
      <x:c r="E348" s="8" t="str">
        <x:f>IFERROR(INDEX('Lookup Tables'!$C$5:$C$84,MATCH(C348,'Lookup Tables'!$A$5:$A$84,0)),"Unknown")</x:f>
        <x:v>Small Business</x:v>
      </x:c>
      <x:c r="F348" s="8" t="str">
        <x:v>Ahmedabad</x:v>
      </x:c>
      <x:c r="G348" s="8" t="str">
        <x:f>IFERROR(INDEX('Lookup Tables'!$N$5:$N$14,MATCH(F348,'Lookup Tables'!$M$5:$M$14,0)),"Unknown")</x:f>
        <x:v>West</x:v>
      </x:c>
      <x:c r="H348" s="8" t="str">
        <x:v>PRD-008</x:v>
      </x:c>
      <x:c r="I348" s="8" t="str">
        <x:f>IFERROR(INDEX('Lookup Tables'!$G$5:$G$16,MATCH(H348,'Lookup Tables'!$F$5:$F$16,0)),"Unknown Product")</x:f>
        <x:v>Storage Container Set</x:v>
      </x:c>
      <x:c r="J348" s="8" t="str">
        <x:f>IFERROR(INDEX('Lookup Tables'!$H$5:$H$16,MATCH(H348,'Lookup Tables'!$F$5:$F$16,0)),"Unknown")</x:f>
        <x:v>Home &amp; Kitchen</x:v>
      </x:c>
      <x:c r="K348" s="8" t="n">
        <x:v>4</x:v>
      </x:c>
      <x:c r="L348" s="9" t="n">
        <x:f>IFERROR(INDEX('Lookup Tables'!$I$5:$I$16,MATCH(H348,'Lookup Tables'!$F$5:$F$16,0)),0)</x:f>
        <x:v>999</x:v>
      </x:c>
      <x:c r="M348" s="23" t="n">
        <x:f>IF('Raw Data'!M348="",0,'Raw Data'!M348)</x:f>
        <x:v>0.2</x:v>
      </x:c>
      <x:c r="N348" s="9" t="n">
        <x:f>IF(S348="Completed",K348*L348*(1-M348),0)</x:f>
        <x:v>3196.8</x:v>
      </x:c>
      <x:c r="O348" s="9" t="n">
        <x:f>IFERROR(INDEX('Lookup Tables'!$J$5:$J$16,MATCH(H348,'Lookup Tables'!$F$5:$F$16,0)),0)</x:f>
        <x:v>580</x:v>
      </x:c>
      <x:c r="P348" s="9" t="n">
        <x:f>IF(S348="Completed",K348*O348,0)</x:f>
        <x:v>2320</x:v>
      </x:c>
      <x:c r="Q348" s="9" t="n">
        <x:f>N348-P348</x:f>
        <x:v>876.8000000000002</x:v>
      </x:c>
      <x:c r="R348" s="8" t="str">
        <x:f>IF(LOWER('Raw Data'!N348)="upi","UPI",'Raw Data'!N348)</x:f>
        <x:v>UPI</x:v>
      </x:c>
      <x:c r="S348" s="8" t="str">
        <x:v>Completed</x:v>
      </x:c>
      <x:c r="T348" s="8" t="str">
        <x:f>TEXT(B348,"mmm yyyy")</x:f>
        <x:v>Feb 2025</x:v>
      </x:c>
      <x:c r="U348" s="8" t="n">
        <x:f>YEAR(B348)</x:f>
        <x:v>2025</x:v>
      </x:c>
    </x:row>
    <x:row r="349">
      <x:c r="A349" s="8" t="str">
        <x:v>ORD-0345</x:v>
      </x:c>
      <x:c r="B349" s="22" t="n">
        <x:v>45767.756532708336</x:v>
      </x:c>
      <x:c r="C349" s="8" t="str">
        <x:v>CUS-048</x:v>
      </x:c>
      <x:c r="D349" s="8" t="str">
        <x:f>IFERROR(INDEX('Lookup Tables'!$B$5:$B$84,MATCH(C349,'Lookup Tables'!$A$5:$A$84,0)),"Unknown Customer")</x:f>
        <x:v>Meera Nair 3</x:v>
      </x:c>
      <x:c r="E349" s="8" t="str">
        <x:f>IFERROR(INDEX('Lookup Tables'!$C$5:$C$84,MATCH(C349,'Lookup Tables'!$A$5:$A$84,0)),"Unknown")</x:f>
        <x:v>Small Business</x:v>
      </x:c>
      <x:c r="F349" s="8" t="str">
        <x:v>Mumbai</x:v>
      </x:c>
      <x:c r="G349" s="8" t="str">
        <x:f>IFERROR(INDEX('Lookup Tables'!$N$5:$N$14,MATCH(F349,'Lookup Tables'!$M$5:$M$14,0)),"Unknown")</x:f>
        <x:v>West</x:v>
      </x:c>
      <x:c r="H349" s="8" t="str">
        <x:v>PRD-008</x:v>
      </x:c>
      <x:c r="I349" s="8" t="str">
        <x:f>IFERROR(INDEX('Lookup Tables'!$G$5:$G$16,MATCH(H349,'Lookup Tables'!$F$5:$F$16,0)),"Unknown Product")</x:f>
        <x:v>Storage Container Set</x:v>
      </x:c>
      <x:c r="J349" s="8" t="str">
        <x:f>IFERROR(INDEX('Lookup Tables'!$H$5:$H$16,MATCH(H349,'Lookup Tables'!$F$5:$F$16,0)),"Unknown")</x:f>
        <x:v>Home &amp; Kitchen</x:v>
      </x:c>
      <x:c r="K349" s="8" t="n">
        <x:v>2</x:v>
      </x:c>
      <x:c r="L349" s="9" t="n">
        <x:f>IFERROR(INDEX('Lookup Tables'!$I$5:$I$16,MATCH(H349,'Lookup Tables'!$F$5:$F$16,0)),0)</x:f>
        <x:v>999</x:v>
      </x:c>
      <x:c r="M349" s="23" t="n">
        <x:f>IF('Raw Data'!M349="",0,'Raw Data'!M349)</x:f>
        <x:v>0</x:v>
      </x:c>
      <x:c r="N349" s="9" t="n">
        <x:f>IF(S349="Completed",K349*L349*(1-M349),0)</x:f>
        <x:v>1998</x:v>
      </x:c>
      <x:c r="O349" s="9" t="n">
        <x:f>IFERROR(INDEX('Lookup Tables'!$J$5:$J$16,MATCH(H349,'Lookup Tables'!$F$5:$F$16,0)),0)</x:f>
        <x:v>580</x:v>
      </x:c>
      <x:c r="P349" s="9" t="n">
        <x:f>IF(S349="Completed",K349*O349,0)</x:f>
        <x:v>1160</x:v>
      </x:c>
      <x:c r="Q349" s="9" t="n">
        <x:f>N349-P349</x:f>
        <x:v>838</x:v>
      </x:c>
      <x:c r="R349" s="8" t="str">
        <x:f>IF(LOWER('Raw Data'!N349)="upi","UPI",'Raw Data'!N349)</x:f>
        <x:v>UPI</x:v>
      </x:c>
      <x:c r="S349" s="8" t="str">
        <x:v>Completed</x:v>
      </x:c>
      <x:c r="T349" s="8" t="str">
        <x:f>TEXT(B349,"mmm yyyy")</x:f>
        <x:v>Apr 2025</x:v>
      </x:c>
      <x:c r="U349" s="8" t="n">
        <x:f>YEAR(B349)</x:f>
        <x:v>2025</x:v>
      </x:c>
    </x:row>
    <x:row r="350">
      <x:c r="A350" s="8" t="str">
        <x:v>ORD-0346</x:v>
      </x:c>
      <x:c r="B350" s="22" t="n">
        <x:v>45842.21074231481</x:v>
      </x:c>
      <x:c r="C350" s="8" t="str">
        <x:v>CUS-029</x:v>
      </x:c>
      <x:c r="D350" s="8" t="str">
        <x:f>IFERROR(INDEX('Lookup Tables'!$B$5:$B$84,MATCH(C350,'Lookup Tables'!$A$5:$A$84,0)),"Unknown Customer")</x:f>
        <x:v>Rohan Das 2</x:v>
      </x:c>
      <x:c r="E350" s="8" t="str">
        <x:f>IFERROR(INDEX('Lookup Tables'!$C$5:$C$84,MATCH(C350,'Lookup Tables'!$A$5:$A$84,0)),"Unknown")</x:f>
        <x:v>Corporate</x:v>
      </x:c>
      <x:c r="F350" s="8" t="str">
        <x:v>Ahmedabad</x:v>
      </x:c>
      <x:c r="G350" s="8" t="str">
        <x:f>IFERROR(INDEX('Lookup Tables'!$N$5:$N$14,MATCH(F350,'Lookup Tables'!$M$5:$M$14,0)),"Unknown")</x:f>
        <x:v>West</x:v>
      </x:c>
      <x:c r="H350" s="8" t="str">
        <x:v>PRD-012</x:v>
      </x:c>
      <x:c r="I350" s="8" t="str">
        <x:f>IFERROR(INDEX('Lookup Tables'!$G$5:$G$16,MATCH(H350,'Lookup Tables'!$F$5:$F$16,0)),"Unknown Product")</x:f>
        <x:v>Stainless Water Bottle</x:v>
      </x:c>
      <x:c r="J350" s="8" t="str">
        <x:f>IFERROR(INDEX('Lookup Tables'!$H$5:$H$16,MATCH(H350,'Lookup Tables'!$F$5:$F$16,0)),"Unknown")</x:f>
        <x:v>Lifestyle</x:v>
      </x:c>
      <x:c r="K350" s="8" t="n">
        <x:v>4</x:v>
      </x:c>
      <x:c r="L350" s="9" t="n">
        <x:f>IFERROR(INDEX('Lookup Tables'!$I$5:$I$16,MATCH(H350,'Lookup Tables'!$F$5:$F$16,0)),0)</x:f>
        <x:v>799</x:v>
      </x:c>
      <x:c r="M350" s="23" t="n">
        <x:f>IF('Raw Data'!M350="",0,'Raw Data'!M350)</x:f>
        <x:v>0</x:v>
      </x:c>
      <x:c r="N350" s="9" t="n">
        <x:f>IF(S350="Completed",K350*L350*(1-M350),0)</x:f>
        <x:v>3196</x:v>
      </x:c>
      <x:c r="O350" s="9" t="n">
        <x:f>IFERROR(INDEX('Lookup Tables'!$J$5:$J$16,MATCH(H350,'Lookup Tables'!$F$5:$F$16,0)),0)</x:f>
        <x:v>410</x:v>
      </x:c>
      <x:c r="P350" s="9" t="n">
        <x:f>IF(S350="Completed",K350*O350,0)</x:f>
        <x:v>1640</x:v>
      </x:c>
      <x:c r="Q350" s="9" t="n">
        <x:f>N350-P350</x:f>
        <x:v>1556</x:v>
      </x:c>
      <x:c r="R350" s="8" t="str">
        <x:f>IF(LOWER('Raw Data'!N350)="upi","UPI",'Raw Data'!N350)</x:f>
        <x:v>Cash on Delivery</x:v>
      </x:c>
      <x:c r="S350" s="8" t="str">
        <x:v>Completed</x:v>
      </x:c>
      <x:c r="T350" s="8" t="str">
        <x:f>TEXT(B350,"mmm yyyy")</x:f>
        <x:v>Jul 2025</x:v>
      </x:c>
      <x:c r="U350" s="8" t="n">
        <x:f>YEAR(B350)</x:f>
        <x:v>2025</x:v>
      </x:c>
    </x:row>
    <x:row r="351">
      <x:c r="A351" s="8" t="str">
        <x:v>ORD-0347</x:v>
      </x:c>
      <x:c r="B351" s="22" t="n">
        <x:v>45905.287820949074</x:v>
      </x:c>
      <x:c r="C351" s="8" t="str">
        <x:v>CUS-019</x:v>
      </x:c>
      <x:c r="D351" s="8" t="str">
        <x:f>IFERROR(INDEX('Lookup Tables'!$B$5:$B$84,MATCH(C351,'Lookup Tables'!$A$5:$A$84,0)),"Unknown Customer")</x:f>
        <x:v>Siddharth Jain</x:v>
      </x:c>
      <x:c r="E351" s="8" t="str">
        <x:f>IFERROR(INDEX('Lookup Tables'!$C$5:$C$84,MATCH(C351,'Lookup Tables'!$A$5:$A$84,0)),"Unknown")</x:f>
        <x:v>Consumer</x:v>
      </x:c>
      <x:c r="F351" s="8" t="str">
        <x:v>Kolkata</x:v>
      </x:c>
      <x:c r="G351" s="8" t="str">
        <x:f>IFERROR(INDEX('Lookup Tables'!$N$5:$N$14,MATCH(F351,'Lookup Tables'!$M$5:$M$14,0)),"Unknown")</x:f>
        <x:v>East</x:v>
      </x:c>
      <x:c r="H351" s="8" t="str">
        <x:v>PRD-012</x:v>
      </x:c>
      <x:c r="I351" s="8" t="str">
        <x:f>IFERROR(INDEX('Lookup Tables'!$G$5:$G$16,MATCH(H351,'Lookup Tables'!$F$5:$F$16,0)),"Unknown Product")</x:f>
        <x:v>Stainless Water Bottle</x:v>
      </x:c>
      <x:c r="J351" s="8" t="str">
        <x:f>IFERROR(INDEX('Lookup Tables'!$H$5:$H$16,MATCH(H351,'Lookup Tables'!$F$5:$F$16,0)),"Unknown")</x:f>
        <x:v>Lifestyle</x:v>
      </x:c>
      <x:c r="K351" s="8" t="n">
        <x:v>1</x:v>
      </x:c>
      <x:c r="L351" s="9" t="n">
        <x:f>IFERROR(INDEX('Lookup Tables'!$I$5:$I$16,MATCH(H351,'Lookup Tables'!$F$5:$F$16,0)),0)</x:f>
        <x:v>799</x:v>
      </x:c>
      <x:c r="M351" s="23" t="n">
        <x:f>IF('Raw Data'!M351="",0,'Raw Data'!M351)</x:f>
        <x:v>0.05</x:v>
      </x:c>
      <x:c r="N351" s="9" t="n">
        <x:f>IF(S351="Completed",K351*L351*(1-M351),0)</x:f>
        <x:v>759.05</x:v>
      </x:c>
      <x:c r="O351" s="9" t="n">
        <x:f>IFERROR(INDEX('Lookup Tables'!$J$5:$J$16,MATCH(H351,'Lookup Tables'!$F$5:$F$16,0)),0)</x:f>
        <x:v>410</x:v>
      </x:c>
      <x:c r="P351" s="9" t="n">
        <x:f>IF(S351="Completed",K351*O351,0)</x:f>
        <x:v>410</x:v>
      </x:c>
      <x:c r="Q351" s="9" t="n">
        <x:f>N351-P351</x:f>
        <x:v>349.04999999999995</x:v>
      </x:c>
      <x:c r="R351" s="8" t="str">
        <x:f>IF(LOWER('Raw Data'!N351)="upi","UPI",'Raw Data'!N351)</x:f>
        <x:v>Net Banking</x:v>
      </x:c>
      <x:c r="S351" s="8" t="str">
        <x:v>Completed</x:v>
      </x:c>
      <x:c r="T351" s="8" t="str">
        <x:f>TEXT(B351,"mmm yyyy")</x:f>
        <x:v>Sep 2025</x:v>
      </x:c>
      <x:c r="U351" s="8" t="n">
        <x:f>YEAR(B351)</x:f>
        <x:v>2025</x:v>
      </x:c>
    </x:row>
    <x:row r="352">
      <x:c r="A352" s="8" t="str">
        <x:v>ORD-0348</x:v>
      </x:c>
      <x:c r="B352" s="22" t="n">
        <x:v>45792.875952685186</x:v>
      </x:c>
      <x:c r="C352" s="8" t="str">
        <x:v>CUS-032</x:v>
      </x:c>
      <x:c r="D352" s="8" t="str">
        <x:f>IFERROR(INDEX('Lookup Tables'!$B$5:$B$84,MATCH(C352,'Lookup Tables'!$A$5:$A$84,0)),"Unknown Customer")</x:f>
        <x:v>Priya Kapoor 2</x:v>
      </x:c>
      <x:c r="E352" s="8" t="str">
        <x:f>IFERROR(INDEX('Lookup Tables'!$C$5:$C$84,MATCH(C352,'Lookup Tables'!$A$5:$A$84,0)),"Unknown")</x:f>
        <x:v>Corporate</x:v>
      </x:c>
      <x:c r="F352" s="8" t="str">
        <x:v>Pune</x:v>
      </x:c>
      <x:c r="G352" s="8" t="str">
        <x:f>IFERROR(INDEX('Lookup Tables'!$N$5:$N$14,MATCH(F352,'Lookup Tables'!$M$5:$M$14,0)),"Unknown")</x:f>
        <x:v>West</x:v>
      </x:c>
      <x:c r="H352" s="8" t="str">
        <x:v>PRD-003</x:v>
      </x:c>
      <x:c r="I352" s="8" t="str">
        <x:f>IFERROR(INDEX('Lookup Tables'!$G$5:$G$16,MATCH(H352,'Lookup Tables'!$F$5:$F$16,0)),"Unknown Product")</x:f>
        <x:v>USB-C Hub</x:v>
      </x:c>
      <x:c r="J352" s="8" t="str">
        <x:f>IFERROR(INDEX('Lookup Tables'!$H$5:$H$16,MATCH(H352,'Lookup Tables'!$F$5:$F$16,0)),"Unknown")</x:f>
        <x:v>Electronics</x:v>
      </x:c>
      <x:c r="K352" s="8" t="n">
        <x:v>3</x:v>
      </x:c>
      <x:c r="L352" s="9" t="n">
        <x:f>IFERROR(INDEX('Lookup Tables'!$I$5:$I$16,MATCH(H352,'Lookup Tables'!$F$5:$F$16,0)),0)</x:f>
        <x:v>1899</x:v>
      </x:c>
      <x:c r="M352" s="23" t="n">
        <x:f>IF('Raw Data'!M352="",0,'Raw Data'!M352)</x:f>
        <x:v>0</x:v>
      </x:c>
      <x:c r="N352" s="9" t="n">
        <x:f>IF(S352="Completed",K352*L352*(1-M352),0)</x:f>
        <x:v>0</x:v>
      </x:c>
      <x:c r="O352" s="9" t="n">
        <x:f>IFERROR(INDEX('Lookup Tables'!$J$5:$J$16,MATCH(H352,'Lookup Tables'!$F$5:$F$16,0)),0)</x:f>
        <x:v>1180</x:v>
      </x:c>
      <x:c r="P352" s="9" t="n">
        <x:f>IF(S352="Completed",K352*O352,0)</x:f>
        <x:v>0</x:v>
      </x:c>
      <x:c r="Q352" s="9" t="n">
        <x:f>N352-P352</x:f>
        <x:v>0</x:v>
      </x:c>
      <x:c r="R352" s="8" t="str">
        <x:f>IF(LOWER('Raw Data'!N352)="upi","UPI",'Raw Data'!N352)</x:f>
        <x:v>Net Banking</x:v>
      </x:c>
      <x:c r="S352" s="8" t="str">
        <x:v>Cancelled</x:v>
      </x:c>
      <x:c r="T352" s="8" t="str">
        <x:f>TEXT(B352,"mmm yyyy")</x:f>
        <x:v>May 2025</x:v>
      </x:c>
      <x:c r="U352" s="8" t="n">
        <x:f>YEAR(B352)</x:f>
        <x:v>2025</x:v>
      </x:c>
    </x:row>
    <x:row r="353">
      <x:c r="A353" s="8" t="str">
        <x:v>ORD-0349</x:v>
      </x:c>
      <x:c r="B353" s="22" t="n">
        <x:v>45912.82516565972</x:v>
      </x:c>
      <x:c r="C353" s="8" t="str">
        <x:v>CUS-023</x:v>
      </x:c>
      <x:c r="D353" s="8" t="str">
        <x:f>IFERROR(INDEX('Lookup Tables'!$B$5:$B$84,MATCH(C353,'Lookup Tables'!$A$5:$A$84,0)),"Unknown Customer")</x:f>
        <x:v>Vihaan Singh 2</x:v>
      </x:c>
      <x:c r="E353" s="8" t="str">
        <x:f>IFERROR(INDEX('Lookup Tables'!$C$5:$C$84,MATCH(C353,'Lookup Tables'!$A$5:$A$84,0)),"Unknown")</x:f>
        <x:v>Corporate</x:v>
      </x:c>
      <x:c r="F353" s="8" t="str">
        <x:v>Chennai</x:v>
      </x:c>
      <x:c r="G353" s="8" t="str">
        <x:f>IFERROR(INDEX('Lookup Tables'!$N$5:$N$14,MATCH(F353,'Lookup Tables'!$M$5:$M$14,0)),"Unknown")</x:f>
        <x:v>South</x:v>
      </x:c>
      <x:c r="H353" s="8" t="str">
        <x:v>PRD-010</x:v>
      </x:c>
      <x:c r="I353" s="8" t="str">
        <x:f>IFERROR(INDEX('Lookup Tables'!$G$5:$G$16,MATCH(H353,'Lookup Tables'!$F$5:$F$16,0)),"Unknown Product")</x:f>
        <x:v>Travel Backpack</x:v>
      </x:c>
      <x:c r="J353" s="8" t="str">
        <x:f>IFERROR(INDEX('Lookup Tables'!$H$5:$H$16,MATCH(H353,'Lookup Tables'!$F$5:$F$16,0)),"Unknown")</x:f>
        <x:v>Fashion</x:v>
      </x:c>
      <x:c r="K353" s="8" t="n">
        <x:v>4</x:v>
      </x:c>
      <x:c r="L353" s="9" t="n">
        <x:f>IFERROR(INDEX('Lookup Tables'!$I$5:$I$16,MATCH(H353,'Lookup Tables'!$F$5:$F$16,0)),0)</x:f>
        <x:v>2199</x:v>
      </x:c>
      <x:c r="M353" s="23" t="n">
        <x:f>IF('Raw Data'!M353="",0,'Raw Data'!M353)</x:f>
        <x:v>0</x:v>
      </x:c>
      <x:c r="N353" s="9" t="n">
        <x:f>IF(S353="Completed",K353*L353*(1-M353),0)</x:f>
        <x:v>0</x:v>
      </x:c>
      <x:c r="O353" s="9" t="n">
        <x:f>IFERROR(INDEX('Lookup Tables'!$J$5:$J$16,MATCH(H353,'Lookup Tables'!$F$5:$F$16,0)),0)</x:f>
        <x:v>1380</x:v>
      </x:c>
      <x:c r="P353" s="9" t="n">
        <x:f>IF(S353="Completed",K353*O353,0)</x:f>
        <x:v>0</x:v>
      </x:c>
      <x:c r="Q353" s="9" t="n">
        <x:f>N353-P353</x:f>
        <x:v>0</x:v>
      </x:c>
      <x:c r="R353" s="8" t="str">
        <x:f>IF(LOWER('Raw Data'!N353)="upi","UPI",'Raw Data'!N353)</x:f>
        <x:v>Cash on Delivery</x:v>
      </x:c>
      <x:c r="S353" s="8" t="str">
        <x:v>Returned</x:v>
      </x:c>
      <x:c r="T353" s="8" t="str">
        <x:f>TEXT(B353,"mmm yyyy")</x:f>
        <x:v>Sep 2025</x:v>
      </x:c>
      <x:c r="U353" s="8" t="n">
        <x:f>YEAR(B353)</x:f>
        <x:v>2025</x:v>
      </x:c>
    </x:row>
    <x:row r="354">
      <x:c r="A354" s="8" t="str">
        <x:v>ORD-0350</x:v>
      </x:c>
      <x:c r="B354" s="22" t="n">
        <x:v>45726.29103111111</x:v>
      </x:c>
      <x:c r="C354" s="8" t="str">
        <x:v>CUS-076</x:v>
      </x:c>
      <x:c r="D354" s="8" t="str">
        <x:f>IFERROR(INDEX('Lookup Tables'!$B$5:$B$84,MATCH(C354,'Lookup Tables'!$A$5:$A$84,0)),"Unknown Customer")</x:f>
        <x:v>Pooja Saxena 4</x:v>
      </x:c>
      <x:c r="E354" s="8" t="str">
        <x:f>IFERROR(INDEX('Lookup Tables'!$C$5:$C$84,MATCH(C354,'Lookup Tables'!$A$5:$A$84,0)),"Unknown")</x:f>
        <x:v>Consumer</x:v>
      </x:c>
      <x:c r="F354" s="8" t="str">
        <x:v>Mumbai</x:v>
      </x:c>
      <x:c r="G354" s="8" t="str">
        <x:f>IFERROR(INDEX('Lookup Tables'!$N$5:$N$14,MATCH(F354,'Lookup Tables'!$M$5:$M$14,0)),"Unknown")</x:f>
        <x:v>West</x:v>
      </x:c>
      <x:c r="H354" s="8" t="str">
        <x:v>PRD-001</x:v>
      </x:c>
      <x:c r="I354" s="8" t="str">
        <x:f>IFERROR(INDEX('Lookup Tables'!$G$5:$G$16,MATCH(H354,'Lookup Tables'!$F$5:$F$16,0)),"Unknown Product")</x:f>
        <x:v>Wireless Mouse</x:v>
      </x:c>
      <x:c r="J354" s="8" t="str">
        <x:f>IFERROR(INDEX('Lookup Tables'!$H$5:$H$16,MATCH(H354,'Lookup Tables'!$F$5:$F$16,0)),"Unknown")</x:f>
        <x:v>Electronics</x:v>
      </x:c>
      <x:c r="K354" s="8" t="n">
        <x:v>4</x:v>
      </x:c>
      <x:c r="L354" s="9" t="n">
        <x:f>IFERROR(INDEX('Lookup Tables'!$I$5:$I$16,MATCH(H354,'Lookup Tables'!$F$5:$F$16,0)),0)</x:f>
        <x:v>899</x:v>
      </x:c>
      <x:c r="M354" s="23" t="n">
        <x:f>IF('Raw Data'!M354="",0,'Raw Data'!M354)</x:f>
        <x:v>0.1</x:v>
      </x:c>
      <x:c r="N354" s="9" t="n">
        <x:f>IF(S354="Completed",K354*L354*(1-M354),0)</x:f>
        <x:v>0</x:v>
      </x:c>
      <x:c r="O354" s="9" t="n">
        <x:f>IFERROR(INDEX('Lookup Tables'!$J$5:$J$16,MATCH(H354,'Lookup Tables'!$F$5:$F$16,0)),0)</x:f>
        <x:v>540</x:v>
      </x:c>
      <x:c r="P354" s="9" t="n">
        <x:f>IF(S354="Completed",K354*O354,0)</x:f>
        <x:v>0</x:v>
      </x:c>
      <x:c r="Q354" s="9" t="n">
        <x:f>N354-P354</x:f>
        <x:v>0</x:v>
      </x:c>
      <x:c r="R354" s="8" t="str">
        <x:f>IF(LOWER('Raw Data'!N354)="upi","UPI",'Raw Data'!N354)</x:f>
        <x:v>Debit Card</x:v>
      </x:c>
      <x:c r="S354" s="8" t="str">
        <x:v>Cancelled</x:v>
      </x:c>
      <x:c r="T354" s="8" t="str">
        <x:f>TEXT(B354,"mmm yyyy")</x:f>
        <x:v>Mar 2025</x:v>
      </x:c>
      <x:c r="U354" s="8" t="n">
        <x:f>YEAR(B354)</x:f>
        <x:v>2025</x:v>
      </x:c>
    </x:row>
    <x:row r="355">
      <x:c r="A355" s="8" t="str">
        <x:v>ORD-0351</x:v>
      </x:c>
      <x:c r="B355" s="22" t="n">
        <x:v>45845.219259375</x:v>
      </x:c>
      <x:c r="C355" s="8" t="str">
        <x:v>CUS-024</x:v>
      </x:c>
      <x:c r="D355" s="8" t="str">
        <x:f>IFERROR(INDEX('Lookup Tables'!$B$5:$B$84,MATCH(C355,'Lookup Tables'!$A$5:$A$84,0)),"Unknown Customer")</x:f>
        <x:v>Ananya Gupta 2</x:v>
      </x:c>
      <x:c r="E355" s="8" t="str">
        <x:f>IFERROR(INDEX('Lookup Tables'!$C$5:$C$84,MATCH(C355,'Lookup Tables'!$A$5:$A$84,0)),"Unknown")</x:f>
        <x:v>Small Business</x:v>
      </x:c>
      <x:c r="F355" s="8" t="str">
        <x:v>Pune</x:v>
      </x:c>
      <x:c r="G355" s="8" t="str">
        <x:f>IFERROR(INDEX('Lookup Tables'!$N$5:$N$14,MATCH(F355,'Lookup Tables'!$M$5:$M$14,0)),"Unknown")</x:f>
        <x:v>West</x:v>
      </x:c>
      <x:c r="H355" s="8" t="str">
        <x:v>PRD-004</x:v>
      </x:c>
      <x:c r="I355" s="8" t="str">
        <x:f>IFERROR(INDEX('Lookup Tables'!$G$5:$G$16,MATCH(H355,'Lookup Tables'!$F$5:$F$16,0)),"Unknown Product")</x:f>
        <x:v>Laptop Stand</x:v>
      </x:c>
      <x:c r="J355" s="8" t="str">
        <x:f>IFERROR(INDEX('Lookup Tables'!$H$5:$H$16,MATCH(H355,'Lookup Tables'!$F$5:$F$16,0)),"Unknown")</x:f>
        <x:v>Office Supplies</x:v>
      </x:c>
      <x:c r="K355" s="8" t="n">
        <x:v>3</x:v>
      </x:c>
      <x:c r="L355" s="9" t="n">
        <x:f>IFERROR(INDEX('Lookup Tables'!$I$5:$I$16,MATCH(H355,'Lookup Tables'!$F$5:$F$16,0)),0)</x:f>
        <x:v>1299</x:v>
      </x:c>
      <x:c r="M355" s="23" t="n">
        <x:f>IF('Raw Data'!M355="",0,'Raw Data'!M355)</x:f>
        <x:v>0.1</x:v>
      </x:c>
      <x:c r="N355" s="9" t="n">
        <x:f>IF(S355="Completed",K355*L355*(1-M355),0)</x:f>
        <x:v>0</x:v>
      </x:c>
      <x:c r="O355" s="9" t="n">
        <x:f>IFERROR(INDEX('Lookup Tables'!$J$5:$J$16,MATCH(H355,'Lookup Tables'!$F$5:$F$16,0)),0)</x:f>
        <x:v>760</x:v>
      </x:c>
      <x:c r="P355" s="9" t="n">
        <x:f>IF(S355="Completed",K355*O355,0)</x:f>
        <x:v>0</x:v>
      </x:c>
      <x:c r="Q355" s="9" t="n">
        <x:f>N355-P355</x:f>
        <x:v>0</x:v>
      </x:c>
      <x:c r="R355" s="8" t="str">
        <x:f>IF(LOWER('Raw Data'!N355)="upi","UPI",'Raw Data'!N355)</x:f>
        <x:v>Net Banking</x:v>
      </x:c>
      <x:c r="S355" s="8" t="str">
        <x:v>Cancelled</x:v>
      </x:c>
      <x:c r="T355" s="8" t="str">
        <x:f>TEXT(B355,"mmm yyyy")</x:f>
        <x:v>Jul 2025</x:v>
      </x:c>
      <x:c r="U355" s="8" t="n">
        <x:f>YEAR(B355)</x:f>
        <x:v>2025</x:v>
      </x:c>
    </x:row>
    <x:row r="356">
      <x:c r="A356" s="8" t="str">
        <x:v>ORD-0352</x:v>
      </x:c>
      <x:c r="B356" s="22" t="n">
        <x:v>45752.633265648146</x:v>
      </x:c>
      <x:c r="C356" s="8" t="str">
        <x:v>CUS-060</x:v>
      </x:c>
      <x:c r="D356" s="8" t="str">
        <x:f>IFERROR(INDEX('Lookup Tables'!$B$5:$B$84,MATCH(C356,'Lookup Tables'!$A$5:$A$84,0)),"Unknown Customer")</x:f>
        <x:v>Kavya Reddy 3</x:v>
      </x:c>
      <x:c r="E356" s="8" t="str">
        <x:f>IFERROR(INDEX('Lookup Tables'!$C$5:$C$84,MATCH(C356,'Lookup Tables'!$A$5:$A$84,0)),"Unknown")</x:f>
        <x:v>Small Business</x:v>
      </x:c>
      <x:c r="F356" s="8" t="str">
        <x:v>Chennai</x:v>
      </x:c>
      <x:c r="G356" s="8" t="str">
        <x:f>IFERROR(INDEX('Lookup Tables'!$N$5:$N$14,MATCH(F356,'Lookup Tables'!$M$5:$M$14,0)),"Unknown")</x:f>
        <x:v>South</x:v>
      </x:c>
      <x:c r="H356" s="8" t="str">
        <x:v>PRD-002</x:v>
      </x:c>
      <x:c r="I356" s="8" t="str">
        <x:f>IFERROR(INDEX('Lookup Tables'!$G$5:$G$16,MATCH(H356,'Lookup Tables'!$F$5:$F$16,0)),"Unknown Product")</x:f>
        <x:v>Bluetooth Headphones</x:v>
      </x:c>
      <x:c r="J356" s="8" t="str">
        <x:f>IFERROR(INDEX('Lookup Tables'!$H$5:$H$16,MATCH(H356,'Lookup Tables'!$F$5:$F$16,0)),"Unknown")</x:f>
        <x:v>Electronics</x:v>
      </x:c>
      <x:c r="K356" s="8" t="n">
        <x:v>5</x:v>
      </x:c>
      <x:c r="L356" s="9" t="n">
        <x:f>IFERROR(INDEX('Lookup Tables'!$I$5:$I$16,MATCH(H356,'Lookup Tables'!$F$5:$F$16,0)),0)</x:f>
        <x:v>2499</x:v>
      </x:c>
      <x:c r="M356" s="23" t="n">
        <x:f>IF('Raw Data'!M356="",0,'Raw Data'!M356)</x:f>
        <x:v>0.15</x:v>
      </x:c>
      <x:c r="N356" s="9" t="n">
        <x:f>IF(S356="Completed",K356*L356*(1-M356),0)</x:f>
        <x:v>0</x:v>
      </x:c>
      <x:c r="O356" s="9" t="n">
        <x:f>IFERROR(INDEX('Lookup Tables'!$J$5:$J$16,MATCH(H356,'Lookup Tables'!$F$5:$F$16,0)),0)</x:f>
        <x:v>1620</x:v>
      </x:c>
      <x:c r="P356" s="9" t="n">
        <x:f>IF(S356="Completed",K356*O356,0)</x:f>
        <x:v>0</x:v>
      </x:c>
      <x:c r="Q356" s="9" t="n">
        <x:f>N356-P356</x:f>
        <x:v>0</x:v>
      </x:c>
      <x:c r="R356" s="8" t="str">
        <x:f>IF(LOWER('Raw Data'!N356)="upi","UPI",'Raw Data'!N356)</x:f>
        <x:v>Cash on Delivery</x:v>
      </x:c>
      <x:c r="S356" s="8" t="str">
        <x:v>Cancelled</x:v>
      </x:c>
      <x:c r="T356" s="8" t="str">
        <x:f>TEXT(B356,"mmm yyyy")</x:f>
        <x:v>Apr 2025</x:v>
      </x:c>
      <x:c r="U356" s="8" t="n">
        <x:f>YEAR(B356)</x:f>
        <x:v>2025</x:v>
      </x:c>
    </x:row>
    <x:row r="357">
      <x:c r="A357" s="8" t="str">
        <x:v>ORD-0353</x:v>
      </x:c>
      <x:c r="B357" s="22" t="n">
        <x:v>45683.96991105324</x:v>
      </x:c>
      <x:c r="C357" s="8" t="str">
        <x:v>CUS-080</x:v>
      </x:c>
      <x:c r="D357" s="8" t="str">
        <x:f>IFERROR(INDEX('Lookup Tables'!$B$5:$B$84,MATCH(C357,'Lookup Tables'!$A$5:$A$84,0)),"Unknown Customer")</x:f>
        <x:v>Kavya Reddy 4</x:v>
      </x:c>
      <x:c r="E357" s="8" t="str">
        <x:f>IFERROR(INDEX('Lookup Tables'!$C$5:$C$84,MATCH(C357,'Lookup Tables'!$A$5:$A$84,0)),"Unknown")</x:f>
        <x:v>Corporate</x:v>
      </x:c>
      <x:c r="F357" s="8" t="str">
        <x:v>Pune</x:v>
      </x:c>
      <x:c r="G357" s="8" t="str">
        <x:f>IFERROR(INDEX('Lookup Tables'!$N$5:$N$14,MATCH(F357,'Lookup Tables'!$M$5:$M$14,0)),"Unknown")</x:f>
        <x:v>West</x:v>
      </x:c>
      <x:c r="H357" s="8" t="str">
        <x:v>PRD-004</x:v>
      </x:c>
      <x:c r="I357" s="8" t="str">
        <x:f>IFERROR(INDEX('Lookup Tables'!$G$5:$G$16,MATCH(H357,'Lookup Tables'!$F$5:$F$16,0)),"Unknown Product")</x:f>
        <x:v>Laptop Stand</x:v>
      </x:c>
      <x:c r="J357" s="8" t="str">
        <x:f>IFERROR(INDEX('Lookup Tables'!$H$5:$H$16,MATCH(H357,'Lookup Tables'!$F$5:$F$16,0)),"Unknown")</x:f>
        <x:v>Office Supplies</x:v>
      </x:c>
      <x:c r="K357" s="8" t="n">
        <x:v>4</x:v>
      </x:c>
      <x:c r="L357" s="9" t="n">
        <x:f>IFERROR(INDEX('Lookup Tables'!$I$5:$I$16,MATCH(H357,'Lookup Tables'!$F$5:$F$16,0)),0)</x:f>
        <x:v>1299</x:v>
      </x:c>
      <x:c r="M357" s="23" t="n">
        <x:f>IF('Raw Data'!M357="",0,'Raw Data'!M357)</x:f>
        <x:v>0.05</x:v>
      </x:c>
      <x:c r="N357" s="9" t="n">
        <x:f>IF(S357="Completed",K357*L357*(1-M357),0)</x:f>
        <x:v>4936.2</x:v>
      </x:c>
      <x:c r="O357" s="9" t="n">
        <x:f>IFERROR(INDEX('Lookup Tables'!$J$5:$J$16,MATCH(H357,'Lookup Tables'!$F$5:$F$16,0)),0)</x:f>
        <x:v>760</x:v>
      </x:c>
      <x:c r="P357" s="9" t="n">
        <x:f>IF(S357="Completed",K357*O357,0)</x:f>
        <x:v>3040</x:v>
      </x:c>
      <x:c r="Q357" s="9" t="n">
        <x:f>N357-P357</x:f>
        <x:v>1896.1999999999998</x:v>
      </x:c>
      <x:c r="R357" s="8" t="str">
        <x:f>IF(LOWER('Raw Data'!N357)="upi","UPI",'Raw Data'!N357)</x:f>
        <x:v>UPI</x:v>
      </x:c>
      <x:c r="S357" s="8" t="str">
        <x:v>Completed</x:v>
      </x:c>
      <x:c r="T357" s="8" t="str">
        <x:f>TEXT(B357,"mmm yyyy")</x:f>
        <x:v>Jan 2025</x:v>
      </x:c>
      <x:c r="U357" s="8" t="n">
        <x:f>YEAR(B357)</x:f>
        <x:v>2025</x:v>
      </x:c>
    </x:row>
    <x:row r="358">
      <x:c r="A358" s="8" t="str">
        <x:v>ORD-0354</x:v>
      </x:c>
      <x:c r="B358" s="22" t="n">
        <x:v>45688.17342489583</x:v>
      </x:c>
      <x:c r="C358" s="8" t="str">
        <x:v>CUS-030</x:v>
      </x:c>
      <x:c r="D358" s="8" t="str">
        <x:f>IFERROR(INDEX('Lookup Tables'!$B$5:$B$84,MATCH(C358,'Lookup Tables'!$A$5:$A$84,0)),"Unknown Customer")</x:f>
        <x:v>Saanvi Iyer 2</x:v>
      </x:c>
      <x:c r="E358" s="8" t="str">
        <x:f>IFERROR(INDEX('Lookup Tables'!$C$5:$C$84,MATCH(C358,'Lookup Tables'!$A$5:$A$84,0)),"Unknown")</x:f>
        <x:v>Small Business</x:v>
      </x:c>
      <x:c r="F358" s="8" t="str">
        <x:v>Mumbai</x:v>
      </x:c>
      <x:c r="G358" s="8" t="str">
        <x:f>IFERROR(INDEX('Lookup Tables'!$N$5:$N$14,MATCH(F358,'Lookup Tables'!$M$5:$M$14,0)),"Unknown")</x:f>
        <x:v>West</x:v>
      </x:c>
      <x:c r="H358" s="8" t="str">
        <x:v>PRD-006</x:v>
      </x:c>
      <x:c r="I358" s="8" t="str">
        <x:f>IFERROR(INDEX('Lookup Tables'!$G$5:$G$16,MATCH(H358,'Lookup Tables'!$F$5:$F$16,0)),"Unknown Product")</x:f>
        <x:v>Desk Organiser</x:v>
      </x:c>
      <x:c r="J358" s="8" t="str">
        <x:f>IFERROR(INDEX('Lookup Tables'!$H$5:$H$16,MATCH(H358,'Lookup Tables'!$F$5:$F$16,0)),"Unknown")</x:f>
        <x:v>Office Supplies</x:v>
      </x:c>
      <x:c r="K358" s="8" t="n">
        <x:v>5</x:v>
      </x:c>
      <x:c r="L358" s="9" t="n">
        <x:f>IFERROR(INDEX('Lookup Tables'!$I$5:$I$16,MATCH(H358,'Lookup Tables'!$F$5:$F$16,0)),0)</x:f>
        <x:v>699</x:v>
      </x:c>
      <x:c r="M358" s="23" t="n">
        <x:f>IF('Raw Data'!M358="",0,'Raw Data'!M358)</x:f>
        <x:v>0.1</x:v>
      </x:c>
      <x:c r="N358" s="9" t="n">
        <x:f>IF(S358="Completed",K358*L358*(1-M358),0)</x:f>
        <x:v>0</x:v>
      </x:c>
      <x:c r="O358" s="9" t="n">
        <x:f>IFERROR(INDEX('Lookup Tables'!$J$5:$J$16,MATCH(H358,'Lookup Tables'!$F$5:$F$16,0)),0)</x:f>
        <x:v>390</x:v>
      </x:c>
      <x:c r="P358" s="9" t="n">
        <x:f>IF(S358="Completed",K358*O358,0)</x:f>
        <x:v>0</x:v>
      </x:c>
      <x:c r="Q358" s="9" t="n">
        <x:f>N358-P358</x:f>
        <x:v>0</x:v>
      </x:c>
      <x:c r="R358" s="8" t="str">
        <x:f>IF(LOWER('Raw Data'!N358)="upi","UPI",'Raw Data'!N358)</x:f>
        <x:v>Net Banking</x:v>
      </x:c>
      <x:c r="S358" s="8" t="str">
        <x:v>Returned</x:v>
      </x:c>
      <x:c r="T358" s="8" t="str">
        <x:f>TEXT(B358,"mmm yyyy")</x:f>
        <x:v>Jan 2025</x:v>
      </x:c>
      <x:c r="U358" s="8" t="n">
        <x:f>YEAR(B358)</x:f>
        <x:v>2025</x:v>
      </x:c>
    </x:row>
    <x:row r="359">
      <x:c r="A359" s="8" t="str">
        <x:v>ORD-0355</x:v>
      </x:c>
      <x:c r="B359" s="22" t="n">
        <x:v>45938.561602974536</x:v>
      </x:c>
      <x:c r="C359" s="8" t="str">
        <x:v>CUS-057</x:v>
      </x:c>
      <x:c r="D359" s="8" t="str">
        <x:f>IFERROR(INDEX('Lookup Tables'!$B$5:$B$84,MATCH(C359,'Lookup Tables'!$A$5:$A$84,0)),"Unknown Customer")</x:f>
        <x:v>Vikram Yadav 3</x:v>
      </x:c>
      <x:c r="E359" s="8" t="str">
        <x:f>IFERROR(INDEX('Lookup Tables'!$C$5:$C$84,MATCH(C359,'Lookup Tables'!$A$5:$A$84,0)),"Unknown")</x:f>
        <x:v>Small Business</x:v>
      </x:c>
      <x:c r="F359" s="8" t="str">
        <x:v>Jaipur</x:v>
      </x:c>
      <x:c r="G359" s="8" t="str">
        <x:f>IFERROR(INDEX('Lookup Tables'!$N$5:$N$14,MATCH(F359,'Lookup Tables'!$M$5:$M$14,0)),"Unknown")</x:f>
        <x:v>North</x:v>
      </x:c>
      <x:c r="H359" s="8" t="str">
        <x:v>PRD-005</x:v>
      </x:c>
      <x:c r="I359" s="8" t="str">
        <x:f>IFERROR(INDEX('Lookup Tables'!$G$5:$G$16,MATCH(H359,'Lookup Tables'!$F$5:$F$16,0)),"Unknown Product")</x:f>
        <x:v>Executive Notebook</x:v>
      </x:c>
      <x:c r="J359" s="8" t="str">
        <x:f>IFERROR(INDEX('Lookup Tables'!$H$5:$H$16,MATCH(H359,'Lookup Tables'!$F$5:$F$16,0)),"Unknown")</x:f>
        <x:v>Office Supplies</x:v>
      </x:c>
      <x:c r="K359" s="8" t="n">
        <x:v>5</x:v>
      </x:c>
      <x:c r="L359" s="9" t="n">
        <x:f>IFERROR(INDEX('Lookup Tables'!$I$5:$I$16,MATCH(H359,'Lookup Tables'!$F$5:$F$16,0)),0)</x:f>
        <x:v>349</x:v>
      </x:c>
      <x:c r="M359" s="23" t="n">
        <x:f>IF('Raw Data'!M359="",0,'Raw Data'!M359)</x:f>
        <x:v>0.1</x:v>
      </x:c>
      <x:c r="N359" s="9" t="n">
        <x:f>IF(S359="Completed",K359*L359*(1-M359),0)</x:f>
        <x:v>1570.5</x:v>
      </x:c>
      <x:c r="O359" s="9" t="n">
        <x:f>IFERROR(INDEX('Lookup Tables'!$J$5:$J$16,MATCH(H359,'Lookup Tables'!$F$5:$F$16,0)),0)</x:f>
        <x:v>170</x:v>
      </x:c>
      <x:c r="P359" s="9" t="n">
        <x:f>IF(S359="Completed",K359*O359,0)</x:f>
        <x:v>850</x:v>
      </x:c>
      <x:c r="Q359" s="9" t="n">
        <x:f>N359-P359</x:f>
        <x:v>720.5</x:v>
      </x:c>
      <x:c r="R359" s="8" t="str">
        <x:f>IF(LOWER('Raw Data'!N359)="upi","UPI",'Raw Data'!N359)</x:f>
        <x:v>Net Banking</x:v>
      </x:c>
      <x:c r="S359" s="8" t="str">
        <x:v>Completed</x:v>
      </x:c>
      <x:c r="T359" s="8" t="str">
        <x:f>TEXT(B359,"mmm yyyy")</x:f>
        <x:v>Oct 2025</x:v>
      </x:c>
      <x:c r="U359" s="8" t="n">
        <x:f>YEAR(B359)</x:f>
        <x:v>2025</x:v>
      </x:c>
    </x:row>
    <x:row r="360">
      <x:c r="A360" s="8" t="str">
        <x:v>ORD-0356</x:v>
      </x:c>
      <x:c r="B360" s="22" t="n">
        <x:v>45911.01881262731</x:v>
      </x:c>
      <x:c r="C360" s="8" t="str">
        <x:v>CUS-019</x:v>
      </x:c>
      <x:c r="D360" s="8" t="str">
        <x:f>IFERROR(INDEX('Lookup Tables'!$B$5:$B$84,MATCH(C360,'Lookup Tables'!$A$5:$A$84,0)),"Unknown Customer")</x:f>
        <x:v>Siddharth Jain</x:v>
      </x:c>
      <x:c r="E360" s="8" t="str">
        <x:f>IFERROR(INDEX('Lookup Tables'!$C$5:$C$84,MATCH(C360,'Lookup Tables'!$A$5:$A$84,0)),"Unknown")</x:f>
        <x:v>Consumer</x:v>
      </x:c>
      <x:c r="F360" s="8" t="str">
        <x:v>Lucknow</x:v>
      </x:c>
      <x:c r="G360" s="8" t="str">
        <x:f>IFERROR(INDEX('Lookup Tables'!$N$5:$N$14,MATCH(F360,'Lookup Tables'!$M$5:$M$14,0)),"Unknown")</x:f>
        <x:v>North</x:v>
      </x:c>
      <x:c r="H360" s="8" t="str">
        <x:v>PRD-010</x:v>
      </x:c>
      <x:c r="I360" s="8" t="str">
        <x:f>IFERROR(INDEX('Lookup Tables'!$G$5:$G$16,MATCH(H360,'Lookup Tables'!$F$5:$F$16,0)),"Unknown Product")</x:f>
        <x:v>Travel Backpack</x:v>
      </x:c>
      <x:c r="J360" s="8" t="str">
        <x:f>IFERROR(INDEX('Lookup Tables'!$H$5:$H$16,MATCH(H360,'Lookup Tables'!$F$5:$F$16,0)),"Unknown")</x:f>
        <x:v>Fashion</x:v>
      </x:c>
      <x:c r="K360" s="8" t="n">
        <x:v>2</x:v>
      </x:c>
      <x:c r="L360" s="9" t="n">
        <x:f>IFERROR(INDEX('Lookup Tables'!$I$5:$I$16,MATCH(H360,'Lookup Tables'!$F$5:$F$16,0)),0)</x:f>
        <x:v>2199</x:v>
      </x:c>
      <x:c r="M360" s="23" t="n">
        <x:f>IF('Raw Data'!M360="",0,'Raw Data'!M360)</x:f>
        <x:v>0.15</x:v>
      </x:c>
      <x:c r="N360" s="9" t="n">
        <x:f>IF(S360="Completed",K360*L360*(1-M360),0)</x:f>
        <x:v>0</x:v>
      </x:c>
      <x:c r="O360" s="9" t="n">
        <x:f>IFERROR(INDEX('Lookup Tables'!$J$5:$J$16,MATCH(H360,'Lookup Tables'!$F$5:$F$16,0)),0)</x:f>
        <x:v>1380</x:v>
      </x:c>
      <x:c r="P360" s="9" t="n">
        <x:f>IF(S360="Completed",K360*O360,0)</x:f>
        <x:v>0</x:v>
      </x:c>
      <x:c r="Q360" s="9" t="n">
        <x:f>N360-P360</x:f>
        <x:v>0</x:v>
      </x:c>
      <x:c r="R360" s="8" t="str">
        <x:f>IF(LOWER('Raw Data'!N360)="upi","UPI",'Raw Data'!N360)</x:f>
        <x:v>Debit Card</x:v>
      </x:c>
      <x:c r="S360" s="8" t="str">
        <x:v>Cancelled</x:v>
      </x:c>
      <x:c r="T360" s="8" t="str">
        <x:f>TEXT(B360,"mmm yyyy")</x:f>
        <x:v>Sep 2025</x:v>
      </x:c>
      <x:c r="U360" s="8" t="n">
        <x:f>YEAR(B360)</x:f>
        <x:v>2025</x:v>
      </x:c>
    </x:row>
    <x:row r="361">
      <x:c r="A361" s="8" t="str">
        <x:v>ORD-0357</x:v>
      </x:c>
      <x:c r="B361" s="22" t="n">
        <x:v>45771.17908677083</x:v>
      </x:c>
      <x:c r="C361" s="8" t="str">
        <x:v>CUS-050</x:v>
      </x:c>
      <x:c r="D361" s="8" t="str">
        <x:f>IFERROR(INDEX('Lookup Tables'!$B$5:$B$84,MATCH(C361,'Lookup Tables'!$A$5:$A$84,0)),"Unknown Customer")</x:f>
        <x:v>Saanvi Iyer 3</x:v>
      </x:c>
      <x:c r="E361" s="8" t="str">
        <x:f>IFERROR(INDEX('Lookup Tables'!$C$5:$C$84,MATCH(C361,'Lookup Tables'!$A$5:$A$84,0)),"Unknown")</x:f>
        <x:v>Corporate</x:v>
      </x:c>
      <x:c r="F361" s="8" t="str">
        <x:v>Pune</x:v>
      </x:c>
      <x:c r="G361" s="8" t="str">
        <x:f>IFERROR(INDEX('Lookup Tables'!$N$5:$N$14,MATCH(F361,'Lookup Tables'!$M$5:$M$14,0)),"Unknown")</x:f>
        <x:v>West</x:v>
      </x:c>
      <x:c r="H361" s="8" t="str">
        <x:v>PRD-007</x:v>
      </x:c>
      <x:c r="I361" s="8" t="str">
        <x:f>IFERROR(INDEX('Lookup Tables'!$G$5:$G$16,MATCH(H361,'Lookup Tables'!$F$5:$F$16,0)),"Unknown Product")</x:f>
        <x:v>Electric Kettle</x:v>
      </x:c>
      <x:c r="J361" s="8" t="str">
        <x:f>IFERROR(INDEX('Lookup Tables'!$H$5:$H$16,MATCH(H361,'Lookup Tables'!$F$5:$F$16,0)),"Unknown")</x:f>
        <x:v>Home &amp; Kitchen</x:v>
      </x:c>
      <x:c r="K361" s="8" t="n">
        <x:v>3</x:v>
      </x:c>
      <x:c r="L361" s="9" t="n">
        <x:f>IFERROR(INDEX('Lookup Tables'!$I$5:$I$16,MATCH(H361,'Lookup Tables'!$F$5:$F$16,0)),0)</x:f>
        <x:v>1699</x:v>
      </x:c>
      <x:c r="M361" s="23" t="n">
        <x:f>IF('Raw Data'!M361="",0,'Raw Data'!M361)</x:f>
        <x:v>0.2</x:v>
      </x:c>
      <x:c r="N361" s="9" t="n">
        <x:f>IF(S361="Completed",K361*L361*(1-M361),0)</x:f>
        <x:v>0</x:v>
      </x:c>
      <x:c r="O361" s="9" t="n">
        <x:f>IFERROR(INDEX('Lookup Tables'!$J$5:$J$16,MATCH(H361,'Lookup Tables'!$F$5:$F$16,0)),0)</x:f>
        <x:v>1040</x:v>
      </x:c>
      <x:c r="P361" s="9" t="n">
        <x:f>IF(S361="Completed",K361*O361,0)</x:f>
        <x:v>0</x:v>
      </x:c>
      <x:c r="Q361" s="9" t="n">
        <x:f>N361-P361</x:f>
        <x:v>0</x:v>
      </x:c>
      <x:c r="R361" s="8" t="str">
        <x:f>IF(LOWER('Raw Data'!N361)="upi","UPI",'Raw Data'!N361)</x:f>
        <x:v>Debit Card</x:v>
      </x:c>
      <x:c r="S361" s="8" t="str">
        <x:v>Cancelled</x:v>
      </x:c>
      <x:c r="T361" s="8" t="str">
        <x:f>TEXT(B361,"mmm yyyy")</x:f>
        <x:v>Apr 2025</x:v>
      </x:c>
      <x:c r="U361" s="8" t="n">
        <x:f>YEAR(B361)</x:f>
        <x:v>2025</x:v>
      </x:c>
    </x:row>
    <x:row r="362">
      <x:c r="A362" s="8" t="str">
        <x:v>ORD-0358</x:v>
      </x:c>
      <x:c r="B362" s="22" t="n">
        <x:v>45922.16244034722</x:v>
      </x:c>
      <x:c r="C362" s="8" t="str">
        <x:v>CUS-062</x:v>
      </x:c>
      <x:c r="D362" s="8" t="str">
        <x:f>IFERROR(INDEX('Lookup Tables'!$B$5:$B$84,MATCH(C362,'Lookup Tables'!$A$5:$A$84,0)),"Unknown Customer")</x:f>
        <x:v>Diya Patel 4</x:v>
      </x:c>
      <x:c r="E362" s="8" t="str">
        <x:f>IFERROR(INDEX('Lookup Tables'!$C$5:$C$84,MATCH(C362,'Lookup Tables'!$A$5:$A$84,0)),"Unknown")</x:f>
        <x:v>Corporate</x:v>
      </x:c>
      <x:c r="F362" s="8" t="str">
        <x:v>Chennai</x:v>
      </x:c>
      <x:c r="G362" s="8" t="str">
        <x:f>IFERROR(INDEX('Lookup Tables'!$N$5:$N$14,MATCH(F362,'Lookup Tables'!$M$5:$M$14,0)),"Unknown")</x:f>
        <x:v>South</x:v>
      </x:c>
      <x:c r="H362" s="8" t="str">
        <x:v>PRD-001</x:v>
      </x:c>
      <x:c r="I362" s="8" t="str">
        <x:f>IFERROR(INDEX('Lookup Tables'!$G$5:$G$16,MATCH(H362,'Lookup Tables'!$F$5:$F$16,0)),"Unknown Product")</x:f>
        <x:v>Wireless Mouse</x:v>
      </x:c>
      <x:c r="J362" s="8" t="str">
        <x:f>IFERROR(INDEX('Lookup Tables'!$H$5:$H$16,MATCH(H362,'Lookup Tables'!$F$5:$F$16,0)),"Unknown")</x:f>
        <x:v>Electronics</x:v>
      </x:c>
      <x:c r="K362" s="8" t="n">
        <x:v>3</x:v>
      </x:c>
      <x:c r="L362" s="9" t="n">
        <x:f>IFERROR(INDEX('Lookup Tables'!$I$5:$I$16,MATCH(H362,'Lookup Tables'!$F$5:$F$16,0)),0)</x:f>
        <x:v>899</x:v>
      </x:c>
      <x:c r="M362" s="23" t="n">
        <x:f>IF('Raw Data'!M362="",0,'Raw Data'!M362)</x:f>
        <x:v>0.05</x:v>
      </x:c>
      <x:c r="N362" s="9" t="n">
        <x:f>IF(S362="Completed",K362*L362*(1-M362),0)</x:f>
        <x:v>2562.15</x:v>
      </x:c>
      <x:c r="O362" s="9" t="n">
        <x:f>IFERROR(INDEX('Lookup Tables'!$J$5:$J$16,MATCH(H362,'Lookup Tables'!$F$5:$F$16,0)),0)</x:f>
        <x:v>540</x:v>
      </x:c>
      <x:c r="P362" s="9" t="n">
        <x:f>IF(S362="Completed",K362*O362,0)</x:f>
        <x:v>1620</x:v>
      </x:c>
      <x:c r="Q362" s="9" t="n">
        <x:f>N362-P362</x:f>
        <x:v>942.1500000000001</x:v>
      </x:c>
      <x:c r="R362" s="8" t="str">
        <x:f>IF(LOWER('Raw Data'!N362)="upi","UPI",'Raw Data'!N362)</x:f>
        <x:v>Net Banking</x:v>
      </x:c>
      <x:c r="S362" s="8" t="str">
        <x:v>Completed</x:v>
      </x:c>
      <x:c r="T362" s="8" t="str">
        <x:f>TEXT(B362,"mmm yyyy")</x:f>
        <x:v>Sep 2025</x:v>
      </x:c>
      <x:c r="U362" s="8" t="n">
        <x:f>YEAR(B362)</x:f>
        <x:v>2025</x:v>
      </x:c>
    </x:row>
    <x:row r="363">
      <x:c r="A363" s="8" t="str">
        <x:v>ORD-0359</x:v>
      </x:c>
      <x:c r="B363" s="22" t="n">
        <x:v>45782.93410337963</x:v>
      </x:c>
      <x:c r="C363" s="8" t="str">
        <x:v>CUS-065</x:v>
      </x:c>
      <x:c r="D363" s="8" t="str">
        <x:f>IFERROR(INDEX('Lookup Tables'!$B$5:$B$84,MATCH(C363,'Lookup Tables'!$A$5:$A$84,0)),"Unknown Customer")</x:f>
        <x:v>Arjun Verma 4</x:v>
      </x:c>
      <x:c r="E363" s="8" t="str">
        <x:f>IFERROR(INDEX('Lookup Tables'!$C$5:$C$84,MATCH(C363,'Lookup Tables'!$A$5:$A$84,0)),"Unknown")</x:f>
        <x:v>Corporate</x:v>
      </x:c>
      <x:c r="F363" s="8" t="str">
        <x:v>Delhi</x:v>
      </x:c>
      <x:c r="G363" s="8" t="str">
        <x:f>IFERROR(INDEX('Lookup Tables'!$N$5:$N$14,MATCH(F363,'Lookup Tables'!$M$5:$M$14,0)),"Unknown")</x:f>
        <x:v>North</x:v>
      </x:c>
      <x:c r="H363" s="8" t="str">
        <x:v>PRD-004</x:v>
      </x:c>
      <x:c r="I363" s="8" t="str">
        <x:f>IFERROR(INDEX('Lookup Tables'!$G$5:$G$16,MATCH(H363,'Lookup Tables'!$F$5:$F$16,0)),"Unknown Product")</x:f>
        <x:v>Laptop Stand</x:v>
      </x:c>
      <x:c r="J363" s="8" t="str">
        <x:f>IFERROR(INDEX('Lookup Tables'!$H$5:$H$16,MATCH(H363,'Lookup Tables'!$F$5:$F$16,0)),"Unknown")</x:f>
        <x:v>Office Supplies</x:v>
      </x:c>
      <x:c r="K363" s="8" t="n">
        <x:v>1</x:v>
      </x:c>
      <x:c r="L363" s="9" t="n">
        <x:f>IFERROR(INDEX('Lookup Tables'!$I$5:$I$16,MATCH(H363,'Lookup Tables'!$F$5:$F$16,0)),0)</x:f>
        <x:v>1299</x:v>
      </x:c>
      <x:c r="M363" s="23" t="n">
        <x:f>IF('Raw Data'!M363="",0,'Raw Data'!M363)</x:f>
        <x:v>0.15</x:v>
      </x:c>
      <x:c r="N363" s="9" t="n">
        <x:f>IF(S363="Completed",K363*L363*(1-M363),0)</x:f>
        <x:v>0</x:v>
      </x:c>
      <x:c r="O363" s="9" t="n">
        <x:f>IFERROR(INDEX('Lookup Tables'!$J$5:$J$16,MATCH(H363,'Lookup Tables'!$F$5:$F$16,0)),0)</x:f>
        <x:v>760</x:v>
      </x:c>
      <x:c r="P363" s="9" t="n">
        <x:f>IF(S363="Completed",K363*O363,0)</x:f>
        <x:v>0</x:v>
      </x:c>
      <x:c r="Q363" s="9" t="n">
        <x:f>N363-P363</x:f>
        <x:v>0</x:v>
      </x:c>
      <x:c r="R363" s="8" t="str">
        <x:f>IF(LOWER('Raw Data'!N363)="upi","UPI",'Raw Data'!N363)</x:f>
        <x:v>UPI</x:v>
      </x:c>
      <x:c r="S363" s="8" t="str">
        <x:v>Cancelled</x:v>
      </x:c>
      <x:c r="T363" s="8" t="str">
        <x:f>TEXT(B363,"mmm yyyy")</x:f>
        <x:v>May 2025</x:v>
      </x:c>
      <x:c r="U363" s="8" t="n">
        <x:f>YEAR(B363)</x:f>
        <x:v>2025</x:v>
      </x:c>
    </x:row>
    <x:row r="364">
      <x:c r="A364" s="8" t="str">
        <x:v>ORD-0360</x:v>
      </x:c>
      <x:c r="B364" s="22" t="n">
        <x:v>46011.59289513889</x:v>
      </x:c>
      <x:c r="C364" s="8" t="str">
        <x:v>CUS-071</x:v>
      </x:c>
      <x:c r="D364" s="8" t="str">
        <x:f>IFERROR(INDEX('Lookup Tables'!$B$5:$B$84,MATCH(C364,'Lookup Tables'!$A$5:$A$84,0)),"Unknown Customer")</x:f>
        <x:v>Aditya Joshi 4</x:v>
      </x:c>
      <x:c r="E364" s="8" t="str">
        <x:f>IFERROR(INDEX('Lookup Tables'!$C$5:$C$84,MATCH(C364,'Lookup Tables'!$A$5:$A$84,0)),"Unknown")</x:f>
        <x:v>Corporate</x:v>
      </x:c>
      <x:c r="F364" s="8" t="str">
        <x:v>Delhi</x:v>
      </x:c>
      <x:c r="G364" s="8" t="str">
        <x:f>IFERROR(INDEX('Lookup Tables'!$N$5:$N$14,MATCH(F364,'Lookup Tables'!$M$5:$M$14,0)),"Unknown")</x:f>
        <x:v>North</x:v>
      </x:c>
      <x:c r="H364" s="8" t="str">
        <x:v>PRD-002</x:v>
      </x:c>
      <x:c r="I364" s="8" t="str">
        <x:f>IFERROR(INDEX('Lookup Tables'!$G$5:$G$16,MATCH(H364,'Lookup Tables'!$F$5:$F$16,0)),"Unknown Product")</x:f>
        <x:v>Bluetooth Headphones</x:v>
      </x:c>
      <x:c r="J364" s="8" t="str">
        <x:f>IFERROR(INDEX('Lookup Tables'!$H$5:$H$16,MATCH(H364,'Lookup Tables'!$F$5:$F$16,0)),"Unknown")</x:f>
        <x:v>Electronics</x:v>
      </x:c>
      <x:c r="K364" s="8" t="n">
        <x:v>2</x:v>
      </x:c>
      <x:c r="L364" s="9" t="n">
        <x:f>IFERROR(INDEX('Lookup Tables'!$I$5:$I$16,MATCH(H364,'Lookup Tables'!$F$5:$F$16,0)),0)</x:f>
        <x:v>2499</x:v>
      </x:c>
      <x:c r="M364" s="23" t="n">
        <x:f>IF('Raw Data'!M364="",0,'Raw Data'!M364)</x:f>
        <x:v>0.2</x:v>
      </x:c>
      <x:c r="N364" s="9" t="n">
        <x:f>IF(S364="Completed",K364*L364*(1-M364),0)</x:f>
        <x:v>3998.4</x:v>
      </x:c>
      <x:c r="O364" s="9" t="n">
        <x:f>IFERROR(INDEX('Lookup Tables'!$J$5:$J$16,MATCH(H364,'Lookup Tables'!$F$5:$F$16,0)),0)</x:f>
        <x:v>1620</x:v>
      </x:c>
      <x:c r="P364" s="9" t="n">
        <x:f>IF(S364="Completed",K364*O364,0)</x:f>
        <x:v>3240</x:v>
      </x:c>
      <x:c r="Q364" s="9" t="n">
        <x:f>N364-P364</x:f>
        <x:v>758.4000000000001</x:v>
      </x:c>
      <x:c r="R364" s="8" t="str">
        <x:f>IF(LOWER('Raw Data'!N364)="upi","UPI",'Raw Data'!N364)</x:f>
        <x:v>Net Banking</x:v>
      </x:c>
      <x:c r="S364" s="8" t="str">
        <x:v>Completed</x:v>
      </x:c>
      <x:c r="T364" s="8" t="str">
        <x:f>TEXT(B364,"mmm yyyy")</x:f>
        <x:v>Dec 2025</x:v>
      </x:c>
      <x:c r="U364" s="8" t="n">
        <x:f>YEAR(B364)</x:f>
        <x:v>2025</x:v>
      </x:c>
    </x:row>
    <x:row r="365">
      <x:c r="A365" s="8" t="str">
        <x:v>ORD-0361</x:v>
      </x:c>
      <x:c r="B365" s="22" t="n">
        <x:v>45968.0943512963</x:v>
      </x:c>
      <x:c r="C365" s="8" t="str">
        <x:v>CUS-079</x:v>
      </x:c>
      <x:c r="D365" s="8" t="str">
        <x:f>IFERROR(INDEX('Lookup Tables'!$B$5:$B$84,MATCH(C365,'Lookup Tables'!$A$5:$A$84,0)),"Unknown Customer")</x:f>
        <x:v>Siddharth Jain 4</x:v>
      </x:c>
      <x:c r="E365" s="8" t="str">
        <x:f>IFERROR(INDEX('Lookup Tables'!$C$5:$C$84,MATCH(C365,'Lookup Tables'!$A$5:$A$84,0)),"Unknown")</x:f>
        <x:v>Consumer</x:v>
      </x:c>
      <x:c r="F365" s="8" t="str">
        <x:v>Lucknow</x:v>
      </x:c>
      <x:c r="G365" s="8" t="str">
        <x:f>IFERROR(INDEX('Lookup Tables'!$N$5:$N$14,MATCH(F365,'Lookup Tables'!$M$5:$M$14,0)),"Unknown")</x:f>
        <x:v>North</x:v>
      </x:c>
      <x:c r="H365" s="8" t="str">
        <x:v>PRD-007</x:v>
      </x:c>
      <x:c r="I365" s="8" t="str">
        <x:f>IFERROR(INDEX('Lookup Tables'!$G$5:$G$16,MATCH(H365,'Lookup Tables'!$F$5:$F$16,0)),"Unknown Product")</x:f>
        <x:v>Electric Kettle</x:v>
      </x:c>
      <x:c r="J365" s="8" t="str">
        <x:f>IFERROR(INDEX('Lookup Tables'!$H$5:$H$16,MATCH(H365,'Lookup Tables'!$F$5:$F$16,0)),"Unknown")</x:f>
        <x:v>Home &amp; Kitchen</x:v>
      </x:c>
      <x:c r="K365" s="8" t="n">
        <x:v>5</x:v>
      </x:c>
      <x:c r="L365" s="9" t="n">
        <x:f>IFERROR(INDEX('Lookup Tables'!$I$5:$I$16,MATCH(H365,'Lookup Tables'!$F$5:$F$16,0)),0)</x:f>
        <x:v>1699</x:v>
      </x:c>
      <x:c r="M365" s="23" t="n">
        <x:f>IF('Raw Data'!M365="",0,'Raw Data'!M365)</x:f>
        <x:v>0</x:v>
      </x:c>
      <x:c r="N365" s="9" t="n">
        <x:f>IF(S365="Completed",K365*L365*(1-M365),0)</x:f>
        <x:v>0</x:v>
      </x:c>
      <x:c r="O365" s="9" t="n">
        <x:f>IFERROR(INDEX('Lookup Tables'!$J$5:$J$16,MATCH(H365,'Lookup Tables'!$F$5:$F$16,0)),0)</x:f>
        <x:v>1040</x:v>
      </x:c>
      <x:c r="P365" s="9" t="n">
        <x:f>IF(S365="Completed",K365*O365,0)</x:f>
        <x:v>0</x:v>
      </x:c>
      <x:c r="Q365" s="9" t="n">
        <x:f>N365-P365</x:f>
        <x:v>0</x:v>
      </x:c>
      <x:c r="R365" s="8" t="str">
        <x:f>IF(LOWER('Raw Data'!N365)="upi","UPI",'Raw Data'!N365)</x:f>
        <x:v>Net Banking</x:v>
      </x:c>
      <x:c r="S365" s="8" t="str">
        <x:v>Cancelled</x:v>
      </x:c>
      <x:c r="T365" s="8" t="str">
        <x:f>TEXT(B365,"mmm yyyy")</x:f>
        <x:v>Nov 2025</x:v>
      </x:c>
      <x:c r="U365" s="8" t="n">
        <x:f>YEAR(B365)</x:f>
        <x:v>2025</x:v>
      </x:c>
    </x:row>
    <x:row r="366">
      <x:c r="A366" s="8" t="str">
        <x:v>ORD-0362</x:v>
      </x:c>
      <x:c r="B366" s="22" t="n">
        <x:v>46009.45238824074</x:v>
      </x:c>
      <x:c r="C366" s="8" t="str">
        <x:v>CUS-061</x:v>
      </x:c>
      <x:c r="D366" s="8" t="str">
        <x:f>IFERROR(INDEX('Lookup Tables'!$B$5:$B$84,MATCH(C366,'Lookup Tables'!$A$5:$A$84,0)),"Unknown Customer")</x:f>
        <x:v>Aarav Sharma 4</x:v>
      </x:c>
      <x:c r="E366" s="8" t="str">
        <x:f>IFERROR(INDEX('Lookup Tables'!$C$5:$C$84,MATCH(C366,'Lookup Tables'!$A$5:$A$84,0)),"Unknown")</x:f>
        <x:v>Consumer</x:v>
      </x:c>
      <x:c r="F366" s="8" t="str">
        <x:v>Delhi</x:v>
      </x:c>
      <x:c r="G366" s="8" t="str">
        <x:f>IFERROR(INDEX('Lookup Tables'!$N$5:$N$14,MATCH(F366,'Lookup Tables'!$M$5:$M$14,0)),"Unknown")</x:f>
        <x:v>North</x:v>
      </x:c>
      <x:c r="H366" s="8" t="str">
        <x:v>PRD-004</x:v>
      </x:c>
      <x:c r="I366" s="8" t="str">
        <x:f>IFERROR(INDEX('Lookup Tables'!$G$5:$G$16,MATCH(H366,'Lookup Tables'!$F$5:$F$16,0)),"Unknown Product")</x:f>
        <x:v>Laptop Stand</x:v>
      </x:c>
      <x:c r="J366" s="8" t="str">
        <x:f>IFERROR(INDEX('Lookup Tables'!$H$5:$H$16,MATCH(H366,'Lookup Tables'!$F$5:$F$16,0)),"Unknown")</x:f>
        <x:v>Office Supplies</x:v>
      </x:c>
      <x:c r="K366" s="8" t="n">
        <x:v>1</x:v>
      </x:c>
      <x:c r="L366" s="9" t="n">
        <x:f>IFERROR(INDEX('Lookup Tables'!$I$5:$I$16,MATCH(H366,'Lookup Tables'!$F$5:$F$16,0)),0)</x:f>
        <x:v>1299</x:v>
      </x:c>
      <x:c r="M366" s="23" t="n">
        <x:f>IF('Raw Data'!M366="",0,'Raw Data'!M366)</x:f>
        <x:v>0.2</x:v>
      </x:c>
      <x:c r="N366" s="9" t="n">
        <x:f>IF(S366="Completed",K366*L366*(1-M366),0)</x:f>
        <x:v>1039.2</x:v>
      </x:c>
      <x:c r="O366" s="9" t="n">
        <x:f>IFERROR(INDEX('Lookup Tables'!$J$5:$J$16,MATCH(H366,'Lookup Tables'!$F$5:$F$16,0)),0)</x:f>
        <x:v>760</x:v>
      </x:c>
      <x:c r="P366" s="9" t="n">
        <x:f>IF(S366="Completed",K366*O366,0)</x:f>
        <x:v>760</x:v>
      </x:c>
      <x:c r="Q366" s="9" t="n">
        <x:f>N366-P366</x:f>
        <x:v>279.20000000000005</x:v>
      </x:c>
      <x:c r="R366" s="8" t="str">
        <x:f>IF(LOWER('Raw Data'!N366)="upi","UPI",'Raw Data'!N366)</x:f>
        <x:v>Debit Card</x:v>
      </x:c>
      <x:c r="S366" s="8" t="str">
        <x:v>Completed</x:v>
      </x:c>
      <x:c r="T366" s="8" t="str">
        <x:f>TEXT(B366,"mmm yyyy")</x:f>
        <x:v>Dec 2025</x:v>
      </x:c>
      <x:c r="U366" s="8" t="n">
        <x:f>YEAR(B366)</x:f>
        <x:v>2025</x:v>
      </x:c>
    </x:row>
    <x:row r="367">
      <x:c r="A367" s="8" t="str">
        <x:v>ORD-0363</x:v>
      </x:c>
      <x:c r="B367" s="22" t="n">
        <x:v>45877.78670524305</x:v>
      </x:c>
      <x:c r="C367" s="8" t="str">
        <x:v>CUS-076</x:v>
      </x:c>
      <x:c r="D367" s="8" t="str">
        <x:f>IFERROR(INDEX('Lookup Tables'!$B$5:$B$84,MATCH(C367,'Lookup Tables'!$A$5:$A$84,0)),"Unknown Customer")</x:f>
        <x:v>Pooja Saxena 4</x:v>
      </x:c>
      <x:c r="E367" s="8" t="str">
        <x:f>IFERROR(INDEX('Lookup Tables'!$C$5:$C$84,MATCH(C367,'Lookup Tables'!$A$5:$A$84,0)),"Unknown")</x:f>
        <x:v>Consumer</x:v>
      </x:c>
      <x:c r="F367" s="8" t="str">
        <x:v>Kolkata</x:v>
      </x:c>
      <x:c r="G367" s="8" t="str">
        <x:f>IFERROR(INDEX('Lookup Tables'!$N$5:$N$14,MATCH(F367,'Lookup Tables'!$M$5:$M$14,0)),"Unknown")</x:f>
        <x:v>East</x:v>
      </x:c>
      <x:c r="H367" s="8" t="str">
        <x:v>PRD-005</x:v>
      </x:c>
      <x:c r="I367" s="8" t="str">
        <x:f>IFERROR(INDEX('Lookup Tables'!$G$5:$G$16,MATCH(H367,'Lookup Tables'!$F$5:$F$16,0)),"Unknown Product")</x:f>
        <x:v>Executive Notebook</x:v>
      </x:c>
      <x:c r="J367" s="8" t="str">
        <x:f>IFERROR(INDEX('Lookup Tables'!$H$5:$H$16,MATCH(H367,'Lookup Tables'!$F$5:$F$16,0)),"Unknown")</x:f>
        <x:v>Office Supplies</x:v>
      </x:c>
      <x:c r="K367" s="8" t="n">
        <x:v>1</x:v>
      </x:c>
      <x:c r="L367" s="9" t="n">
        <x:f>IFERROR(INDEX('Lookup Tables'!$I$5:$I$16,MATCH(H367,'Lookup Tables'!$F$5:$F$16,0)),0)</x:f>
        <x:v>349</x:v>
      </x:c>
      <x:c r="M367" s="23" t="n">
        <x:f>IF('Raw Data'!M367="",0,'Raw Data'!M367)</x:f>
        <x:v>0.05</x:v>
      </x:c>
      <x:c r="N367" s="9" t="n">
        <x:f>IF(S367="Completed",K367*L367*(1-M367),0)</x:f>
        <x:v>331.55</x:v>
      </x:c>
      <x:c r="O367" s="9" t="n">
        <x:f>IFERROR(INDEX('Lookup Tables'!$J$5:$J$16,MATCH(H367,'Lookup Tables'!$F$5:$F$16,0)),0)</x:f>
        <x:v>170</x:v>
      </x:c>
      <x:c r="P367" s="9" t="n">
        <x:f>IF(S367="Completed",K367*O367,0)</x:f>
        <x:v>170</x:v>
      </x:c>
      <x:c r="Q367" s="9" t="n">
        <x:f>N367-P367</x:f>
        <x:v>161.55</x:v>
      </x:c>
      <x:c r="R367" s="8" t="str">
        <x:f>IF(LOWER('Raw Data'!N367)="upi","UPI",'Raw Data'!N367)</x:f>
        <x:v>Credit Card</x:v>
      </x:c>
      <x:c r="S367" s="8" t="str">
        <x:v>Completed</x:v>
      </x:c>
      <x:c r="T367" s="8" t="str">
        <x:f>TEXT(B367,"mmm yyyy")</x:f>
        <x:v>Aug 2025</x:v>
      </x:c>
      <x:c r="U367" s="8" t="n">
        <x:f>YEAR(B367)</x:f>
        <x:v>2025</x:v>
      </x:c>
    </x:row>
    <x:row r="368">
      <x:c r="A368" s="8" t="str">
        <x:v>ORD-0364</x:v>
      </x:c>
      <x:c r="B368" s="22" t="n">
        <x:v>45736.92492697917</x:v>
      </x:c>
      <x:c r="C368" s="8" t="str">
        <x:v>CUS-079</x:v>
      </x:c>
      <x:c r="D368" s="8" t="str">
        <x:f>IFERROR(INDEX('Lookup Tables'!$B$5:$B$84,MATCH(C368,'Lookup Tables'!$A$5:$A$84,0)),"Unknown Customer")</x:f>
        <x:v>Siddharth Jain 4</x:v>
      </x:c>
      <x:c r="E368" s="8" t="str">
        <x:f>IFERROR(INDEX('Lookup Tables'!$C$5:$C$84,MATCH(C368,'Lookup Tables'!$A$5:$A$84,0)),"Unknown")</x:f>
        <x:v>Consumer</x:v>
      </x:c>
      <x:c r="F368" s="8" t="str">
        <x:v>Chennai</x:v>
      </x:c>
      <x:c r="G368" s="8" t="str">
        <x:f>IFERROR(INDEX('Lookup Tables'!$N$5:$N$14,MATCH(F368,'Lookup Tables'!$M$5:$M$14,0)),"Unknown")</x:f>
        <x:v>South</x:v>
      </x:c>
      <x:c r="H368" s="8" t="str">
        <x:v>PRD-009</x:v>
      </x:c>
      <x:c r="I368" s="8" t="str">
        <x:f>IFERROR(INDEX('Lookup Tables'!$G$5:$G$16,MATCH(H368,'Lookup Tables'!$F$5:$F$16,0)),"Unknown Product")</x:f>
        <x:v>Table Lamp</x:v>
      </x:c>
      <x:c r="J368" s="8" t="str">
        <x:f>IFERROR(INDEX('Lookup Tables'!$H$5:$H$16,MATCH(H368,'Lookup Tables'!$F$5:$F$16,0)),"Unknown")</x:f>
        <x:v>Home &amp; Kitchen</x:v>
      </x:c>
      <x:c r="K368" s="8" t="n">
        <x:v>5</x:v>
      </x:c>
      <x:c r="L368" s="9" t="n">
        <x:f>IFERROR(INDEX('Lookup Tables'!$I$5:$I$16,MATCH(H368,'Lookup Tables'!$F$5:$F$16,0)),0)</x:f>
        <x:v>1499</x:v>
      </x:c>
      <x:c r="M368" s="23" t="n">
        <x:f>IF('Raw Data'!M368="",0,'Raw Data'!M368)</x:f>
        <x:v>0.1</x:v>
      </x:c>
      <x:c r="N368" s="9" t="n">
        <x:f>IF(S368="Completed",K368*L368*(1-M368),0)</x:f>
        <x:v>6745.5</x:v>
      </x:c>
      <x:c r="O368" s="9" t="n">
        <x:f>IFERROR(INDEX('Lookup Tables'!$J$5:$J$16,MATCH(H368,'Lookup Tables'!$F$5:$F$16,0)),0)</x:f>
        <x:v>920</x:v>
      </x:c>
      <x:c r="P368" s="9" t="n">
        <x:f>IF(S368="Completed",K368*O368,0)</x:f>
        <x:v>4600</x:v>
      </x:c>
      <x:c r="Q368" s="9" t="n">
        <x:f>N368-P368</x:f>
        <x:v>2145.5</x:v>
      </x:c>
      <x:c r="R368" s="8" t="str">
        <x:f>IF(LOWER('Raw Data'!N368)="upi","UPI",'Raw Data'!N368)</x:f>
        <x:v>UPI</x:v>
      </x:c>
      <x:c r="S368" s="8" t="str">
        <x:v>Completed</x:v>
      </x:c>
      <x:c r="T368" s="8" t="str">
        <x:f>TEXT(B368,"mmm yyyy")</x:f>
        <x:v>Mar 2025</x:v>
      </x:c>
      <x:c r="U368" s="8" t="n">
        <x:f>YEAR(B368)</x:f>
        <x:v>2025</x:v>
      </x:c>
    </x:row>
    <x:row r="369">
      <x:c r="A369" s="8" t="str">
        <x:v>ORD-0365</x:v>
      </x:c>
      <x:c r="B369" s="22" t="n">
        <x:v>45726.70011844907</x:v>
      </x:c>
      <x:c r="C369" s="8" t="str">
        <x:v>CUS-065</x:v>
      </x:c>
      <x:c r="D369" s="8" t="str">
        <x:f>IFERROR(INDEX('Lookup Tables'!$B$5:$B$84,MATCH(C369,'Lookup Tables'!$A$5:$A$84,0)),"Unknown Customer")</x:f>
        <x:v>Arjun Verma 4</x:v>
      </x:c>
      <x:c r="E369" s="8" t="str">
        <x:f>IFERROR(INDEX('Lookup Tables'!$C$5:$C$84,MATCH(C369,'Lookup Tables'!$A$5:$A$84,0)),"Unknown")</x:f>
        <x:v>Corporate</x:v>
      </x:c>
      <x:c r="F369" s="8" t="str">
        <x:v>Hyderabad</x:v>
      </x:c>
      <x:c r="G369" s="8" t="str">
        <x:f>IFERROR(INDEX('Lookup Tables'!$N$5:$N$14,MATCH(F369,'Lookup Tables'!$M$5:$M$14,0)),"Unknown")</x:f>
        <x:v>South</x:v>
      </x:c>
      <x:c r="H369" s="8" t="str">
        <x:v>PRD-009</x:v>
      </x:c>
      <x:c r="I369" s="8" t="str">
        <x:f>IFERROR(INDEX('Lookup Tables'!$G$5:$G$16,MATCH(H369,'Lookup Tables'!$F$5:$F$16,0)),"Unknown Product")</x:f>
        <x:v>Table Lamp</x:v>
      </x:c>
      <x:c r="J369" s="8" t="str">
        <x:f>IFERROR(INDEX('Lookup Tables'!$H$5:$H$16,MATCH(H369,'Lookup Tables'!$F$5:$F$16,0)),"Unknown")</x:f>
        <x:v>Home &amp; Kitchen</x:v>
      </x:c>
      <x:c r="K369" s="8" t="n">
        <x:v>3</x:v>
      </x:c>
      <x:c r="L369" s="9" t="n">
        <x:f>IFERROR(INDEX('Lookup Tables'!$I$5:$I$16,MATCH(H369,'Lookup Tables'!$F$5:$F$16,0)),0)</x:f>
        <x:v>1499</x:v>
      </x:c>
      <x:c r="M369" s="23" t="n">
        <x:f>IF('Raw Data'!M369="",0,'Raw Data'!M369)</x:f>
        <x:v>0.1</x:v>
      </x:c>
      <x:c r="N369" s="9" t="n">
        <x:f>IF(S369="Completed",K369*L369*(1-M369),0)</x:f>
        <x:v>0</x:v>
      </x:c>
      <x:c r="O369" s="9" t="n">
        <x:f>IFERROR(INDEX('Lookup Tables'!$J$5:$J$16,MATCH(H369,'Lookup Tables'!$F$5:$F$16,0)),0)</x:f>
        <x:v>920</x:v>
      </x:c>
      <x:c r="P369" s="9" t="n">
        <x:f>IF(S369="Completed",K369*O369,0)</x:f>
        <x:v>0</x:v>
      </x:c>
      <x:c r="Q369" s="9" t="n">
        <x:f>N369-P369</x:f>
        <x:v>0</x:v>
      </x:c>
      <x:c r="R369" s="8" t="str">
        <x:f>IF(LOWER('Raw Data'!N369)="upi","UPI",'Raw Data'!N369)</x:f>
        <x:v>Cash on Delivery</x:v>
      </x:c>
      <x:c r="S369" s="8" t="str">
        <x:v>Returned</x:v>
      </x:c>
      <x:c r="T369" s="8" t="str">
        <x:f>TEXT(B369,"mmm yyyy")</x:f>
        <x:v>Mar 2025</x:v>
      </x:c>
      <x:c r="U369" s="8" t="n">
        <x:f>YEAR(B369)</x:f>
        <x:v>2025</x:v>
      </x:c>
    </x:row>
    <x:row r="370">
      <x:c r="A370" s="8" t="str">
        <x:v>ORD-0366</x:v>
      </x:c>
      <x:c r="B370" s="22" t="n">
        <x:v>45943.8859697338</x:v>
      </x:c>
      <x:c r="C370" s="8" t="str">
        <x:v>CUS-077</x:v>
      </x:c>
      <x:c r="D370" s="8" t="str">
        <x:f>IFERROR(INDEX('Lookup Tables'!$B$5:$B$84,MATCH(C370,'Lookup Tables'!$A$5:$A$84,0)),"Unknown Customer")</x:f>
        <x:v>Vikram Yadav 4</x:v>
      </x:c>
      <x:c r="E370" s="8" t="str">
        <x:f>IFERROR(INDEX('Lookup Tables'!$C$5:$C$84,MATCH(C370,'Lookup Tables'!$A$5:$A$84,0)),"Unknown")</x:f>
        <x:v>Corporate</x:v>
      </x:c>
      <x:c r="F370" s="8" t="str">
        <x:v>Chennai</x:v>
      </x:c>
      <x:c r="G370" s="8" t="str">
        <x:f>IFERROR(INDEX('Lookup Tables'!$N$5:$N$14,MATCH(F370,'Lookup Tables'!$M$5:$M$14,0)),"Unknown")</x:f>
        <x:v>South</x:v>
      </x:c>
      <x:c r="H370" s="8" t="str">
        <x:v>PRD-006</x:v>
      </x:c>
      <x:c r="I370" s="8" t="str">
        <x:f>IFERROR(INDEX('Lookup Tables'!$G$5:$G$16,MATCH(H370,'Lookup Tables'!$F$5:$F$16,0)),"Unknown Product")</x:f>
        <x:v>Desk Organiser</x:v>
      </x:c>
      <x:c r="J370" s="8" t="str">
        <x:f>IFERROR(INDEX('Lookup Tables'!$H$5:$H$16,MATCH(H370,'Lookup Tables'!$F$5:$F$16,0)),"Unknown")</x:f>
        <x:v>Office Supplies</x:v>
      </x:c>
      <x:c r="K370" s="8" t="n">
        <x:v>4</x:v>
      </x:c>
      <x:c r="L370" s="9" t="n">
        <x:f>IFERROR(INDEX('Lookup Tables'!$I$5:$I$16,MATCH(H370,'Lookup Tables'!$F$5:$F$16,0)),0)</x:f>
        <x:v>699</x:v>
      </x:c>
      <x:c r="M370" s="23" t="n">
        <x:f>IF('Raw Data'!M370="",0,'Raw Data'!M370)</x:f>
        <x:v>0</x:v>
      </x:c>
      <x:c r="N370" s="9" t="n">
        <x:f>IF(S370="Completed",K370*L370*(1-M370),0)</x:f>
        <x:v>2796</x:v>
      </x:c>
      <x:c r="O370" s="9" t="n">
        <x:f>IFERROR(INDEX('Lookup Tables'!$J$5:$J$16,MATCH(H370,'Lookup Tables'!$F$5:$F$16,0)),0)</x:f>
        <x:v>390</x:v>
      </x:c>
      <x:c r="P370" s="9" t="n">
        <x:f>IF(S370="Completed",K370*O370,0)</x:f>
        <x:v>1560</x:v>
      </x:c>
      <x:c r="Q370" s="9" t="n">
        <x:f>N370-P370</x:f>
        <x:v>1236</x:v>
      </x:c>
      <x:c r="R370" s="8" t="str">
        <x:f>IF(LOWER('Raw Data'!N370)="upi","UPI",'Raw Data'!N370)</x:f>
        <x:v>Credit Card</x:v>
      </x:c>
      <x:c r="S370" s="8" t="str">
        <x:v>Completed</x:v>
      </x:c>
      <x:c r="T370" s="8" t="str">
        <x:f>TEXT(B370,"mmm yyyy")</x:f>
        <x:v>Oct 2025</x:v>
      </x:c>
      <x:c r="U370" s="8" t="n">
        <x:f>YEAR(B370)</x:f>
        <x:v>2025</x:v>
      </x:c>
    </x:row>
    <x:row r="371">
      <x:c r="A371" s="8" t="str">
        <x:v>ORD-0367</x:v>
      </x:c>
      <x:c r="B371" s="22" t="n">
        <x:v>45961.56836950232</x:v>
      </x:c>
      <x:c r="C371" s="8" t="str">
        <x:v>CUS-070</x:v>
      </x:c>
      <x:c r="D371" s="8" t="str">
        <x:f>IFERROR(INDEX('Lookup Tables'!$B$5:$B$84,MATCH(C371,'Lookup Tables'!$A$5:$A$84,0)),"Unknown Customer")</x:f>
        <x:v>Saanvi Iyer 4</x:v>
      </x:c>
      <x:c r="E371" s="8" t="str">
        <x:f>IFERROR(INDEX('Lookup Tables'!$C$5:$C$84,MATCH(C371,'Lookup Tables'!$A$5:$A$84,0)),"Unknown")</x:f>
        <x:v>Consumer</x:v>
      </x:c>
      <x:c r="F371" s="8" t="str">
        <x:v>Jaipur</x:v>
      </x:c>
      <x:c r="G371" s="8" t="str">
        <x:f>IFERROR(INDEX('Lookup Tables'!$N$5:$N$14,MATCH(F371,'Lookup Tables'!$M$5:$M$14,0)),"Unknown")</x:f>
        <x:v>North</x:v>
      </x:c>
      <x:c r="H371" s="8" t="str">
        <x:v>PRD-005</x:v>
      </x:c>
      <x:c r="I371" s="8" t="str">
        <x:f>IFERROR(INDEX('Lookup Tables'!$G$5:$G$16,MATCH(H371,'Lookup Tables'!$F$5:$F$16,0)),"Unknown Product")</x:f>
        <x:v>Executive Notebook</x:v>
      </x:c>
      <x:c r="J371" s="8" t="str">
        <x:f>IFERROR(INDEX('Lookup Tables'!$H$5:$H$16,MATCH(H371,'Lookup Tables'!$F$5:$F$16,0)),"Unknown")</x:f>
        <x:v>Office Supplies</x:v>
      </x:c>
      <x:c r="K371" s="8" t="n">
        <x:v>3</x:v>
      </x:c>
      <x:c r="L371" s="9" t="n">
        <x:f>IFERROR(INDEX('Lookup Tables'!$I$5:$I$16,MATCH(H371,'Lookup Tables'!$F$5:$F$16,0)),0)</x:f>
        <x:v>349</x:v>
      </x:c>
      <x:c r="M371" s="23" t="n">
        <x:f>IF('Raw Data'!M371="",0,'Raw Data'!M371)</x:f>
        <x:v>0.05</x:v>
      </x:c>
      <x:c r="N371" s="9" t="n">
        <x:f>IF(S371="Completed",K371*L371*(1-M371),0)</x:f>
        <x:v>994.65</x:v>
      </x:c>
      <x:c r="O371" s="9" t="n">
        <x:f>IFERROR(INDEX('Lookup Tables'!$J$5:$J$16,MATCH(H371,'Lookup Tables'!$F$5:$F$16,0)),0)</x:f>
        <x:v>170</x:v>
      </x:c>
      <x:c r="P371" s="9" t="n">
        <x:f>IF(S371="Completed",K371*O371,0)</x:f>
        <x:v>510</x:v>
      </x:c>
      <x:c r="Q371" s="9" t="n">
        <x:f>N371-P371</x:f>
        <x:v>484.65</x:v>
      </x:c>
      <x:c r="R371" s="8" t="str">
        <x:f>IF(LOWER('Raw Data'!N371)="upi","UPI",'Raw Data'!N371)</x:f>
        <x:v>Net Banking</x:v>
      </x:c>
      <x:c r="S371" s="8" t="str">
        <x:v>Completed</x:v>
      </x:c>
      <x:c r="T371" s="8" t="str">
        <x:f>TEXT(B371,"mmm yyyy")</x:f>
        <x:v>Oct 2025</x:v>
      </x:c>
      <x:c r="U371" s="8" t="n">
        <x:f>YEAR(B371)</x:f>
        <x:v>2025</x:v>
      </x:c>
    </x:row>
    <x:row r="372">
      <x:c r="A372" s="8" t="str">
        <x:v>ORD-0368</x:v>
      </x:c>
      <x:c r="B372" s="22" t="n">
        <x:v>45693.134445358795</x:v>
      </x:c>
      <x:c r="C372" s="8" t="str">
        <x:v>CUS-075</x:v>
      </x:c>
      <x:c r="D372" s="8" t="str">
        <x:f>IFERROR(INDEX('Lookup Tables'!$B$5:$B$84,MATCH(C372,'Lookup Tables'!$A$5:$A$84,0)),"Unknown Customer")</x:f>
        <x:v>Karan Malhotra 4</x:v>
      </x:c>
      <x:c r="E372" s="8" t="str">
        <x:f>IFERROR(INDEX('Lookup Tables'!$C$5:$C$84,MATCH(C372,'Lookup Tables'!$A$5:$A$84,0)),"Unknown")</x:f>
        <x:v>Small Business</x:v>
      </x:c>
      <x:c r="F372" s="8" t="str">
        <x:v>Delhi</x:v>
      </x:c>
      <x:c r="G372" s="8" t="str">
        <x:f>IFERROR(INDEX('Lookup Tables'!$N$5:$N$14,MATCH(F372,'Lookup Tables'!$M$5:$M$14,0)),"Unknown")</x:f>
        <x:v>North</x:v>
      </x:c>
      <x:c r="H372" s="8" t="str">
        <x:v>PRD-001</x:v>
      </x:c>
      <x:c r="I372" s="8" t="str">
        <x:f>IFERROR(INDEX('Lookup Tables'!$G$5:$G$16,MATCH(H372,'Lookup Tables'!$F$5:$F$16,0)),"Unknown Product")</x:f>
        <x:v>Wireless Mouse</x:v>
      </x:c>
      <x:c r="J372" s="8" t="str">
        <x:f>IFERROR(INDEX('Lookup Tables'!$H$5:$H$16,MATCH(H372,'Lookup Tables'!$F$5:$F$16,0)),"Unknown")</x:f>
        <x:v>Electronics</x:v>
      </x:c>
      <x:c r="K372" s="8" t="n">
        <x:v>3</x:v>
      </x:c>
      <x:c r="L372" s="9" t="n">
        <x:f>IFERROR(INDEX('Lookup Tables'!$I$5:$I$16,MATCH(H372,'Lookup Tables'!$F$5:$F$16,0)),0)</x:f>
        <x:v>899</x:v>
      </x:c>
      <x:c r="M372" s="23" t="n">
        <x:f>IF('Raw Data'!M372="",0,'Raw Data'!M372)</x:f>
        <x:v>0.15</x:v>
      </x:c>
      <x:c r="N372" s="9" t="n">
        <x:f>IF(S372="Completed",K372*L372*(1-M372),0)</x:f>
        <x:v>0</x:v>
      </x:c>
      <x:c r="O372" s="9" t="n">
        <x:f>IFERROR(INDEX('Lookup Tables'!$J$5:$J$16,MATCH(H372,'Lookup Tables'!$F$5:$F$16,0)),0)</x:f>
        <x:v>540</x:v>
      </x:c>
      <x:c r="P372" s="9" t="n">
        <x:f>IF(S372="Completed",K372*O372,0)</x:f>
        <x:v>0</x:v>
      </x:c>
      <x:c r="Q372" s="9" t="n">
        <x:f>N372-P372</x:f>
        <x:v>0</x:v>
      </x:c>
      <x:c r="R372" s="8" t="str">
        <x:f>IF(LOWER('Raw Data'!N372)="upi","UPI",'Raw Data'!N372)</x:f>
        <x:v>Debit Card</x:v>
      </x:c>
      <x:c r="S372" s="8" t="str">
        <x:v>Returned</x:v>
      </x:c>
      <x:c r="T372" s="8" t="str">
        <x:f>TEXT(B372,"mmm yyyy")</x:f>
        <x:v>Feb 2025</x:v>
      </x:c>
      <x:c r="U372" s="8" t="n">
        <x:f>YEAR(B372)</x:f>
        <x:v>2025</x:v>
      </x:c>
    </x:row>
    <x:row r="373">
      <x:c r="A373" s="8" t="str">
        <x:v>ORD-0369</x:v>
      </x:c>
      <x:c r="B373" s="22" t="n">
        <x:v>45946.68234733796</x:v>
      </x:c>
      <x:c r="C373" s="8" t="str">
        <x:v>CUS-009</x:v>
      </x:c>
      <x:c r="D373" s="8" t="str">
        <x:f>IFERROR(INDEX('Lookup Tables'!$B$5:$B$84,MATCH(C373,'Lookup Tables'!$A$5:$A$84,0)),"Unknown Customer")</x:f>
        <x:v>Rohan Das</x:v>
      </x:c>
      <x:c r="E373" s="8" t="str">
        <x:f>IFERROR(INDEX('Lookup Tables'!$C$5:$C$84,MATCH(C373,'Lookup Tables'!$A$5:$A$84,0)),"Unknown")</x:f>
        <x:v>Small Business</x:v>
      </x:c>
      <x:c r="F373" s="8" t="str">
        <x:v>Ahmedabad</x:v>
      </x:c>
      <x:c r="G373" s="8" t="str">
        <x:f>IFERROR(INDEX('Lookup Tables'!$N$5:$N$14,MATCH(F373,'Lookup Tables'!$M$5:$M$14,0)),"Unknown")</x:f>
        <x:v>West</x:v>
      </x:c>
      <x:c r="H373" s="8" t="str">
        <x:v>PRD-010</x:v>
      </x:c>
      <x:c r="I373" s="8" t="str">
        <x:f>IFERROR(INDEX('Lookup Tables'!$G$5:$G$16,MATCH(H373,'Lookup Tables'!$F$5:$F$16,0)),"Unknown Product")</x:f>
        <x:v>Travel Backpack</x:v>
      </x:c>
      <x:c r="J373" s="8" t="str">
        <x:f>IFERROR(INDEX('Lookup Tables'!$H$5:$H$16,MATCH(H373,'Lookup Tables'!$F$5:$F$16,0)),"Unknown")</x:f>
        <x:v>Fashion</x:v>
      </x:c>
      <x:c r="K373" s="8" t="n">
        <x:v>2</x:v>
      </x:c>
      <x:c r="L373" s="9" t="n">
        <x:f>IFERROR(INDEX('Lookup Tables'!$I$5:$I$16,MATCH(H373,'Lookup Tables'!$F$5:$F$16,0)),0)</x:f>
        <x:v>2199</x:v>
      </x:c>
      <x:c r="M373" s="23" t="n">
        <x:f>IF('Raw Data'!M373="",0,'Raw Data'!M373)</x:f>
        <x:v>0</x:v>
      </x:c>
      <x:c r="N373" s="9" t="n">
        <x:f>IF(S373="Completed",K373*L373*(1-M373),0)</x:f>
        <x:v>4398</x:v>
      </x:c>
      <x:c r="O373" s="9" t="n">
        <x:f>IFERROR(INDEX('Lookup Tables'!$J$5:$J$16,MATCH(H373,'Lookup Tables'!$F$5:$F$16,0)),0)</x:f>
        <x:v>1380</x:v>
      </x:c>
      <x:c r="P373" s="9" t="n">
        <x:f>IF(S373="Completed",K373*O373,0)</x:f>
        <x:v>2760</x:v>
      </x:c>
      <x:c r="Q373" s="9" t="n">
        <x:f>N373-P373</x:f>
        <x:v>1638</x:v>
      </x:c>
      <x:c r="R373" s="8" t="str">
        <x:f>IF(LOWER('Raw Data'!N373)="upi","UPI",'Raw Data'!N373)</x:f>
        <x:v>Cash on Delivery</x:v>
      </x:c>
      <x:c r="S373" s="8" t="str">
        <x:v>Completed</x:v>
      </x:c>
      <x:c r="T373" s="8" t="str">
        <x:f>TEXT(B373,"mmm yyyy")</x:f>
        <x:v>Oct 2025</x:v>
      </x:c>
      <x:c r="U373" s="8" t="n">
        <x:f>YEAR(B373)</x:f>
        <x:v>2025</x:v>
      </x:c>
    </x:row>
    <x:row r="374">
      <x:c r="A374" s="8" t="str">
        <x:v>ORD-0370</x:v>
      </x:c>
      <x:c r="B374" s="22" t="n">
        <x:v>45659.391849293985</x:v>
      </x:c>
      <x:c r="C374" s="8" t="str">
        <x:v>CUS-013</x:v>
      </x:c>
      <x:c r="D374" s="8" t="str">
        <x:f>IFERROR(INDEX('Lookup Tables'!$B$5:$B$84,MATCH(C374,'Lookup Tables'!$A$5:$A$84,0)),"Unknown Customer")</x:f>
        <x:v>Rahul Mishra</x:v>
      </x:c>
      <x:c r="E374" s="8" t="str">
        <x:f>IFERROR(INDEX('Lookup Tables'!$C$5:$C$84,MATCH(C374,'Lookup Tables'!$A$5:$A$84,0)),"Unknown")</x:f>
        <x:v>Consumer</x:v>
      </x:c>
      <x:c r="F374" s="8" t="str">
        <x:v>Mumbai</x:v>
      </x:c>
      <x:c r="G374" s="8" t="str">
        <x:f>IFERROR(INDEX('Lookup Tables'!$N$5:$N$14,MATCH(F374,'Lookup Tables'!$M$5:$M$14,0)),"Unknown")</x:f>
        <x:v>West</x:v>
      </x:c>
      <x:c r="H374" s="8" t="str">
        <x:v>PRD-011</x:v>
      </x:c>
      <x:c r="I374" s="8" t="str">
        <x:f>IFERROR(INDEX('Lookup Tables'!$G$5:$G$16,MATCH(H374,'Lookup Tables'!$F$5:$F$16,0)),"Unknown Product")</x:f>
        <x:v>Classic Wallet</x:v>
      </x:c>
      <x:c r="J374" s="8" t="str">
        <x:f>IFERROR(INDEX('Lookup Tables'!$H$5:$H$16,MATCH(H374,'Lookup Tables'!$F$5:$F$16,0)),"Unknown")</x:f>
        <x:v>Fashion</x:v>
      </x:c>
      <x:c r="K374" s="8" t="n">
        <x:v>1</x:v>
      </x:c>
      <x:c r="L374" s="9" t="n">
        <x:f>IFERROR(INDEX('Lookup Tables'!$I$5:$I$16,MATCH(H374,'Lookup Tables'!$F$5:$F$16,0)),0)</x:f>
        <x:v>1199</x:v>
      </x:c>
      <x:c r="M374" s="23" t="n">
        <x:f>IF('Raw Data'!M374="",0,'Raw Data'!M374)</x:f>
        <x:v>0.05</x:v>
      </x:c>
      <x:c r="N374" s="9" t="n">
        <x:f>IF(S374="Completed",K374*L374*(1-M374),0)</x:f>
        <x:v>1139.05</x:v>
      </x:c>
      <x:c r="O374" s="9" t="n">
        <x:f>IFERROR(INDEX('Lookup Tables'!$J$5:$J$16,MATCH(H374,'Lookup Tables'!$F$5:$F$16,0)),0)</x:f>
        <x:v>690</x:v>
      </x:c>
      <x:c r="P374" s="9" t="n">
        <x:f>IF(S374="Completed",K374*O374,0)</x:f>
        <x:v>690</x:v>
      </x:c>
      <x:c r="Q374" s="9" t="n">
        <x:f>N374-P374</x:f>
        <x:v>449.04999999999995</x:v>
      </x:c>
      <x:c r="R374" s="8" t="str">
        <x:f>IF(LOWER('Raw Data'!N374)="upi","UPI",'Raw Data'!N374)</x:f>
        <x:v>Credit Card</x:v>
      </x:c>
      <x:c r="S374" s="8" t="str">
        <x:v>Completed</x:v>
      </x:c>
      <x:c r="T374" s="8" t="str">
        <x:f>TEXT(B374,"mmm yyyy")</x:f>
        <x:v>Jan 2025</x:v>
      </x:c>
      <x:c r="U374" s="8" t="n">
        <x:f>YEAR(B374)</x:f>
        <x:v>2025</x:v>
      </x:c>
    </x:row>
    <x:row r="375">
      <x:c r="A375" s="8" t="str">
        <x:v>ORD-0371</x:v>
      </x:c>
      <x:c r="B375" s="22" t="n">
        <x:v>45866.64605166667</x:v>
      </x:c>
      <x:c r="C375" s="8" t="str">
        <x:v>CUS-045</x:v>
      </x:c>
      <x:c r="D375" s="8" t="str">
        <x:f>IFERROR(INDEX('Lookup Tables'!$B$5:$B$84,MATCH(C375,'Lookup Tables'!$A$5:$A$84,0)),"Unknown Customer")</x:f>
        <x:v>Arjun Verma 3</x:v>
      </x:c>
      <x:c r="E375" s="8" t="str">
        <x:f>IFERROR(INDEX('Lookup Tables'!$C$5:$C$84,MATCH(C375,'Lookup Tables'!$A$5:$A$84,0)),"Unknown")</x:f>
        <x:v>Small Business</x:v>
      </x:c>
      <x:c r="F375" s="8" t="str">
        <x:v>Bengaluru</x:v>
      </x:c>
      <x:c r="G375" s="8" t="str">
        <x:f>IFERROR(INDEX('Lookup Tables'!$N$5:$N$14,MATCH(F375,'Lookup Tables'!$M$5:$M$14,0)),"Unknown")</x:f>
        <x:v>South</x:v>
      </x:c>
      <x:c r="H375" s="8" t="str">
        <x:v>PRD-012</x:v>
      </x:c>
      <x:c r="I375" s="8" t="str">
        <x:f>IFERROR(INDEX('Lookup Tables'!$G$5:$G$16,MATCH(H375,'Lookup Tables'!$F$5:$F$16,0)),"Unknown Product")</x:f>
        <x:v>Stainless Water Bottle</x:v>
      </x:c>
      <x:c r="J375" s="8" t="str">
        <x:f>IFERROR(INDEX('Lookup Tables'!$H$5:$H$16,MATCH(H375,'Lookup Tables'!$F$5:$F$16,0)),"Unknown")</x:f>
        <x:v>Lifestyle</x:v>
      </x:c>
      <x:c r="K375" s="8" t="n">
        <x:v>2</x:v>
      </x:c>
      <x:c r="L375" s="9" t="n">
        <x:f>IFERROR(INDEX('Lookup Tables'!$I$5:$I$16,MATCH(H375,'Lookup Tables'!$F$5:$F$16,0)),0)</x:f>
        <x:v>799</x:v>
      </x:c>
      <x:c r="M375" s="23" t="n">
        <x:f>IF('Raw Data'!M375="",0,'Raw Data'!M375)</x:f>
        <x:v>0.05</x:v>
      </x:c>
      <x:c r="N375" s="9" t="n">
        <x:f>IF(S375="Completed",K375*L375*(1-M375),0)</x:f>
        <x:v>1518.1</x:v>
      </x:c>
      <x:c r="O375" s="9" t="n">
        <x:f>IFERROR(INDEX('Lookup Tables'!$J$5:$J$16,MATCH(H375,'Lookup Tables'!$F$5:$F$16,0)),0)</x:f>
        <x:v>410</x:v>
      </x:c>
      <x:c r="P375" s="9" t="n">
        <x:f>IF(S375="Completed",K375*O375,0)</x:f>
        <x:v>820</x:v>
      </x:c>
      <x:c r="Q375" s="9" t="n">
        <x:f>N375-P375</x:f>
        <x:v>698.0999999999999</x:v>
      </x:c>
      <x:c r="R375" s="8" t="str">
        <x:f>IF(LOWER('Raw Data'!N375)="upi","UPI",'Raw Data'!N375)</x:f>
        <x:v>Debit Card</x:v>
      </x:c>
      <x:c r="S375" s="8" t="str">
        <x:v>Completed</x:v>
      </x:c>
      <x:c r="T375" s="8" t="str">
        <x:f>TEXT(B375,"mmm yyyy")</x:f>
        <x:v>Jul 2025</x:v>
      </x:c>
      <x:c r="U375" s="8" t="n">
        <x:f>YEAR(B375)</x:f>
        <x:v>2025</x:v>
      </x:c>
    </x:row>
    <x:row r="376">
      <x:c r="A376" s="8" t="str">
        <x:v>ORD-0372</x:v>
      </x:c>
      <x:c r="B376" s="22" t="n">
        <x:v>45851.98358194444</x:v>
      </x:c>
      <x:c r="C376" s="8" t="str">
        <x:v>CUS-020</x:v>
      </x:c>
      <x:c r="D376" s="8" t="str">
        <x:f>IFERROR(INDEX('Lookup Tables'!$B$5:$B$84,MATCH(C376,'Lookup Tables'!$A$5:$A$84,0)),"Unknown Customer")</x:f>
        <x:v>Kavya Reddy</x:v>
      </x:c>
      <x:c r="E376" s="8" t="str">
        <x:f>IFERROR(INDEX('Lookup Tables'!$C$5:$C$84,MATCH(C376,'Lookup Tables'!$A$5:$A$84,0)),"Unknown")</x:f>
        <x:v>Corporate</x:v>
      </x:c>
      <x:c r="F376" s="8" t="str">
        <x:v>Chennai</x:v>
      </x:c>
      <x:c r="G376" s="8" t="str">
        <x:f>IFERROR(INDEX('Lookup Tables'!$N$5:$N$14,MATCH(F376,'Lookup Tables'!$M$5:$M$14,0)),"Unknown")</x:f>
        <x:v>South</x:v>
      </x:c>
      <x:c r="H376" s="8" t="str">
        <x:v>PRD-009</x:v>
      </x:c>
      <x:c r="I376" s="8" t="str">
        <x:f>IFERROR(INDEX('Lookup Tables'!$G$5:$G$16,MATCH(H376,'Lookup Tables'!$F$5:$F$16,0)),"Unknown Product")</x:f>
        <x:v>Table Lamp</x:v>
      </x:c>
      <x:c r="J376" s="8" t="str">
        <x:f>IFERROR(INDEX('Lookup Tables'!$H$5:$H$16,MATCH(H376,'Lookup Tables'!$F$5:$F$16,0)),"Unknown")</x:f>
        <x:v>Home &amp; Kitchen</x:v>
      </x:c>
      <x:c r="K376" s="8" t="n">
        <x:v>3</x:v>
      </x:c>
      <x:c r="L376" s="9" t="n">
        <x:f>IFERROR(INDEX('Lookup Tables'!$I$5:$I$16,MATCH(H376,'Lookup Tables'!$F$5:$F$16,0)),0)</x:f>
        <x:v>1499</x:v>
      </x:c>
      <x:c r="M376" s="23" t="n">
        <x:f>IF('Raw Data'!M376="",0,'Raw Data'!M376)</x:f>
        <x:v>0.2</x:v>
      </x:c>
      <x:c r="N376" s="9" t="n">
        <x:f>IF(S376="Completed",K376*L376*(1-M376),0)</x:f>
        <x:v>3597.6000000000004</x:v>
      </x:c>
      <x:c r="O376" s="9" t="n">
        <x:f>IFERROR(INDEX('Lookup Tables'!$J$5:$J$16,MATCH(H376,'Lookup Tables'!$F$5:$F$16,0)),0)</x:f>
        <x:v>920</x:v>
      </x:c>
      <x:c r="P376" s="9" t="n">
        <x:f>IF(S376="Completed",K376*O376,0)</x:f>
        <x:v>2760</x:v>
      </x:c>
      <x:c r="Q376" s="9" t="n">
        <x:f>N376-P376</x:f>
        <x:v>837.6000000000004</x:v>
      </x:c>
      <x:c r="R376" s="8" t="str">
        <x:f>IF(LOWER('Raw Data'!N376)="upi","UPI",'Raw Data'!N376)</x:f>
        <x:v>Net Banking</x:v>
      </x:c>
      <x:c r="S376" s="8" t="str">
        <x:v>Completed</x:v>
      </x:c>
      <x:c r="T376" s="8" t="str">
        <x:f>TEXT(B376,"mmm yyyy")</x:f>
        <x:v>Jul 2025</x:v>
      </x:c>
      <x:c r="U376" s="8" t="n">
        <x:f>YEAR(B376)</x:f>
        <x:v>2025</x:v>
      </x:c>
    </x:row>
    <x:row r="377">
      <x:c r="A377" s="8" t="str">
        <x:v>ORD-0373</x:v>
      </x:c>
      <x:c r="B377" s="22" t="n">
        <x:v>45801.64147605324</x:v>
      </x:c>
      <x:c r="C377" s="8" t="str">
        <x:v>CUS-014</x:v>
      </x:c>
      <x:c r="D377" s="8" t="str">
        <x:f>IFERROR(INDEX('Lookup Tables'!$B$5:$B$84,MATCH(C377,'Lookup Tables'!$A$5:$A$84,0)),"Unknown Customer")</x:f>
        <x:v>Neha Rao</x:v>
      </x:c>
      <x:c r="E377" s="8" t="str">
        <x:f>IFERROR(INDEX('Lookup Tables'!$C$5:$C$84,MATCH(C377,'Lookup Tables'!$A$5:$A$84,0)),"Unknown")</x:f>
        <x:v>Corporate</x:v>
      </x:c>
      <x:c r="F377" s="8" t="str">
        <x:v>Jaipur</x:v>
      </x:c>
      <x:c r="G377" s="8" t="str">
        <x:f>IFERROR(INDEX('Lookup Tables'!$N$5:$N$14,MATCH(F377,'Lookup Tables'!$M$5:$M$14,0)),"Unknown")</x:f>
        <x:v>North</x:v>
      </x:c>
      <x:c r="H377" s="8" t="str">
        <x:v>PRD-008</x:v>
      </x:c>
      <x:c r="I377" s="8" t="str">
        <x:f>IFERROR(INDEX('Lookup Tables'!$G$5:$G$16,MATCH(H377,'Lookup Tables'!$F$5:$F$16,0)),"Unknown Product")</x:f>
        <x:v>Storage Container Set</x:v>
      </x:c>
      <x:c r="J377" s="8" t="str">
        <x:f>IFERROR(INDEX('Lookup Tables'!$H$5:$H$16,MATCH(H377,'Lookup Tables'!$F$5:$F$16,0)),"Unknown")</x:f>
        <x:v>Home &amp; Kitchen</x:v>
      </x:c>
      <x:c r="K377" s="8" t="n">
        <x:v>1</x:v>
      </x:c>
      <x:c r="L377" s="9" t="n">
        <x:f>IFERROR(INDEX('Lookup Tables'!$I$5:$I$16,MATCH(H377,'Lookup Tables'!$F$5:$F$16,0)),0)</x:f>
        <x:v>999</x:v>
      </x:c>
      <x:c r="M377" s="23" t="n">
        <x:f>IF('Raw Data'!M377="",0,'Raw Data'!M377)</x:f>
        <x:v>0.05</x:v>
      </x:c>
      <x:c r="N377" s="9" t="n">
        <x:f>IF(S377="Completed",K377*L377*(1-M377),0)</x:f>
        <x:v>949.05</x:v>
      </x:c>
      <x:c r="O377" s="9" t="n">
        <x:f>IFERROR(INDEX('Lookup Tables'!$J$5:$J$16,MATCH(H377,'Lookup Tables'!$F$5:$F$16,0)),0)</x:f>
        <x:v>580</x:v>
      </x:c>
      <x:c r="P377" s="9" t="n">
        <x:f>IF(S377="Completed",K377*O377,0)</x:f>
        <x:v>580</x:v>
      </x:c>
      <x:c r="Q377" s="9" t="n">
        <x:f>N377-P377</x:f>
        <x:v>369.04999999999995</x:v>
      </x:c>
      <x:c r="R377" s="8" t="str">
        <x:f>IF(LOWER('Raw Data'!N377)="upi","UPI",'Raw Data'!N377)</x:f>
        <x:v>UPI</x:v>
      </x:c>
      <x:c r="S377" s="8" t="str">
        <x:v>Completed</x:v>
      </x:c>
      <x:c r="T377" s="8" t="str">
        <x:f>TEXT(B377,"mmm yyyy")</x:f>
        <x:v>May 2025</x:v>
      </x:c>
      <x:c r="U377" s="8" t="n">
        <x:f>YEAR(B377)</x:f>
        <x:v>2025</x:v>
      </x:c>
    </x:row>
    <x:row r="378">
      <x:c r="A378" s="8" t="str">
        <x:v>ORD-0374</x:v>
      </x:c>
      <x:c r="B378" s="22" t="n">
        <x:v>45775.38786131945</x:v>
      </x:c>
      <x:c r="C378" s="8" t="str">
        <x:v>CUS-051</x:v>
      </x:c>
      <x:c r="D378" s="8" t="str">
        <x:f>IFERROR(INDEX('Lookup Tables'!$B$5:$B$84,MATCH(C378,'Lookup Tables'!$A$5:$A$84,0)),"Unknown Customer")</x:f>
        <x:v>Aditya Joshi 3</x:v>
      </x:c>
      <x:c r="E378" s="8" t="str">
        <x:f>IFERROR(INDEX('Lookup Tables'!$C$5:$C$84,MATCH(C378,'Lookup Tables'!$A$5:$A$84,0)),"Unknown")</x:f>
        <x:v>Small Business</x:v>
      </x:c>
      <x:c r="F378" s="8" t="str">
        <x:v>Bengaluru</x:v>
      </x:c>
      <x:c r="G378" s="8" t="str">
        <x:f>IFERROR(INDEX('Lookup Tables'!$N$5:$N$14,MATCH(F378,'Lookup Tables'!$M$5:$M$14,0)),"Unknown")</x:f>
        <x:v>South</x:v>
      </x:c>
      <x:c r="H378" s="8" t="str">
        <x:v>PRD-007</x:v>
      </x:c>
      <x:c r="I378" s="8" t="str">
        <x:f>IFERROR(INDEX('Lookup Tables'!$G$5:$G$16,MATCH(H378,'Lookup Tables'!$F$5:$F$16,0)),"Unknown Product")</x:f>
        <x:v>Electric Kettle</x:v>
      </x:c>
      <x:c r="J378" s="8" t="str">
        <x:f>IFERROR(INDEX('Lookup Tables'!$H$5:$H$16,MATCH(H378,'Lookup Tables'!$F$5:$F$16,0)),"Unknown")</x:f>
        <x:v>Home &amp; Kitchen</x:v>
      </x:c>
      <x:c r="K378" s="8" t="n">
        <x:v>5</x:v>
      </x:c>
      <x:c r="L378" s="9" t="n">
        <x:f>IFERROR(INDEX('Lookup Tables'!$I$5:$I$16,MATCH(H378,'Lookup Tables'!$F$5:$F$16,0)),0)</x:f>
        <x:v>1699</x:v>
      </x:c>
      <x:c r="M378" s="23" t="n">
        <x:f>IF('Raw Data'!M378="",0,'Raw Data'!M378)</x:f>
        <x:v>0.05</x:v>
      </x:c>
      <x:c r="N378" s="9" t="n">
        <x:f>IF(S378="Completed",K378*L378*(1-M378),0)</x:f>
        <x:v>8070.25</x:v>
      </x:c>
      <x:c r="O378" s="9" t="n">
        <x:f>IFERROR(INDEX('Lookup Tables'!$J$5:$J$16,MATCH(H378,'Lookup Tables'!$F$5:$F$16,0)),0)</x:f>
        <x:v>1040</x:v>
      </x:c>
      <x:c r="P378" s="9" t="n">
        <x:f>IF(S378="Completed",K378*O378,0)</x:f>
        <x:v>5200</x:v>
      </x:c>
      <x:c r="Q378" s="9" t="n">
        <x:f>N378-P378</x:f>
        <x:v>2870.25</x:v>
      </x:c>
      <x:c r="R378" s="8" t="str">
        <x:f>IF(LOWER('Raw Data'!N378)="upi","UPI",'Raw Data'!N378)</x:f>
        <x:v>Debit Card</x:v>
      </x:c>
      <x:c r="S378" s="8" t="str">
        <x:v>Completed</x:v>
      </x:c>
      <x:c r="T378" s="8" t="str">
        <x:f>TEXT(B378,"mmm yyyy")</x:f>
        <x:v>Apr 2025</x:v>
      </x:c>
      <x:c r="U378" s="8" t="n">
        <x:f>YEAR(B378)</x:f>
        <x:v>2025</x:v>
      </x:c>
    </x:row>
    <x:row r="379">
      <x:c r="A379" s="8" t="str">
        <x:v>ORD-0375</x:v>
      </x:c>
      <x:c r="B379" s="22" t="n">
        <x:v>45679.325573842594</x:v>
      </x:c>
      <x:c r="C379" s="8" t="str">
        <x:v>CUS-043</x:v>
      </x:c>
      <x:c r="D379" s="8" t="str">
        <x:f>IFERROR(INDEX('Lookup Tables'!$B$5:$B$84,MATCH(C379,'Lookup Tables'!$A$5:$A$84,0)),"Unknown Customer")</x:f>
        <x:v>Vihaan Singh 3</x:v>
      </x:c>
      <x:c r="E379" s="8" t="str">
        <x:f>IFERROR(INDEX('Lookup Tables'!$C$5:$C$84,MATCH(C379,'Lookup Tables'!$A$5:$A$84,0)),"Unknown")</x:f>
        <x:v>Consumer</x:v>
      </x:c>
      <x:c r="F379" s="8" t="str">
        <x:v>Ahmedabad</x:v>
      </x:c>
      <x:c r="G379" s="8" t="str">
        <x:f>IFERROR(INDEX('Lookup Tables'!$N$5:$N$14,MATCH(F379,'Lookup Tables'!$M$5:$M$14,0)),"Unknown")</x:f>
        <x:v>West</x:v>
      </x:c>
      <x:c r="H379" s="8" t="str">
        <x:v>PRD-003</x:v>
      </x:c>
      <x:c r="I379" s="8" t="str">
        <x:f>IFERROR(INDEX('Lookup Tables'!$G$5:$G$16,MATCH(H379,'Lookup Tables'!$F$5:$F$16,0)),"Unknown Product")</x:f>
        <x:v>USB-C Hub</x:v>
      </x:c>
      <x:c r="J379" s="8" t="str">
        <x:f>IFERROR(INDEX('Lookup Tables'!$H$5:$H$16,MATCH(H379,'Lookup Tables'!$F$5:$F$16,0)),"Unknown")</x:f>
        <x:v>Electronics</x:v>
      </x:c>
      <x:c r="K379" s="8" t="n">
        <x:v>2</x:v>
      </x:c>
      <x:c r="L379" s="9" t="n">
        <x:f>IFERROR(INDEX('Lookup Tables'!$I$5:$I$16,MATCH(H379,'Lookup Tables'!$F$5:$F$16,0)),0)</x:f>
        <x:v>1899</x:v>
      </x:c>
      <x:c r="M379" s="23" t="n">
        <x:f>IF('Raw Data'!M379="",0,'Raw Data'!M379)</x:f>
        <x:v>0.05</x:v>
      </x:c>
      <x:c r="N379" s="9" t="n">
        <x:f>IF(S379="Completed",K379*L379*(1-M379),0)</x:f>
        <x:v>3608.1</x:v>
      </x:c>
      <x:c r="O379" s="9" t="n">
        <x:f>IFERROR(INDEX('Lookup Tables'!$J$5:$J$16,MATCH(H379,'Lookup Tables'!$F$5:$F$16,0)),0)</x:f>
        <x:v>1180</x:v>
      </x:c>
      <x:c r="P379" s="9" t="n">
        <x:f>IF(S379="Completed",K379*O379,0)</x:f>
        <x:v>2360</x:v>
      </x:c>
      <x:c r="Q379" s="9" t="n">
        <x:f>N379-P379</x:f>
        <x:v>1248.1</x:v>
      </x:c>
      <x:c r="R379" s="8" t="str">
        <x:f>IF(LOWER('Raw Data'!N379)="upi","UPI",'Raw Data'!N379)</x:f>
        <x:v>UPI</x:v>
      </x:c>
      <x:c r="S379" s="8" t="str">
        <x:v>Completed</x:v>
      </x:c>
      <x:c r="T379" s="8" t="str">
        <x:f>TEXT(B379,"mmm yyyy")</x:f>
        <x:v>Jan 2025</x:v>
      </x:c>
      <x:c r="U379" s="8" t="n">
        <x:f>YEAR(B379)</x:f>
        <x:v>2025</x:v>
      </x:c>
    </x:row>
    <x:row r="380">
      <x:c r="A380" s="8" t="str">
        <x:v>ORD-0376</x:v>
      </x:c>
      <x:c r="B380" s="22" t="n">
        <x:v>45850.83596366898</x:v>
      </x:c>
      <x:c r="C380" s="8" t="str">
        <x:v>CUS-048</x:v>
      </x:c>
      <x:c r="D380" s="8" t="str">
        <x:f>IFERROR(INDEX('Lookup Tables'!$B$5:$B$84,MATCH(C380,'Lookup Tables'!$A$5:$A$84,0)),"Unknown Customer")</x:f>
        <x:v>Meera Nair 3</x:v>
      </x:c>
      <x:c r="E380" s="8" t="str">
        <x:f>IFERROR(INDEX('Lookup Tables'!$C$5:$C$84,MATCH(C380,'Lookup Tables'!$A$5:$A$84,0)),"Unknown")</x:f>
        <x:v>Small Business</x:v>
      </x:c>
      <x:c r="F380" s="8" t="str">
        <x:v>Jaipur</x:v>
      </x:c>
      <x:c r="G380" s="8" t="str">
        <x:f>IFERROR(INDEX('Lookup Tables'!$N$5:$N$14,MATCH(F380,'Lookup Tables'!$M$5:$M$14,0)),"Unknown")</x:f>
        <x:v>North</x:v>
      </x:c>
      <x:c r="H380" s="8" t="str">
        <x:v>PRD-008</x:v>
      </x:c>
      <x:c r="I380" s="8" t="str">
        <x:f>IFERROR(INDEX('Lookup Tables'!$G$5:$G$16,MATCH(H380,'Lookup Tables'!$F$5:$F$16,0)),"Unknown Product")</x:f>
        <x:v>Storage Container Set</x:v>
      </x:c>
      <x:c r="J380" s="8" t="str">
        <x:f>IFERROR(INDEX('Lookup Tables'!$H$5:$H$16,MATCH(H380,'Lookup Tables'!$F$5:$F$16,0)),"Unknown")</x:f>
        <x:v>Home &amp; Kitchen</x:v>
      </x:c>
      <x:c r="K380" s="8" t="n">
        <x:v>4</x:v>
      </x:c>
      <x:c r="L380" s="9" t="n">
        <x:f>IFERROR(INDEX('Lookup Tables'!$I$5:$I$16,MATCH(H380,'Lookup Tables'!$F$5:$F$16,0)),0)</x:f>
        <x:v>999</x:v>
      </x:c>
      <x:c r="M380" s="23" t="n">
        <x:f>IF('Raw Data'!M380="",0,'Raw Data'!M380)</x:f>
        <x:v>0</x:v>
      </x:c>
      <x:c r="N380" s="9" t="n">
        <x:f>IF(S380="Completed",K380*L380*(1-M380),0)</x:f>
        <x:v>3996</x:v>
      </x:c>
      <x:c r="O380" s="9" t="n">
        <x:f>IFERROR(INDEX('Lookup Tables'!$J$5:$J$16,MATCH(H380,'Lookup Tables'!$F$5:$F$16,0)),0)</x:f>
        <x:v>580</x:v>
      </x:c>
      <x:c r="P380" s="9" t="n">
        <x:f>IF(S380="Completed",K380*O380,0)</x:f>
        <x:v>2320</x:v>
      </x:c>
      <x:c r="Q380" s="9" t="n">
        <x:f>N380-P380</x:f>
        <x:v>1676</x:v>
      </x:c>
      <x:c r="R380" s="8" t="str">
        <x:f>IF(LOWER('Raw Data'!N380)="upi","UPI",'Raw Data'!N380)</x:f>
        <x:v>Cash on Delivery</x:v>
      </x:c>
      <x:c r="S380" s="8" t="str">
        <x:v>Completed</x:v>
      </x:c>
      <x:c r="T380" s="8" t="str">
        <x:f>TEXT(B380,"mmm yyyy")</x:f>
        <x:v>Jul 2025</x:v>
      </x:c>
      <x:c r="U380" s="8" t="n">
        <x:f>YEAR(B380)</x:f>
        <x:v>2025</x:v>
      </x:c>
    </x:row>
    <x:row r="381">
      <x:c r="A381" s="8" t="str">
        <x:v>ORD-0377</x:v>
      </x:c>
      <x:c r="B381" s="22" t="n">
        <x:v>45701.32910542824</x:v>
      </x:c>
      <x:c r="C381" s="8" t="str">
        <x:v>CUS-036</x:v>
      </x:c>
      <x:c r="D381" s="8" t="str">
        <x:f>IFERROR(INDEX('Lookup Tables'!$B$5:$B$84,MATCH(C381,'Lookup Tables'!$A$5:$A$84,0)),"Unknown Customer")</x:f>
        <x:v>Pooja Saxena 2</x:v>
      </x:c>
      <x:c r="E381" s="8" t="str">
        <x:f>IFERROR(INDEX('Lookup Tables'!$C$5:$C$84,MATCH(C381,'Lookup Tables'!$A$5:$A$84,0)),"Unknown")</x:f>
        <x:v>Small Business</x:v>
      </x:c>
      <x:c r="F381" s="8" t="str">
        <x:v>Pune</x:v>
      </x:c>
      <x:c r="G381" s="8" t="str">
        <x:f>IFERROR(INDEX('Lookup Tables'!$N$5:$N$14,MATCH(F381,'Lookup Tables'!$M$5:$M$14,0)),"Unknown")</x:f>
        <x:v>West</x:v>
      </x:c>
      <x:c r="H381" s="8" t="str">
        <x:v>PRD-012</x:v>
      </x:c>
      <x:c r="I381" s="8" t="str">
        <x:f>IFERROR(INDEX('Lookup Tables'!$G$5:$G$16,MATCH(H381,'Lookup Tables'!$F$5:$F$16,0)),"Unknown Product")</x:f>
        <x:v>Stainless Water Bottle</x:v>
      </x:c>
      <x:c r="J381" s="8" t="str">
        <x:f>IFERROR(INDEX('Lookup Tables'!$H$5:$H$16,MATCH(H381,'Lookup Tables'!$F$5:$F$16,0)),"Unknown")</x:f>
        <x:v>Lifestyle</x:v>
      </x:c>
      <x:c r="K381" s="8" t="n">
        <x:v>3</x:v>
      </x:c>
      <x:c r="L381" s="9" t="n">
        <x:f>IFERROR(INDEX('Lookup Tables'!$I$5:$I$16,MATCH(H381,'Lookup Tables'!$F$5:$F$16,0)),0)</x:f>
        <x:v>799</x:v>
      </x:c>
      <x:c r="M381" s="23" t="n">
        <x:f>IF('Raw Data'!M381="",0,'Raw Data'!M381)</x:f>
        <x:v>0.15</x:v>
      </x:c>
      <x:c r="N381" s="9" t="n">
        <x:f>IF(S381="Completed",K381*L381*(1-M381),0)</x:f>
        <x:v>2037.45</x:v>
      </x:c>
      <x:c r="O381" s="9" t="n">
        <x:f>IFERROR(INDEX('Lookup Tables'!$J$5:$J$16,MATCH(H381,'Lookup Tables'!$F$5:$F$16,0)),0)</x:f>
        <x:v>410</x:v>
      </x:c>
      <x:c r="P381" s="9" t="n">
        <x:f>IF(S381="Completed",K381*O381,0)</x:f>
        <x:v>1230</x:v>
      </x:c>
      <x:c r="Q381" s="9" t="n">
        <x:f>N381-P381</x:f>
        <x:v>807.45</x:v>
      </x:c>
      <x:c r="R381" s="8" t="str">
        <x:f>IF(LOWER('Raw Data'!N381)="upi","UPI",'Raw Data'!N381)</x:f>
        <x:v>Credit Card</x:v>
      </x:c>
      <x:c r="S381" s="8" t="str">
        <x:v>Completed</x:v>
      </x:c>
      <x:c r="T381" s="8" t="str">
        <x:f>TEXT(B381,"mmm yyyy")</x:f>
        <x:v>Feb 2025</x:v>
      </x:c>
      <x:c r="U381" s="8" t="n">
        <x:f>YEAR(B381)</x:f>
        <x:v>2025</x:v>
      </x:c>
    </x:row>
    <x:row r="382">
      <x:c r="A382" s="8" t="str">
        <x:v>ORD-0378</x:v>
      </x:c>
      <x:c r="B382" s="22" t="n">
        <x:v>45918.92301967592</x:v>
      </x:c>
      <x:c r="C382" s="8" t="str">
        <x:v>CUS-046</x:v>
      </x:c>
      <x:c r="D382" s="8" t="str">
        <x:f>IFERROR(INDEX('Lookup Tables'!$B$5:$B$84,MATCH(C382,'Lookup Tables'!$A$5:$A$84,0)),"Unknown Customer")</x:f>
        <x:v>Isha Mehta 3</x:v>
      </x:c>
      <x:c r="E382" s="8" t="str">
        <x:f>IFERROR(INDEX('Lookup Tables'!$C$5:$C$84,MATCH(C382,'Lookup Tables'!$A$5:$A$84,0)),"Unknown")</x:f>
        <x:v>Consumer</x:v>
      </x:c>
      <x:c r="F382" s="8" t="str">
        <x:v>Chennai</x:v>
      </x:c>
      <x:c r="G382" s="8" t="str">
        <x:f>IFERROR(INDEX('Lookup Tables'!$N$5:$N$14,MATCH(F382,'Lookup Tables'!$M$5:$M$14,0)),"Unknown")</x:f>
        <x:v>South</x:v>
      </x:c>
      <x:c r="H382" s="8" t="str">
        <x:v>PRD-010</x:v>
      </x:c>
      <x:c r="I382" s="8" t="str">
        <x:f>IFERROR(INDEX('Lookup Tables'!$G$5:$G$16,MATCH(H382,'Lookup Tables'!$F$5:$F$16,0)),"Unknown Product")</x:f>
        <x:v>Travel Backpack</x:v>
      </x:c>
      <x:c r="J382" s="8" t="str">
        <x:f>IFERROR(INDEX('Lookup Tables'!$H$5:$H$16,MATCH(H382,'Lookup Tables'!$F$5:$F$16,0)),"Unknown")</x:f>
        <x:v>Fashion</x:v>
      </x:c>
      <x:c r="K382" s="8" t="n">
        <x:v>1</x:v>
      </x:c>
      <x:c r="L382" s="9" t="n">
        <x:f>IFERROR(INDEX('Lookup Tables'!$I$5:$I$16,MATCH(H382,'Lookup Tables'!$F$5:$F$16,0)),0)</x:f>
        <x:v>2199</x:v>
      </x:c>
      <x:c r="M382" s="23" t="n">
        <x:f>IF('Raw Data'!M382="",0,'Raw Data'!M382)</x:f>
        <x:v>0.15</x:v>
      </x:c>
      <x:c r="N382" s="9" t="n">
        <x:f>IF(S382="Completed",K382*L382*(1-M382),0)</x:f>
        <x:v>1869.1499999999999</x:v>
      </x:c>
      <x:c r="O382" s="9" t="n">
        <x:f>IFERROR(INDEX('Lookup Tables'!$J$5:$J$16,MATCH(H382,'Lookup Tables'!$F$5:$F$16,0)),0)</x:f>
        <x:v>1380</x:v>
      </x:c>
      <x:c r="P382" s="9" t="n">
        <x:f>IF(S382="Completed",K382*O382,0)</x:f>
        <x:v>1380</x:v>
      </x:c>
      <x:c r="Q382" s="9" t="n">
        <x:f>N382-P382</x:f>
        <x:v>489.14999999999986</x:v>
      </x:c>
      <x:c r="R382" s="8" t="str">
        <x:f>IF(LOWER('Raw Data'!N382)="upi","UPI",'Raw Data'!N382)</x:f>
        <x:v>Credit Card</x:v>
      </x:c>
      <x:c r="S382" s="8" t="str">
        <x:v>Completed</x:v>
      </x:c>
      <x:c r="T382" s="8" t="str">
        <x:f>TEXT(B382,"mmm yyyy")</x:f>
        <x:v>Sep 2025</x:v>
      </x:c>
      <x:c r="U382" s="8" t="n">
        <x:f>YEAR(B382)</x:f>
        <x:v>2025</x:v>
      </x:c>
    </x:row>
    <x:row r="383">
      <x:c r="A383" s="8" t="str">
        <x:v>ORD-0379</x:v>
      </x:c>
      <x:c r="B383" s="22" t="n">
        <x:v>45764.45253268519</x:v>
      </x:c>
      <x:c r="C383" s="8" t="str">
        <x:v>CUS-073</x:v>
      </x:c>
      <x:c r="D383" s="8" t="str">
        <x:f>IFERROR(INDEX('Lookup Tables'!$B$5:$B$84,MATCH(C383,'Lookup Tables'!$A$5:$A$84,0)),"Unknown Customer")</x:f>
        <x:v>Rahul Mishra 4</x:v>
      </x:c>
      <x:c r="E383" s="8" t="str">
        <x:f>IFERROR(INDEX('Lookup Tables'!$C$5:$C$84,MATCH(C383,'Lookup Tables'!$A$5:$A$84,0)),"Unknown")</x:f>
        <x:v>Consumer</x:v>
      </x:c>
      <x:c r="F383" s="8" t="str">
        <x:v>Kolkata</x:v>
      </x:c>
      <x:c r="G383" s="8" t="str">
        <x:f>IFERROR(INDEX('Lookup Tables'!$N$5:$N$14,MATCH(F383,'Lookup Tables'!$M$5:$M$14,0)),"Unknown")</x:f>
        <x:v>East</x:v>
      </x:c>
      <x:c r="H383" s="8" t="str">
        <x:v>PRD-009</x:v>
      </x:c>
      <x:c r="I383" s="8" t="str">
        <x:f>IFERROR(INDEX('Lookup Tables'!$G$5:$G$16,MATCH(H383,'Lookup Tables'!$F$5:$F$16,0)),"Unknown Product")</x:f>
        <x:v>Table Lamp</x:v>
      </x:c>
      <x:c r="J383" s="8" t="str">
        <x:f>IFERROR(INDEX('Lookup Tables'!$H$5:$H$16,MATCH(H383,'Lookup Tables'!$F$5:$F$16,0)),"Unknown")</x:f>
        <x:v>Home &amp; Kitchen</x:v>
      </x:c>
      <x:c r="K383" s="8" t="n">
        <x:v>3</x:v>
      </x:c>
      <x:c r="L383" s="9" t="n">
        <x:f>IFERROR(INDEX('Lookup Tables'!$I$5:$I$16,MATCH(H383,'Lookup Tables'!$F$5:$F$16,0)),0)</x:f>
        <x:v>1499</x:v>
      </x:c>
      <x:c r="M383" s="23" t="n">
        <x:f>IF('Raw Data'!M383="",0,'Raw Data'!M383)</x:f>
        <x:v>0</x:v>
      </x:c>
      <x:c r="N383" s="9" t="n">
        <x:f>IF(S383="Completed",K383*L383*(1-M383),0)</x:f>
        <x:v>4497</x:v>
      </x:c>
      <x:c r="O383" s="9" t="n">
        <x:f>IFERROR(INDEX('Lookup Tables'!$J$5:$J$16,MATCH(H383,'Lookup Tables'!$F$5:$F$16,0)),0)</x:f>
        <x:v>920</x:v>
      </x:c>
      <x:c r="P383" s="9" t="n">
        <x:f>IF(S383="Completed",K383*O383,0)</x:f>
        <x:v>2760</x:v>
      </x:c>
      <x:c r="Q383" s="9" t="n">
        <x:f>N383-P383</x:f>
        <x:v>1737</x:v>
      </x:c>
      <x:c r="R383" s="8" t="str">
        <x:f>IF(LOWER('Raw Data'!N383)="upi","UPI",'Raw Data'!N383)</x:f>
        <x:v>Net Banking</x:v>
      </x:c>
      <x:c r="S383" s="8" t="str">
        <x:v>Completed</x:v>
      </x:c>
      <x:c r="T383" s="8" t="str">
        <x:f>TEXT(B383,"mmm yyyy")</x:f>
        <x:v>Apr 2025</x:v>
      </x:c>
      <x:c r="U383" s="8" t="n">
        <x:f>YEAR(B383)</x:f>
        <x:v>2025</x:v>
      </x:c>
    </x:row>
    <x:row r="384">
      <x:c r="A384" s="8" t="str">
        <x:v>ORD-0380</x:v>
      </x:c>
      <x:c r="B384" s="22" t="n">
        <x:v>45839.399987488425</x:v>
      </x:c>
      <x:c r="C384" s="8" t="str">
        <x:v>CUS-013</x:v>
      </x:c>
      <x:c r="D384" s="8" t="str">
        <x:f>IFERROR(INDEX('Lookup Tables'!$B$5:$B$84,MATCH(C384,'Lookup Tables'!$A$5:$A$84,0)),"Unknown Customer")</x:f>
        <x:v>Rahul Mishra</x:v>
      </x:c>
      <x:c r="E384" s="8" t="str">
        <x:f>IFERROR(INDEX('Lookup Tables'!$C$5:$C$84,MATCH(C384,'Lookup Tables'!$A$5:$A$84,0)),"Unknown")</x:f>
        <x:v>Consumer</x:v>
      </x:c>
      <x:c r="F384" s="8" t="str">
        <x:v>Hyderabad</x:v>
      </x:c>
      <x:c r="G384" s="8" t="str">
        <x:f>IFERROR(INDEX('Lookup Tables'!$N$5:$N$14,MATCH(F384,'Lookup Tables'!$M$5:$M$14,0)),"Unknown")</x:f>
        <x:v>South</x:v>
      </x:c>
      <x:c r="H384" s="8" t="str">
        <x:v>PRD-009</x:v>
      </x:c>
      <x:c r="I384" s="8" t="str">
        <x:f>IFERROR(INDEX('Lookup Tables'!$G$5:$G$16,MATCH(H384,'Lookup Tables'!$F$5:$F$16,0)),"Unknown Product")</x:f>
        <x:v>Table Lamp</x:v>
      </x:c>
      <x:c r="J384" s="8" t="str">
        <x:f>IFERROR(INDEX('Lookup Tables'!$H$5:$H$16,MATCH(H384,'Lookup Tables'!$F$5:$F$16,0)),"Unknown")</x:f>
        <x:v>Home &amp; Kitchen</x:v>
      </x:c>
      <x:c r="K384" s="8" t="n">
        <x:v>4</x:v>
      </x:c>
      <x:c r="L384" s="9" t="n">
        <x:f>IFERROR(INDEX('Lookup Tables'!$I$5:$I$16,MATCH(H384,'Lookup Tables'!$F$5:$F$16,0)),0)</x:f>
        <x:v>1499</x:v>
      </x:c>
      <x:c r="M384" s="23" t="n">
        <x:f>IF('Raw Data'!M384="",0,'Raw Data'!M384)</x:f>
        <x:v>0.2</x:v>
      </x:c>
      <x:c r="N384" s="9" t="n">
        <x:f>IF(S384="Completed",K384*L384*(1-M384),0)</x:f>
        <x:v>4796.8</x:v>
      </x:c>
      <x:c r="O384" s="9" t="n">
        <x:f>IFERROR(INDEX('Lookup Tables'!$J$5:$J$16,MATCH(H384,'Lookup Tables'!$F$5:$F$16,0)),0)</x:f>
        <x:v>920</x:v>
      </x:c>
      <x:c r="P384" s="9" t="n">
        <x:f>IF(S384="Completed",K384*O384,0)</x:f>
        <x:v>3680</x:v>
      </x:c>
      <x:c r="Q384" s="9" t="n">
        <x:f>N384-P384</x:f>
        <x:v>1116.8000000000002</x:v>
      </x:c>
      <x:c r="R384" s="8" t="str">
        <x:f>IF(LOWER('Raw Data'!N384)="upi","UPI",'Raw Data'!N384)</x:f>
        <x:v>UPI</x:v>
      </x:c>
      <x:c r="S384" s="8" t="str">
        <x:v>Completed</x:v>
      </x:c>
      <x:c r="T384" s="8" t="str">
        <x:f>TEXT(B384,"mmm yyyy")</x:f>
        <x:v>Jul 2025</x:v>
      </x:c>
      <x:c r="U384" s="8" t="n">
        <x:f>YEAR(B384)</x:f>
        <x:v>2025</x:v>
      </x:c>
    </x:row>
    <x:row r="385">
      <x:c r="A385" s="8" t="str">
        <x:v>ORD-0381</x:v>
      </x:c>
      <x:c r="B385" s="22" t="n">
        <x:v>45868.5370141088</x:v>
      </x:c>
      <x:c r="C385" s="8" t="str">
        <x:v>CUS-058</x:v>
      </x:c>
      <x:c r="D385" s="8" t="str">
        <x:f>IFERROR(INDEX('Lookup Tables'!$B$5:$B$84,MATCH(C385,'Lookup Tables'!$A$5:$A$84,0)),"Unknown Customer")</x:f>
        <x:v>Nisha Bansal 3</x:v>
      </x:c>
      <x:c r="E385" s="8" t="str">
        <x:f>IFERROR(INDEX('Lookup Tables'!$C$5:$C$84,MATCH(C385,'Lookup Tables'!$A$5:$A$84,0)),"Unknown")</x:f>
        <x:v>Consumer</x:v>
      </x:c>
      <x:c r="F385" s="8" t="str">
        <x:v>Delhi</x:v>
      </x:c>
      <x:c r="G385" s="8" t="str">
        <x:f>IFERROR(INDEX('Lookup Tables'!$N$5:$N$14,MATCH(F385,'Lookup Tables'!$M$5:$M$14,0)),"Unknown")</x:f>
        <x:v>North</x:v>
      </x:c>
      <x:c r="H385" s="8" t="str">
        <x:v>PRD-006</x:v>
      </x:c>
      <x:c r="I385" s="8" t="str">
        <x:f>IFERROR(INDEX('Lookup Tables'!$G$5:$G$16,MATCH(H385,'Lookup Tables'!$F$5:$F$16,0)),"Unknown Product")</x:f>
        <x:v>Desk Organiser</x:v>
      </x:c>
      <x:c r="J385" s="8" t="str">
        <x:f>IFERROR(INDEX('Lookup Tables'!$H$5:$H$16,MATCH(H385,'Lookup Tables'!$F$5:$F$16,0)),"Unknown")</x:f>
        <x:v>Office Supplies</x:v>
      </x:c>
      <x:c r="K385" s="8" t="n">
        <x:v>4</x:v>
      </x:c>
      <x:c r="L385" s="9" t="n">
        <x:f>IFERROR(INDEX('Lookup Tables'!$I$5:$I$16,MATCH(H385,'Lookup Tables'!$F$5:$F$16,0)),0)</x:f>
        <x:v>699</x:v>
      </x:c>
      <x:c r="M385" s="23" t="n">
        <x:f>IF('Raw Data'!M385="",0,'Raw Data'!M385)</x:f>
        <x:v>0</x:v>
      </x:c>
      <x:c r="N385" s="9" t="n">
        <x:f>IF(S385="Completed",K385*L385*(1-M385),0)</x:f>
        <x:v>2796</x:v>
      </x:c>
      <x:c r="O385" s="9" t="n">
        <x:f>IFERROR(INDEX('Lookup Tables'!$J$5:$J$16,MATCH(H385,'Lookup Tables'!$F$5:$F$16,0)),0)</x:f>
        <x:v>390</x:v>
      </x:c>
      <x:c r="P385" s="9" t="n">
        <x:f>IF(S385="Completed",K385*O385,0)</x:f>
        <x:v>1560</x:v>
      </x:c>
      <x:c r="Q385" s="9" t="n">
        <x:f>N385-P385</x:f>
        <x:v>1236</x:v>
      </x:c>
      <x:c r="R385" s="8" t="str">
        <x:f>IF(LOWER('Raw Data'!N385)="upi","UPI",'Raw Data'!N385)</x:f>
        <x:v>Net Banking</x:v>
      </x:c>
      <x:c r="S385" s="8" t="str">
        <x:v>Completed</x:v>
      </x:c>
      <x:c r="T385" s="8" t="str">
        <x:f>TEXT(B385,"mmm yyyy")</x:f>
        <x:v>Jul 2025</x:v>
      </x:c>
      <x:c r="U385" s="8" t="n">
        <x:f>YEAR(B385)</x:f>
        <x:v>2025</x:v>
      </x:c>
    </x:row>
    <x:row r="386">
      <x:c r="A386" s="8" t="str">
        <x:v>ORD-0382</x:v>
      </x:c>
      <x:c r="B386" s="22" t="n">
        <x:v>45700.7584621412</x:v>
      </x:c>
      <x:c r="C386" s="8" t="str">
        <x:v>CUS-047</x:v>
      </x:c>
      <x:c r="D386" s="8" t="str">
        <x:f>IFERROR(INDEX('Lookup Tables'!$B$5:$B$84,MATCH(C386,'Lookup Tables'!$A$5:$A$84,0)),"Unknown Customer")</x:f>
        <x:v>Kabir Khan 3</x:v>
      </x:c>
      <x:c r="E386" s="8" t="str">
        <x:f>IFERROR(INDEX('Lookup Tables'!$C$5:$C$84,MATCH(C386,'Lookup Tables'!$A$5:$A$84,0)),"Unknown")</x:f>
        <x:v>Corporate</x:v>
      </x:c>
      <x:c r="F386" s="8" t="str">
        <x:v>Pune</x:v>
      </x:c>
      <x:c r="G386" s="8" t="str">
        <x:f>IFERROR(INDEX('Lookup Tables'!$N$5:$N$14,MATCH(F386,'Lookup Tables'!$M$5:$M$14,0)),"Unknown")</x:f>
        <x:v>West</x:v>
      </x:c>
      <x:c r="H386" s="8" t="str">
        <x:v>PRD-010</x:v>
      </x:c>
      <x:c r="I386" s="8" t="str">
        <x:f>IFERROR(INDEX('Lookup Tables'!$G$5:$G$16,MATCH(H386,'Lookup Tables'!$F$5:$F$16,0)),"Unknown Product")</x:f>
        <x:v>Travel Backpack</x:v>
      </x:c>
      <x:c r="J386" s="8" t="str">
        <x:f>IFERROR(INDEX('Lookup Tables'!$H$5:$H$16,MATCH(H386,'Lookup Tables'!$F$5:$F$16,0)),"Unknown")</x:f>
        <x:v>Fashion</x:v>
      </x:c>
      <x:c r="K386" s="8" t="n">
        <x:v>3</x:v>
      </x:c>
      <x:c r="L386" s="9" t="n">
        <x:f>IFERROR(INDEX('Lookup Tables'!$I$5:$I$16,MATCH(H386,'Lookup Tables'!$F$5:$F$16,0)),0)</x:f>
        <x:v>2199</x:v>
      </x:c>
      <x:c r="M386" s="23" t="n">
        <x:f>IF('Raw Data'!M386="",0,'Raw Data'!M386)</x:f>
        <x:v>0</x:v>
      </x:c>
      <x:c r="N386" s="9" t="n">
        <x:f>IF(S386="Completed",K386*L386*(1-M386),0)</x:f>
        <x:v>6597</x:v>
      </x:c>
      <x:c r="O386" s="9" t="n">
        <x:f>IFERROR(INDEX('Lookup Tables'!$J$5:$J$16,MATCH(H386,'Lookup Tables'!$F$5:$F$16,0)),0)</x:f>
        <x:v>1380</x:v>
      </x:c>
      <x:c r="P386" s="9" t="n">
        <x:f>IF(S386="Completed",K386*O386,0)</x:f>
        <x:v>4140</x:v>
      </x:c>
      <x:c r="Q386" s="9" t="n">
        <x:f>N386-P386</x:f>
        <x:v>2457</x:v>
      </x:c>
      <x:c r="R386" s="8" t="str">
        <x:f>IF(LOWER('Raw Data'!N386)="upi","UPI",'Raw Data'!N386)</x:f>
        <x:v>Debit Card</x:v>
      </x:c>
      <x:c r="S386" s="8" t="str">
        <x:v>Completed</x:v>
      </x:c>
      <x:c r="T386" s="8" t="str">
        <x:f>TEXT(B386,"mmm yyyy")</x:f>
        <x:v>Feb 2025</x:v>
      </x:c>
      <x:c r="U386" s="8" t="n">
        <x:f>YEAR(B386)</x:f>
        <x:v>2025</x:v>
      </x:c>
    </x:row>
    <x:row r="387">
      <x:c r="A387" s="8" t="str">
        <x:v>ORD-0383</x:v>
      </x:c>
      <x:c r="B387" s="22" t="n">
        <x:v>45781.20282899305</x:v>
      </x:c>
      <x:c r="C387" s="8" t="str">
        <x:v>CUS-062</x:v>
      </x:c>
      <x:c r="D387" s="8" t="str">
        <x:f>IFERROR(INDEX('Lookup Tables'!$B$5:$B$84,MATCH(C387,'Lookup Tables'!$A$5:$A$84,0)),"Unknown Customer")</x:f>
        <x:v>Diya Patel 4</x:v>
      </x:c>
      <x:c r="E387" s="8" t="str">
        <x:f>IFERROR(INDEX('Lookup Tables'!$C$5:$C$84,MATCH(C387,'Lookup Tables'!$A$5:$A$84,0)),"Unknown")</x:f>
        <x:v>Corporate</x:v>
      </x:c>
      <x:c r="F387" s="8" t="str">
        <x:v>Hyderabad</x:v>
      </x:c>
      <x:c r="G387" s="8" t="str">
        <x:f>IFERROR(INDEX('Lookup Tables'!$N$5:$N$14,MATCH(F387,'Lookup Tables'!$M$5:$M$14,0)),"Unknown")</x:f>
        <x:v>South</x:v>
      </x:c>
      <x:c r="H387" s="8" t="str">
        <x:v>PRD-005</x:v>
      </x:c>
      <x:c r="I387" s="8" t="str">
        <x:f>IFERROR(INDEX('Lookup Tables'!$G$5:$G$16,MATCH(H387,'Lookup Tables'!$F$5:$F$16,0)),"Unknown Product")</x:f>
        <x:v>Executive Notebook</x:v>
      </x:c>
      <x:c r="J387" s="8" t="str">
        <x:f>IFERROR(INDEX('Lookup Tables'!$H$5:$H$16,MATCH(H387,'Lookup Tables'!$F$5:$F$16,0)),"Unknown")</x:f>
        <x:v>Office Supplies</x:v>
      </x:c>
      <x:c r="K387" s="8" t="n">
        <x:v>2</x:v>
      </x:c>
      <x:c r="L387" s="9" t="n">
        <x:f>IFERROR(INDEX('Lookup Tables'!$I$5:$I$16,MATCH(H387,'Lookup Tables'!$F$5:$F$16,0)),0)</x:f>
        <x:v>349</x:v>
      </x:c>
      <x:c r="M387" s="23" t="n">
        <x:f>IF('Raw Data'!M387="",0,'Raw Data'!M387)</x:f>
        <x:v>0.2</x:v>
      </x:c>
      <x:c r="N387" s="9" t="n">
        <x:f>IF(S387="Completed",K387*L387*(1-M387),0)</x:f>
        <x:v>0</x:v>
      </x:c>
      <x:c r="O387" s="9" t="n">
        <x:f>IFERROR(INDEX('Lookup Tables'!$J$5:$J$16,MATCH(H387,'Lookup Tables'!$F$5:$F$16,0)),0)</x:f>
        <x:v>170</x:v>
      </x:c>
      <x:c r="P387" s="9" t="n">
        <x:f>IF(S387="Completed",K387*O387,0)</x:f>
        <x:v>0</x:v>
      </x:c>
      <x:c r="Q387" s="9" t="n">
        <x:f>N387-P387</x:f>
        <x:v>0</x:v>
      </x:c>
      <x:c r="R387" s="8" t="str">
        <x:f>IF(LOWER('Raw Data'!N387)="upi","UPI",'Raw Data'!N387)</x:f>
        <x:v>Cash on Delivery</x:v>
      </x:c>
      <x:c r="S387" s="8" t="str">
        <x:v>Returned</x:v>
      </x:c>
      <x:c r="T387" s="8" t="str">
        <x:f>TEXT(B387,"mmm yyyy")</x:f>
        <x:v>May 2025</x:v>
      </x:c>
      <x:c r="U387" s="8" t="n">
        <x:f>YEAR(B387)</x:f>
        <x:v>2025</x:v>
      </x:c>
    </x:row>
    <x:row r="388">
      <x:c r="A388" s="8" t="str">
        <x:v>ORD-0384</x:v>
      </x:c>
      <x:c r="B388" s="22" t="n">
        <x:v>45793.354528194446</x:v>
      </x:c>
      <x:c r="C388" s="8" t="str">
        <x:v>CUS-019</x:v>
      </x:c>
      <x:c r="D388" s="8" t="str">
        <x:f>IFERROR(INDEX('Lookup Tables'!$B$5:$B$84,MATCH(C388,'Lookup Tables'!$A$5:$A$84,0)),"Unknown Customer")</x:f>
        <x:v>Siddharth Jain</x:v>
      </x:c>
      <x:c r="E388" s="8" t="str">
        <x:f>IFERROR(INDEX('Lookup Tables'!$C$5:$C$84,MATCH(C388,'Lookup Tables'!$A$5:$A$84,0)),"Unknown")</x:f>
        <x:v>Consumer</x:v>
      </x:c>
      <x:c r="F388" s="8" t="str">
        <x:v>Delhi</x:v>
      </x:c>
      <x:c r="G388" s="8" t="str">
        <x:f>IFERROR(INDEX('Lookup Tables'!$N$5:$N$14,MATCH(F388,'Lookup Tables'!$M$5:$M$14,0)),"Unknown")</x:f>
        <x:v>North</x:v>
      </x:c>
      <x:c r="H388" s="8" t="str">
        <x:v>PRD-009</x:v>
      </x:c>
      <x:c r="I388" s="8" t="str">
        <x:f>IFERROR(INDEX('Lookup Tables'!$G$5:$G$16,MATCH(H388,'Lookup Tables'!$F$5:$F$16,0)),"Unknown Product")</x:f>
        <x:v>Table Lamp</x:v>
      </x:c>
      <x:c r="J388" s="8" t="str">
        <x:f>IFERROR(INDEX('Lookup Tables'!$H$5:$H$16,MATCH(H388,'Lookup Tables'!$F$5:$F$16,0)),"Unknown")</x:f>
        <x:v>Home &amp; Kitchen</x:v>
      </x:c>
      <x:c r="K388" s="8" t="n">
        <x:v>1</x:v>
      </x:c>
      <x:c r="L388" s="9" t="n">
        <x:f>IFERROR(INDEX('Lookup Tables'!$I$5:$I$16,MATCH(H388,'Lookup Tables'!$F$5:$F$16,0)),0)</x:f>
        <x:v>1499</x:v>
      </x:c>
      <x:c r="M388" s="23" t="n">
        <x:f>IF('Raw Data'!M388="",0,'Raw Data'!M388)</x:f>
        <x:v>0</x:v>
      </x:c>
      <x:c r="N388" s="9" t="n">
        <x:f>IF(S388="Completed",K388*L388*(1-M388),0)</x:f>
        <x:v>1499</x:v>
      </x:c>
      <x:c r="O388" s="9" t="n">
        <x:f>IFERROR(INDEX('Lookup Tables'!$J$5:$J$16,MATCH(H388,'Lookup Tables'!$F$5:$F$16,0)),0)</x:f>
        <x:v>920</x:v>
      </x:c>
      <x:c r="P388" s="9" t="n">
        <x:f>IF(S388="Completed",K388*O388,0)</x:f>
        <x:v>920</x:v>
      </x:c>
      <x:c r="Q388" s="9" t="n">
        <x:f>N388-P388</x:f>
        <x:v>579</x:v>
      </x:c>
      <x:c r="R388" s="8" t="str">
        <x:f>IF(LOWER('Raw Data'!N388)="upi","UPI",'Raw Data'!N388)</x:f>
        <x:v>Credit Card</x:v>
      </x:c>
      <x:c r="S388" s="8" t="str">
        <x:v>Completed</x:v>
      </x:c>
      <x:c r="T388" s="8" t="str">
        <x:f>TEXT(B388,"mmm yyyy")</x:f>
        <x:v>May 2025</x:v>
      </x:c>
      <x:c r="U388" s="8" t="n">
        <x:f>YEAR(B388)</x:f>
        <x:v>2025</x:v>
      </x:c>
    </x:row>
    <x:row r="389">
      <x:c r="A389" s="8" t="str">
        <x:v>ORD-0385</x:v>
      </x:c>
      <x:c r="B389" s="22" t="n">
        <x:v>45863.285963518516</x:v>
      </x:c>
      <x:c r="C389" s="8" t="str">
        <x:v>CUS-009</x:v>
      </x:c>
      <x:c r="D389" s="8" t="str">
        <x:f>IFERROR(INDEX('Lookup Tables'!$B$5:$B$84,MATCH(C389,'Lookup Tables'!$A$5:$A$84,0)),"Unknown Customer")</x:f>
        <x:v>Rohan Das</x:v>
      </x:c>
      <x:c r="E389" s="8" t="str">
        <x:f>IFERROR(INDEX('Lookup Tables'!$C$5:$C$84,MATCH(C389,'Lookup Tables'!$A$5:$A$84,0)),"Unknown")</x:f>
        <x:v>Small Business</x:v>
      </x:c>
      <x:c r="F389" s="8" t="str">
        <x:v>Bengaluru</x:v>
      </x:c>
      <x:c r="G389" s="8" t="str">
        <x:f>IFERROR(INDEX('Lookup Tables'!$N$5:$N$14,MATCH(F389,'Lookup Tables'!$M$5:$M$14,0)),"Unknown")</x:f>
        <x:v>South</x:v>
      </x:c>
      <x:c r="H389" s="8" t="str">
        <x:v>PRD-011</x:v>
      </x:c>
      <x:c r="I389" s="8" t="str">
        <x:f>IFERROR(INDEX('Lookup Tables'!$G$5:$G$16,MATCH(H389,'Lookup Tables'!$F$5:$F$16,0)),"Unknown Product")</x:f>
        <x:v>Classic Wallet</x:v>
      </x:c>
      <x:c r="J389" s="8" t="str">
        <x:f>IFERROR(INDEX('Lookup Tables'!$H$5:$H$16,MATCH(H389,'Lookup Tables'!$F$5:$F$16,0)),"Unknown")</x:f>
        <x:v>Fashion</x:v>
      </x:c>
      <x:c r="K389" s="8" t="n">
        <x:v>3</x:v>
      </x:c>
      <x:c r="L389" s="9" t="n">
        <x:f>IFERROR(INDEX('Lookup Tables'!$I$5:$I$16,MATCH(H389,'Lookup Tables'!$F$5:$F$16,0)),0)</x:f>
        <x:v>1199</x:v>
      </x:c>
      <x:c r="M389" s="23" t="n">
        <x:f>IF('Raw Data'!M389="",0,'Raw Data'!M389)</x:f>
        <x:v>0.15</x:v>
      </x:c>
      <x:c r="N389" s="9" t="n">
        <x:f>IF(S389="Completed",K389*L389*(1-M389),0)</x:f>
        <x:v>0</x:v>
      </x:c>
      <x:c r="O389" s="9" t="n">
        <x:f>IFERROR(INDEX('Lookup Tables'!$J$5:$J$16,MATCH(H389,'Lookup Tables'!$F$5:$F$16,0)),0)</x:f>
        <x:v>690</x:v>
      </x:c>
      <x:c r="P389" s="9" t="n">
        <x:f>IF(S389="Completed",K389*O389,0)</x:f>
        <x:v>0</x:v>
      </x:c>
      <x:c r="Q389" s="9" t="n">
        <x:f>N389-P389</x:f>
        <x:v>0</x:v>
      </x:c>
      <x:c r="R389" s="8" t="str">
        <x:f>IF(LOWER('Raw Data'!N389)="upi","UPI",'Raw Data'!N389)</x:f>
        <x:v>Net Banking</x:v>
      </x:c>
      <x:c r="S389" s="8" t="str">
        <x:v>Cancelled</x:v>
      </x:c>
      <x:c r="T389" s="8" t="str">
        <x:f>TEXT(B389,"mmm yyyy")</x:f>
        <x:v>Jul 2025</x:v>
      </x:c>
      <x:c r="U389" s="8" t="n">
        <x:f>YEAR(B389)</x:f>
        <x:v>2025</x:v>
      </x:c>
    </x:row>
    <x:row r="390">
      <x:c r="A390" s="8" t="str">
        <x:v>ORD-0386</x:v>
      </x:c>
      <x:c r="B390" s="22" t="n">
        <x:v>45804.06253967593</x:v>
      </x:c>
      <x:c r="C390" s="8" t="str">
        <x:v>CUS-014</x:v>
      </x:c>
      <x:c r="D390" s="8" t="str">
        <x:f>IFERROR(INDEX('Lookup Tables'!$B$5:$B$84,MATCH(C390,'Lookup Tables'!$A$5:$A$84,0)),"Unknown Customer")</x:f>
        <x:v>Neha Rao</x:v>
      </x:c>
      <x:c r="E390" s="8" t="str">
        <x:f>IFERROR(INDEX('Lookup Tables'!$C$5:$C$84,MATCH(C390,'Lookup Tables'!$A$5:$A$84,0)),"Unknown")</x:f>
        <x:v>Corporate</x:v>
      </x:c>
      <x:c r="F390" s="8" t="str">
        <x:v>Lucknow</x:v>
      </x:c>
      <x:c r="G390" s="8" t="str">
        <x:f>IFERROR(INDEX('Lookup Tables'!$N$5:$N$14,MATCH(F390,'Lookup Tables'!$M$5:$M$14,0)),"Unknown")</x:f>
        <x:v>North</x:v>
      </x:c>
      <x:c r="H390" s="8" t="str">
        <x:v>PRD-007</x:v>
      </x:c>
      <x:c r="I390" s="8" t="str">
        <x:f>IFERROR(INDEX('Lookup Tables'!$G$5:$G$16,MATCH(H390,'Lookup Tables'!$F$5:$F$16,0)),"Unknown Product")</x:f>
        <x:v>Electric Kettle</x:v>
      </x:c>
      <x:c r="J390" s="8" t="str">
        <x:f>IFERROR(INDEX('Lookup Tables'!$H$5:$H$16,MATCH(H390,'Lookup Tables'!$F$5:$F$16,0)),"Unknown")</x:f>
        <x:v>Home &amp; Kitchen</x:v>
      </x:c>
      <x:c r="K390" s="8" t="n">
        <x:v>4</x:v>
      </x:c>
      <x:c r="L390" s="9" t="n">
        <x:f>IFERROR(INDEX('Lookup Tables'!$I$5:$I$16,MATCH(H390,'Lookup Tables'!$F$5:$F$16,0)),0)</x:f>
        <x:v>1699</x:v>
      </x:c>
      <x:c r="M390" s="23" t="n">
        <x:f>IF('Raw Data'!M390="",0,'Raw Data'!M390)</x:f>
        <x:v>0</x:v>
      </x:c>
      <x:c r="N390" s="9" t="n">
        <x:f>IF(S390="Completed",K390*L390*(1-M390),0)</x:f>
        <x:v>0</x:v>
      </x:c>
      <x:c r="O390" s="9" t="n">
        <x:f>IFERROR(INDEX('Lookup Tables'!$J$5:$J$16,MATCH(H390,'Lookup Tables'!$F$5:$F$16,0)),0)</x:f>
        <x:v>1040</x:v>
      </x:c>
      <x:c r="P390" s="9" t="n">
        <x:f>IF(S390="Completed",K390*O390,0)</x:f>
        <x:v>0</x:v>
      </x:c>
      <x:c r="Q390" s="9" t="n">
        <x:f>N390-P390</x:f>
        <x:v>0</x:v>
      </x:c>
      <x:c r="R390" s="8" t="str">
        <x:f>IF(LOWER('Raw Data'!N390)="upi","UPI",'Raw Data'!N390)</x:f>
        <x:v>Credit Card</x:v>
      </x:c>
      <x:c r="S390" s="8" t="str">
        <x:v>Cancelled</x:v>
      </x:c>
      <x:c r="T390" s="8" t="str">
        <x:f>TEXT(B390,"mmm yyyy")</x:f>
        <x:v>May 2025</x:v>
      </x:c>
      <x:c r="U390" s="8" t="n">
        <x:f>YEAR(B390)</x:f>
        <x:v>2025</x:v>
      </x:c>
    </x:row>
    <x:row r="391">
      <x:c r="A391" s="8" t="str">
        <x:v>ORD-0387</x:v>
      </x:c>
      <x:c r="B391" s="22" t="n">
        <x:v>45671.0584528125</x:v>
      </x:c>
      <x:c r="C391" s="8" t="str">
        <x:v>CUS-071</x:v>
      </x:c>
      <x:c r="D391" s="8" t="str">
        <x:f>IFERROR(INDEX('Lookup Tables'!$B$5:$B$84,MATCH(C391,'Lookup Tables'!$A$5:$A$84,0)),"Unknown Customer")</x:f>
        <x:v>Aditya Joshi 4</x:v>
      </x:c>
      <x:c r="E391" s="8" t="str">
        <x:f>IFERROR(INDEX('Lookup Tables'!$C$5:$C$84,MATCH(C391,'Lookup Tables'!$A$5:$A$84,0)),"Unknown")</x:f>
        <x:v>Corporate</x:v>
      </x:c>
      <x:c r="F391" s="8" t="str">
        <x:v>Ahmedabad</x:v>
      </x:c>
      <x:c r="G391" s="8" t="str">
        <x:f>IFERROR(INDEX('Lookup Tables'!$N$5:$N$14,MATCH(F391,'Lookup Tables'!$M$5:$M$14,0)),"Unknown")</x:f>
        <x:v>West</x:v>
      </x:c>
      <x:c r="H391" s="8" t="str">
        <x:v>PRD-004</x:v>
      </x:c>
      <x:c r="I391" s="8" t="str">
        <x:f>IFERROR(INDEX('Lookup Tables'!$G$5:$G$16,MATCH(H391,'Lookup Tables'!$F$5:$F$16,0)),"Unknown Product")</x:f>
        <x:v>Laptop Stand</x:v>
      </x:c>
      <x:c r="J391" s="8" t="str">
        <x:f>IFERROR(INDEX('Lookup Tables'!$H$5:$H$16,MATCH(H391,'Lookup Tables'!$F$5:$F$16,0)),"Unknown")</x:f>
        <x:v>Office Supplies</x:v>
      </x:c>
      <x:c r="K391" s="8" t="n">
        <x:v>3</x:v>
      </x:c>
      <x:c r="L391" s="9" t="n">
        <x:f>IFERROR(INDEX('Lookup Tables'!$I$5:$I$16,MATCH(H391,'Lookup Tables'!$F$5:$F$16,0)),0)</x:f>
        <x:v>1299</x:v>
      </x:c>
      <x:c r="M391" s="23" t="n">
        <x:f>IF('Raw Data'!M391="",0,'Raw Data'!M391)</x:f>
        <x:v>0.2</x:v>
      </x:c>
      <x:c r="N391" s="9" t="n">
        <x:f>IF(S391="Completed",K391*L391*(1-M391),0)</x:f>
        <x:v>3117.6000000000004</x:v>
      </x:c>
      <x:c r="O391" s="9" t="n">
        <x:f>IFERROR(INDEX('Lookup Tables'!$J$5:$J$16,MATCH(H391,'Lookup Tables'!$F$5:$F$16,0)),0)</x:f>
        <x:v>760</x:v>
      </x:c>
      <x:c r="P391" s="9" t="n">
        <x:f>IF(S391="Completed",K391*O391,0)</x:f>
        <x:v>2280</x:v>
      </x:c>
      <x:c r="Q391" s="9" t="n">
        <x:f>N391-P391</x:f>
        <x:v>837.6000000000004</x:v>
      </x:c>
      <x:c r="R391" s="8" t="str">
        <x:f>IF(LOWER('Raw Data'!N391)="upi","UPI",'Raw Data'!N391)</x:f>
        <x:v>Cash on Delivery</x:v>
      </x:c>
      <x:c r="S391" s="8" t="str">
        <x:v>Completed</x:v>
      </x:c>
      <x:c r="T391" s="8" t="str">
        <x:f>TEXT(B391,"mmm yyyy")</x:f>
        <x:v>Jan 2025</x:v>
      </x:c>
      <x:c r="U391" s="8" t="n">
        <x:f>YEAR(B391)</x:f>
        <x:v>2025</x:v>
      </x:c>
    </x:row>
    <x:row r="392">
      <x:c r="A392" s="8" t="str">
        <x:v>ORD-0388</x:v>
      </x:c>
      <x:c r="B392" s="22" t="n">
        <x:v>45746.548022152776</x:v>
      </x:c>
      <x:c r="C392" s="8" t="str">
        <x:v>CUS-022</x:v>
      </x:c>
      <x:c r="D392" s="8" t="str">
        <x:f>IFERROR(INDEX('Lookup Tables'!$B$5:$B$84,MATCH(C392,'Lookup Tables'!$A$5:$A$84,0)),"Unknown Customer")</x:f>
        <x:v>Diya Patel 2</x:v>
      </x:c>
      <x:c r="E392" s="8" t="str">
        <x:f>IFERROR(INDEX('Lookup Tables'!$C$5:$C$84,MATCH(C392,'Lookup Tables'!$A$5:$A$84,0)),"Unknown")</x:f>
        <x:v>Consumer</x:v>
      </x:c>
      <x:c r="F392" s="8" t="str">
        <x:v>Delhi</x:v>
      </x:c>
      <x:c r="G392" s="8" t="str">
        <x:f>IFERROR(INDEX('Lookup Tables'!$N$5:$N$14,MATCH(F392,'Lookup Tables'!$M$5:$M$14,0)),"Unknown")</x:f>
        <x:v>North</x:v>
      </x:c>
      <x:c r="H392" s="8" t="str">
        <x:v>PRD-010</x:v>
      </x:c>
      <x:c r="I392" s="8" t="str">
        <x:f>IFERROR(INDEX('Lookup Tables'!$G$5:$G$16,MATCH(H392,'Lookup Tables'!$F$5:$F$16,0)),"Unknown Product")</x:f>
        <x:v>Travel Backpack</x:v>
      </x:c>
      <x:c r="J392" s="8" t="str">
        <x:f>IFERROR(INDEX('Lookup Tables'!$H$5:$H$16,MATCH(H392,'Lookup Tables'!$F$5:$F$16,0)),"Unknown")</x:f>
        <x:v>Fashion</x:v>
      </x:c>
      <x:c r="K392" s="8" t="n">
        <x:v>1</x:v>
      </x:c>
      <x:c r="L392" s="9" t="n">
        <x:f>IFERROR(INDEX('Lookup Tables'!$I$5:$I$16,MATCH(H392,'Lookup Tables'!$F$5:$F$16,0)),0)</x:f>
        <x:v>2199</x:v>
      </x:c>
      <x:c r="M392" s="23" t="n">
        <x:f>IF('Raw Data'!M392="",0,'Raw Data'!M392)</x:f>
        <x:v>0.15</x:v>
      </x:c>
      <x:c r="N392" s="9" t="n">
        <x:f>IF(S392="Completed",K392*L392*(1-M392),0)</x:f>
        <x:v>1869.1499999999999</x:v>
      </x:c>
      <x:c r="O392" s="9" t="n">
        <x:f>IFERROR(INDEX('Lookup Tables'!$J$5:$J$16,MATCH(H392,'Lookup Tables'!$F$5:$F$16,0)),0)</x:f>
        <x:v>1380</x:v>
      </x:c>
      <x:c r="P392" s="9" t="n">
        <x:f>IF(S392="Completed",K392*O392,0)</x:f>
        <x:v>1380</x:v>
      </x:c>
      <x:c r="Q392" s="9" t="n">
        <x:f>N392-P392</x:f>
        <x:v>489.14999999999986</x:v>
      </x:c>
      <x:c r="R392" s="8" t="str">
        <x:f>IF(LOWER('Raw Data'!N392)="upi","UPI",'Raw Data'!N392)</x:f>
        <x:v>Cash on Delivery</x:v>
      </x:c>
      <x:c r="S392" s="8" t="str">
        <x:v>Completed</x:v>
      </x:c>
      <x:c r="T392" s="8" t="str">
        <x:f>TEXT(B392,"mmm yyyy")</x:f>
        <x:v>Mar 2025</x:v>
      </x:c>
      <x:c r="U392" s="8" t="n">
        <x:f>YEAR(B392)</x:f>
        <x:v>2025</x:v>
      </x:c>
    </x:row>
    <x:row r="393">
      <x:c r="A393" s="8" t="str">
        <x:v>ORD-0389</x:v>
      </x:c>
      <x:c r="B393" s="22" t="n">
        <x:v>45985.120713993056</x:v>
      </x:c>
      <x:c r="C393" s="8" t="str">
        <x:v>CUS-079</x:v>
      </x:c>
      <x:c r="D393" s="8" t="str">
        <x:f>IFERROR(INDEX('Lookup Tables'!$B$5:$B$84,MATCH(C393,'Lookup Tables'!$A$5:$A$84,0)),"Unknown Customer")</x:f>
        <x:v>Siddharth Jain 4</x:v>
      </x:c>
      <x:c r="E393" s="8" t="str">
        <x:f>IFERROR(INDEX('Lookup Tables'!$C$5:$C$84,MATCH(C393,'Lookup Tables'!$A$5:$A$84,0)),"Unknown")</x:f>
        <x:v>Consumer</x:v>
      </x:c>
      <x:c r="F393" s="8" t="str">
        <x:v>Bengaluru</x:v>
      </x:c>
      <x:c r="G393" s="8" t="str">
        <x:f>IFERROR(INDEX('Lookup Tables'!$N$5:$N$14,MATCH(F393,'Lookup Tables'!$M$5:$M$14,0)),"Unknown")</x:f>
        <x:v>South</x:v>
      </x:c>
      <x:c r="H393" s="8" t="str">
        <x:v>PRD-012</x:v>
      </x:c>
      <x:c r="I393" s="8" t="str">
        <x:f>IFERROR(INDEX('Lookup Tables'!$G$5:$G$16,MATCH(H393,'Lookup Tables'!$F$5:$F$16,0)),"Unknown Product")</x:f>
        <x:v>Stainless Water Bottle</x:v>
      </x:c>
      <x:c r="J393" s="8" t="str">
        <x:f>IFERROR(INDEX('Lookup Tables'!$H$5:$H$16,MATCH(H393,'Lookup Tables'!$F$5:$F$16,0)),"Unknown")</x:f>
        <x:v>Lifestyle</x:v>
      </x:c>
      <x:c r="K393" s="8" t="n">
        <x:v>4</x:v>
      </x:c>
      <x:c r="L393" s="9" t="n">
        <x:f>IFERROR(INDEX('Lookup Tables'!$I$5:$I$16,MATCH(H393,'Lookup Tables'!$F$5:$F$16,0)),0)</x:f>
        <x:v>799</x:v>
      </x:c>
      <x:c r="M393" s="23" t="n">
        <x:f>IF('Raw Data'!M393="",0,'Raw Data'!M393)</x:f>
        <x:v>0</x:v>
      </x:c>
      <x:c r="N393" s="9" t="n">
        <x:f>IF(S393="Completed",K393*L393*(1-M393),0)</x:f>
        <x:v>0</x:v>
      </x:c>
      <x:c r="O393" s="9" t="n">
        <x:f>IFERROR(INDEX('Lookup Tables'!$J$5:$J$16,MATCH(H393,'Lookup Tables'!$F$5:$F$16,0)),0)</x:f>
        <x:v>410</x:v>
      </x:c>
      <x:c r="P393" s="9" t="n">
        <x:f>IF(S393="Completed",K393*O393,0)</x:f>
        <x:v>0</x:v>
      </x:c>
      <x:c r="Q393" s="9" t="n">
        <x:f>N393-P393</x:f>
        <x:v>0</x:v>
      </x:c>
      <x:c r="R393" s="8" t="str">
        <x:f>IF(LOWER('Raw Data'!N393)="upi","UPI",'Raw Data'!N393)</x:f>
        <x:v>Cash on Delivery</x:v>
      </x:c>
      <x:c r="S393" s="8" t="str">
        <x:v>Cancelled</x:v>
      </x:c>
      <x:c r="T393" s="8" t="str">
        <x:f>TEXT(B393,"mmm yyyy")</x:f>
        <x:v>Nov 2025</x:v>
      </x:c>
      <x:c r="U393" s="8" t="n">
        <x:f>YEAR(B393)</x:f>
        <x:v>2025</x:v>
      </x:c>
    </x:row>
    <x:row r="394">
      <x:c r="A394" s="8" t="str">
        <x:v>ORD-0390</x:v>
      </x:c>
      <x:c r="B394" s="22" t="n">
        <x:v>45722.1196081713</x:v>
      </x:c>
      <x:c r="C394" s="8" t="str">
        <x:v>CUS-068</x:v>
      </x:c>
      <x:c r="D394" s="8" t="str">
        <x:f>IFERROR(INDEX('Lookup Tables'!$B$5:$B$84,MATCH(C394,'Lookup Tables'!$A$5:$A$84,0)),"Unknown Customer")</x:f>
        <x:v>Meera Nair 4</x:v>
      </x:c>
      <x:c r="E394" s="8" t="str">
        <x:f>IFERROR(INDEX('Lookup Tables'!$C$5:$C$84,MATCH(C394,'Lookup Tables'!$A$5:$A$84,0)),"Unknown")</x:f>
        <x:v>Corporate</x:v>
      </x:c>
      <x:c r="F394" s="8" t="str">
        <x:v>Chennai</x:v>
      </x:c>
      <x:c r="G394" s="8" t="str">
        <x:f>IFERROR(INDEX('Lookup Tables'!$N$5:$N$14,MATCH(F394,'Lookup Tables'!$M$5:$M$14,0)),"Unknown")</x:f>
        <x:v>South</x:v>
      </x:c>
      <x:c r="H394" s="8" t="str">
        <x:v>PRD-012</x:v>
      </x:c>
      <x:c r="I394" s="8" t="str">
        <x:f>IFERROR(INDEX('Lookup Tables'!$G$5:$G$16,MATCH(H394,'Lookup Tables'!$F$5:$F$16,0)),"Unknown Product")</x:f>
        <x:v>Stainless Water Bottle</x:v>
      </x:c>
      <x:c r="J394" s="8" t="str">
        <x:f>IFERROR(INDEX('Lookup Tables'!$H$5:$H$16,MATCH(H394,'Lookup Tables'!$F$5:$F$16,0)),"Unknown")</x:f>
        <x:v>Lifestyle</x:v>
      </x:c>
      <x:c r="K394" s="8" t="n">
        <x:v>1</x:v>
      </x:c>
      <x:c r="L394" s="9" t="n">
        <x:f>IFERROR(INDEX('Lookup Tables'!$I$5:$I$16,MATCH(H394,'Lookup Tables'!$F$5:$F$16,0)),0)</x:f>
        <x:v>799</x:v>
      </x:c>
      <x:c r="M394" s="23" t="n">
        <x:f>IF('Raw Data'!M394="",0,'Raw Data'!M394)</x:f>
        <x:v>0.15</x:v>
      </x:c>
      <x:c r="N394" s="9" t="n">
        <x:f>IF(S394="Completed",K394*L394*(1-M394),0)</x:f>
        <x:v>679.15</x:v>
      </x:c>
      <x:c r="O394" s="9" t="n">
        <x:f>IFERROR(INDEX('Lookup Tables'!$J$5:$J$16,MATCH(H394,'Lookup Tables'!$F$5:$F$16,0)),0)</x:f>
        <x:v>410</x:v>
      </x:c>
      <x:c r="P394" s="9" t="n">
        <x:f>IF(S394="Completed",K394*O394,0)</x:f>
        <x:v>410</x:v>
      </x:c>
      <x:c r="Q394" s="9" t="n">
        <x:f>N394-P394</x:f>
        <x:v>269.15</x:v>
      </x:c>
      <x:c r="R394" s="8" t="str">
        <x:f>IF(LOWER('Raw Data'!N394)="upi","UPI",'Raw Data'!N394)</x:f>
        <x:v>UPI</x:v>
      </x:c>
      <x:c r="S394" s="8" t="str">
        <x:v>Completed</x:v>
      </x:c>
      <x:c r="T394" s="8" t="str">
        <x:f>TEXT(B394,"mmm yyyy")</x:f>
        <x:v>Mar 2025</x:v>
      </x:c>
      <x:c r="U394" s="8" t="n">
        <x:f>YEAR(B394)</x:f>
        <x:v>2025</x:v>
      </x:c>
    </x:row>
    <x:row r="395">
      <x:c r="A395" s="8" t="str">
        <x:v>ORD-0391</x:v>
      </x:c>
      <x:c r="B395" s="22" t="n">
        <x:v>45772.854671203706</x:v>
      </x:c>
      <x:c r="C395" s="8" t="str">
        <x:v>CUS-036</x:v>
      </x:c>
      <x:c r="D395" s="8" t="str">
        <x:f>IFERROR(INDEX('Lookup Tables'!$B$5:$B$84,MATCH(C395,'Lookup Tables'!$A$5:$A$84,0)),"Unknown Customer")</x:f>
        <x:v>Pooja Saxena 2</x:v>
      </x:c>
      <x:c r="E395" s="8" t="str">
        <x:f>IFERROR(INDEX('Lookup Tables'!$C$5:$C$84,MATCH(C395,'Lookup Tables'!$A$5:$A$84,0)),"Unknown")</x:f>
        <x:v>Small Business</x:v>
      </x:c>
      <x:c r="F395" s="8" t="str">
        <x:v>Mumbai</x:v>
      </x:c>
      <x:c r="G395" s="8" t="str">
        <x:f>IFERROR(INDEX('Lookup Tables'!$N$5:$N$14,MATCH(F395,'Lookup Tables'!$M$5:$M$14,0)),"Unknown")</x:f>
        <x:v>West</x:v>
      </x:c>
      <x:c r="H395" s="8" t="str">
        <x:v>PRD-010</x:v>
      </x:c>
      <x:c r="I395" s="8" t="str">
        <x:f>IFERROR(INDEX('Lookup Tables'!$G$5:$G$16,MATCH(H395,'Lookup Tables'!$F$5:$F$16,0)),"Unknown Product")</x:f>
        <x:v>Travel Backpack</x:v>
      </x:c>
      <x:c r="J395" s="8" t="str">
        <x:f>IFERROR(INDEX('Lookup Tables'!$H$5:$H$16,MATCH(H395,'Lookup Tables'!$F$5:$F$16,0)),"Unknown")</x:f>
        <x:v>Fashion</x:v>
      </x:c>
      <x:c r="K395" s="8" t="n">
        <x:v>5</x:v>
      </x:c>
      <x:c r="L395" s="9" t="n">
        <x:f>IFERROR(INDEX('Lookup Tables'!$I$5:$I$16,MATCH(H395,'Lookup Tables'!$F$5:$F$16,0)),0)</x:f>
        <x:v>2199</x:v>
      </x:c>
      <x:c r="M395" s="23" t="n">
        <x:f>IF('Raw Data'!M395="",0,'Raw Data'!M395)</x:f>
        <x:v>0.1</x:v>
      </x:c>
      <x:c r="N395" s="9" t="n">
        <x:f>IF(S395="Completed",K395*L395*(1-M395),0)</x:f>
        <x:v>0</x:v>
      </x:c>
      <x:c r="O395" s="9" t="n">
        <x:f>IFERROR(INDEX('Lookup Tables'!$J$5:$J$16,MATCH(H395,'Lookup Tables'!$F$5:$F$16,0)),0)</x:f>
        <x:v>1380</x:v>
      </x:c>
      <x:c r="P395" s="9" t="n">
        <x:f>IF(S395="Completed",K395*O395,0)</x:f>
        <x:v>0</x:v>
      </x:c>
      <x:c r="Q395" s="9" t="n">
        <x:f>N395-P395</x:f>
        <x:v>0</x:v>
      </x:c>
      <x:c r="R395" s="8" t="str">
        <x:f>IF(LOWER('Raw Data'!N395)="upi","UPI",'Raw Data'!N395)</x:f>
        <x:v>Debit Card</x:v>
      </x:c>
      <x:c r="S395" s="8" t="str">
        <x:v>Cancelled</x:v>
      </x:c>
      <x:c r="T395" s="8" t="str">
        <x:f>TEXT(B395,"mmm yyyy")</x:f>
        <x:v>Apr 2025</x:v>
      </x:c>
      <x:c r="U395" s="8" t="n">
        <x:f>YEAR(B395)</x:f>
        <x:v>2025</x:v>
      </x:c>
    </x:row>
    <x:row r="396">
      <x:c r="A396" s="8" t="str">
        <x:v>ORD-0392</x:v>
      </x:c>
      <x:c r="B396" s="22" t="n">
        <x:v>45833.06926314815</x:v>
      </x:c>
      <x:c r="C396" s="8" t="str">
        <x:v>CUS-026</x:v>
      </x:c>
      <x:c r="D396" s="8" t="str">
        <x:f>IFERROR(INDEX('Lookup Tables'!$B$5:$B$84,MATCH(C396,'Lookup Tables'!$A$5:$A$84,0)),"Unknown Customer")</x:f>
        <x:v>Isha Mehta 2</x:v>
      </x:c>
      <x:c r="E396" s="8" t="str">
        <x:f>IFERROR(INDEX('Lookup Tables'!$C$5:$C$84,MATCH(C396,'Lookup Tables'!$A$5:$A$84,0)),"Unknown")</x:f>
        <x:v>Corporate</x:v>
      </x:c>
      <x:c r="F396" s="8" t="str">
        <x:v>Kolkata</x:v>
      </x:c>
      <x:c r="G396" s="8" t="str">
        <x:f>IFERROR(INDEX('Lookup Tables'!$N$5:$N$14,MATCH(F396,'Lookup Tables'!$M$5:$M$14,0)),"Unknown")</x:f>
        <x:v>East</x:v>
      </x:c>
      <x:c r="H396" s="8" t="str">
        <x:v>PRD-006</x:v>
      </x:c>
      <x:c r="I396" s="8" t="str">
        <x:f>IFERROR(INDEX('Lookup Tables'!$G$5:$G$16,MATCH(H396,'Lookup Tables'!$F$5:$F$16,0)),"Unknown Product")</x:f>
        <x:v>Desk Organiser</x:v>
      </x:c>
      <x:c r="J396" s="8" t="str">
        <x:f>IFERROR(INDEX('Lookup Tables'!$H$5:$H$16,MATCH(H396,'Lookup Tables'!$F$5:$F$16,0)),"Unknown")</x:f>
        <x:v>Office Supplies</x:v>
      </x:c>
      <x:c r="K396" s="8" t="n">
        <x:v>2</x:v>
      </x:c>
      <x:c r="L396" s="9" t="n">
        <x:f>IFERROR(INDEX('Lookup Tables'!$I$5:$I$16,MATCH(H396,'Lookup Tables'!$F$5:$F$16,0)),0)</x:f>
        <x:v>699</x:v>
      </x:c>
      <x:c r="M396" s="23" t="n">
        <x:f>IF('Raw Data'!M396="",0,'Raw Data'!M396)</x:f>
        <x:v>0.05</x:v>
      </x:c>
      <x:c r="N396" s="9" t="n">
        <x:f>IF(S396="Completed",K396*L396*(1-M396),0)</x:f>
        <x:v>0</x:v>
      </x:c>
      <x:c r="O396" s="9" t="n">
        <x:f>IFERROR(INDEX('Lookup Tables'!$J$5:$J$16,MATCH(H396,'Lookup Tables'!$F$5:$F$16,0)),0)</x:f>
        <x:v>390</x:v>
      </x:c>
      <x:c r="P396" s="9" t="n">
        <x:f>IF(S396="Completed",K396*O396,0)</x:f>
        <x:v>0</x:v>
      </x:c>
      <x:c r="Q396" s="9" t="n">
        <x:f>N396-P396</x:f>
        <x:v>0</x:v>
      </x:c>
      <x:c r="R396" s="8" t="str">
        <x:f>IF(LOWER('Raw Data'!N396)="upi","UPI",'Raw Data'!N396)</x:f>
        <x:v>UPI</x:v>
      </x:c>
      <x:c r="S396" s="8" t="str">
        <x:v>Cancelled</x:v>
      </x:c>
      <x:c r="T396" s="8" t="str">
        <x:f>TEXT(B396,"mmm yyyy")</x:f>
        <x:v>Jun 2025</x:v>
      </x:c>
      <x:c r="U396" s="8" t="n">
        <x:f>YEAR(B396)</x:f>
        <x:v>2025</x:v>
      </x:c>
    </x:row>
    <x:row r="397">
      <x:c r="A397" s="8" t="str">
        <x:v>ORD-0393</x:v>
      </x:c>
      <x:c r="B397" s="22" t="n">
        <x:v>45856.4290666088</x:v>
      </x:c>
      <x:c r="C397" s="8" t="str">
        <x:v>CUS-045</x:v>
      </x:c>
      <x:c r="D397" s="8" t="str">
        <x:f>IFERROR(INDEX('Lookup Tables'!$B$5:$B$84,MATCH(C397,'Lookup Tables'!$A$5:$A$84,0)),"Unknown Customer")</x:f>
        <x:v>Arjun Verma 3</x:v>
      </x:c>
      <x:c r="E397" s="8" t="str">
        <x:f>IFERROR(INDEX('Lookup Tables'!$C$5:$C$84,MATCH(C397,'Lookup Tables'!$A$5:$A$84,0)),"Unknown")</x:f>
        <x:v>Small Business</x:v>
      </x:c>
      <x:c r="F397" s="8" t="str">
        <x:v>Ahmedabad</x:v>
      </x:c>
      <x:c r="G397" s="8" t="str">
        <x:f>IFERROR(INDEX('Lookup Tables'!$N$5:$N$14,MATCH(F397,'Lookup Tables'!$M$5:$M$14,0)),"Unknown")</x:f>
        <x:v>West</x:v>
      </x:c>
      <x:c r="H397" s="8" t="str">
        <x:v>PRD-009</x:v>
      </x:c>
      <x:c r="I397" s="8" t="str">
        <x:f>IFERROR(INDEX('Lookup Tables'!$G$5:$G$16,MATCH(H397,'Lookup Tables'!$F$5:$F$16,0)),"Unknown Product")</x:f>
        <x:v>Table Lamp</x:v>
      </x:c>
      <x:c r="J397" s="8" t="str">
        <x:f>IFERROR(INDEX('Lookup Tables'!$H$5:$H$16,MATCH(H397,'Lookup Tables'!$F$5:$F$16,0)),"Unknown")</x:f>
        <x:v>Home &amp; Kitchen</x:v>
      </x:c>
      <x:c r="K397" s="8" t="n">
        <x:v>1</x:v>
      </x:c>
      <x:c r="L397" s="9" t="n">
        <x:f>IFERROR(INDEX('Lookup Tables'!$I$5:$I$16,MATCH(H397,'Lookup Tables'!$F$5:$F$16,0)),0)</x:f>
        <x:v>1499</x:v>
      </x:c>
      <x:c r="M397" s="23" t="n">
        <x:f>IF('Raw Data'!M397="",0,'Raw Data'!M397)</x:f>
        <x:v>0.05</x:v>
      </x:c>
      <x:c r="N397" s="9" t="n">
        <x:f>IF(S397="Completed",K397*L397*(1-M397),0)</x:f>
        <x:v>0</x:v>
      </x:c>
      <x:c r="O397" s="9" t="n">
        <x:f>IFERROR(INDEX('Lookup Tables'!$J$5:$J$16,MATCH(H397,'Lookup Tables'!$F$5:$F$16,0)),0)</x:f>
        <x:v>920</x:v>
      </x:c>
      <x:c r="P397" s="9" t="n">
        <x:f>IF(S397="Completed",K397*O397,0)</x:f>
        <x:v>0</x:v>
      </x:c>
      <x:c r="Q397" s="9" t="n">
        <x:f>N397-P397</x:f>
        <x:v>0</x:v>
      </x:c>
      <x:c r="R397" s="8" t="str">
        <x:f>IF(LOWER('Raw Data'!N397)="upi","UPI",'Raw Data'!N397)</x:f>
        <x:v>Credit Card</x:v>
      </x:c>
      <x:c r="S397" s="8" t="str">
        <x:v>Returned</x:v>
      </x:c>
      <x:c r="T397" s="8" t="str">
        <x:f>TEXT(B397,"mmm yyyy")</x:f>
        <x:v>Jul 2025</x:v>
      </x:c>
      <x:c r="U397" s="8" t="n">
        <x:f>YEAR(B397)</x:f>
        <x:v>2025</x:v>
      </x:c>
    </x:row>
    <x:row r="398">
      <x:c r="A398" s="8" t="str">
        <x:v>ORD-0394</x:v>
      </x:c>
      <x:c r="B398" s="22" t="n">
        <x:v>45934.24539403935</x:v>
      </x:c>
      <x:c r="C398" s="8" t="str">
        <x:v>CUS-006</x:v>
      </x:c>
      <x:c r="D398" s="8" t="str">
        <x:f>IFERROR(INDEX('Lookup Tables'!$B$5:$B$84,MATCH(C398,'Lookup Tables'!$A$5:$A$84,0)),"Unknown Customer")</x:f>
        <x:v>Isha Mehta</x:v>
      </x:c>
      <x:c r="E398" s="8" t="str">
        <x:f>IFERROR(INDEX('Lookup Tables'!$C$5:$C$84,MATCH(C398,'Lookup Tables'!$A$5:$A$84,0)),"Unknown")</x:f>
        <x:v>Small Business</x:v>
      </x:c>
      <x:c r="F398" s="8" t="str">
        <x:v>Mumbai</x:v>
      </x:c>
      <x:c r="G398" s="8" t="str">
        <x:f>IFERROR(INDEX('Lookup Tables'!$N$5:$N$14,MATCH(F398,'Lookup Tables'!$M$5:$M$14,0)),"Unknown")</x:f>
        <x:v>West</x:v>
      </x:c>
      <x:c r="H398" s="8" t="str">
        <x:v>PRD-008</x:v>
      </x:c>
      <x:c r="I398" s="8" t="str">
        <x:f>IFERROR(INDEX('Lookup Tables'!$G$5:$G$16,MATCH(H398,'Lookup Tables'!$F$5:$F$16,0)),"Unknown Product")</x:f>
        <x:v>Storage Container Set</x:v>
      </x:c>
      <x:c r="J398" s="8" t="str">
        <x:f>IFERROR(INDEX('Lookup Tables'!$H$5:$H$16,MATCH(H398,'Lookup Tables'!$F$5:$F$16,0)),"Unknown")</x:f>
        <x:v>Home &amp; Kitchen</x:v>
      </x:c>
      <x:c r="K398" s="8" t="n">
        <x:v>1</x:v>
      </x:c>
      <x:c r="L398" s="9" t="n">
        <x:f>IFERROR(INDEX('Lookup Tables'!$I$5:$I$16,MATCH(H398,'Lookup Tables'!$F$5:$F$16,0)),0)</x:f>
        <x:v>999</x:v>
      </x:c>
      <x:c r="M398" s="23" t="n">
        <x:f>IF('Raw Data'!M398="",0,'Raw Data'!M398)</x:f>
        <x:v>0.15</x:v>
      </x:c>
      <x:c r="N398" s="9" t="n">
        <x:f>IF(S398="Completed",K398*L398*(1-M398),0)</x:f>
        <x:v>849.15</x:v>
      </x:c>
      <x:c r="O398" s="9" t="n">
        <x:f>IFERROR(INDEX('Lookup Tables'!$J$5:$J$16,MATCH(H398,'Lookup Tables'!$F$5:$F$16,0)),0)</x:f>
        <x:v>580</x:v>
      </x:c>
      <x:c r="P398" s="9" t="n">
        <x:f>IF(S398="Completed",K398*O398,0)</x:f>
        <x:v>580</x:v>
      </x:c>
      <x:c r="Q398" s="9" t="n">
        <x:f>N398-P398</x:f>
        <x:v>269.15</x:v>
      </x:c>
      <x:c r="R398" s="8" t="str">
        <x:f>IF(LOWER('Raw Data'!N398)="upi","UPI",'Raw Data'!N398)</x:f>
        <x:v>Cash on Delivery</x:v>
      </x:c>
      <x:c r="S398" s="8" t="str">
        <x:v>Completed</x:v>
      </x:c>
      <x:c r="T398" s="8" t="str">
        <x:f>TEXT(B398,"mmm yyyy")</x:f>
        <x:v>Oct 2025</x:v>
      </x:c>
      <x:c r="U398" s="8" t="n">
        <x:f>YEAR(B398)</x:f>
        <x:v>2025</x:v>
      </x:c>
    </x:row>
    <x:row r="399">
      <x:c r="A399" s="8" t="str">
        <x:v>ORD-0395</x:v>
      </x:c>
      <x:c r="B399" s="22" t="n">
        <x:v>45665.573109351855</x:v>
      </x:c>
      <x:c r="C399" s="8" t="str">
        <x:v>CUS-018</x:v>
      </x:c>
      <x:c r="D399" s="8" t="str">
        <x:f>IFERROR(INDEX('Lookup Tables'!$B$5:$B$84,MATCH(C399,'Lookup Tables'!$A$5:$A$84,0)),"Unknown Customer")</x:f>
        <x:v>Nisha Bansal</x:v>
      </x:c>
      <x:c r="E399" s="8" t="str">
        <x:f>IFERROR(INDEX('Lookup Tables'!$C$5:$C$84,MATCH(C399,'Lookup Tables'!$A$5:$A$84,0)),"Unknown")</x:f>
        <x:v>Small Business</x:v>
      </x:c>
      <x:c r="F399" s="8" t="str">
        <x:v>Delhi</x:v>
      </x:c>
      <x:c r="G399" s="8" t="str">
        <x:f>IFERROR(INDEX('Lookup Tables'!$N$5:$N$14,MATCH(F399,'Lookup Tables'!$M$5:$M$14,0)),"Unknown")</x:f>
        <x:v>North</x:v>
      </x:c>
      <x:c r="H399" s="8" t="str">
        <x:v>PRD-009</x:v>
      </x:c>
      <x:c r="I399" s="8" t="str">
        <x:f>IFERROR(INDEX('Lookup Tables'!$G$5:$G$16,MATCH(H399,'Lookup Tables'!$F$5:$F$16,0)),"Unknown Product")</x:f>
        <x:v>Table Lamp</x:v>
      </x:c>
      <x:c r="J399" s="8" t="str">
        <x:f>IFERROR(INDEX('Lookup Tables'!$H$5:$H$16,MATCH(H399,'Lookup Tables'!$F$5:$F$16,0)),"Unknown")</x:f>
        <x:v>Home &amp; Kitchen</x:v>
      </x:c>
      <x:c r="K399" s="8" t="n">
        <x:v>5</x:v>
      </x:c>
      <x:c r="L399" s="9" t="n">
        <x:f>IFERROR(INDEX('Lookup Tables'!$I$5:$I$16,MATCH(H399,'Lookup Tables'!$F$5:$F$16,0)),0)</x:f>
        <x:v>1499</x:v>
      </x:c>
      <x:c r="M399" s="23" t="n">
        <x:f>IF('Raw Data'!M399="",0,'Raw Data'!M399)</x:f>
        <x:v>0</x:v>
      </x:c>
      <x:c r="N399" s="9" t="n">
        <x:f>IF(S399="Completed",K399*L399*(1-M399),0)</x:f>
        <x:v>7495</x:v>
      </x:c>
      <x:c r="O399" s="9" t="n">
        <x:f>IFERROR(INDEX('Lookup Tables'!$J$5:$J$16,MATCH(H399,'Lookup Tables'!$F$5:$F$16,0)),0)</x:f>
        <x:v>920</x:v>
      </x:c>
      <x:c r="P399" s="9" t="n">
        <x:f>IF(S399="Completed",K399*O399,0)</x:f>
        <x:v>4600</x:v>
      </x:c>
      <x:c r="Q399" s="9" t="n">
        <x:f>N399-P399</x:f>
        <x:v>2895</x:v>
      </x:c>
      <x:c r="R399" s="8" t="str">
        <x:f>IF(LOWER('Raw Data'!N399)="upi","UPI",'Raw Data'!N399)</x:f>
        <x:v>Debit Card</x:v>
      </x:c>
      <x:c r="S399" s="8" t="str">
        <x:v>Completed</x:v>
      </x:c>
      <x:c r="T399" s="8" t="str">
        <x:f>TEXT(B399,"mmm yyyy")</x:f>
        <x:v>Jan 2025</x:v>
      </x:c>
      <x:c r="U399" s="8" t="n">
        <x:f>YEAR(B399)</x:f>
        <x:v>2025</x:v>
      </x:c>
    </x:row>
    <x:row r="400">
      <x:c r="A400" s="8" t="str">
        <x:v>ORD-0396</x:v>
      </x:c>
      <x:c r="B400" s="22" t="n">
        <x:v>45677.631580023146</x:v>
      </x:c>
      <x:c r="C400" s="8" t="str">
        <x:v>CUS-036</x:v>
      </x:c>
      <x:c r="D400" s="8" t="str">
        <x:f>IFERROR(INDEX('Lookup Tables'!$B$5:$B$84,MATCH(C400,'Lookup Tables'!$A$5:$A$84,0)),"Unknown Customer")</x:f>
        <x:v>Pooja Saxena 2</x:v>
      </x:c>
      <x:c r="E400" s="8" t="str">
        <x:f>IFERROR(INDEX('Lookup Tables'!$C$5:$C$84,MATCH(C400,'Lookup Tables'!$A$5:$A$84,0)),"Unknown")</x:f>
        <x:v>Small Business</x:v>
      </x:c>
      <x:c r="F400" s="8" t="str">
        <x:v>Mumbai</x:v>
      </x:c>
      <x:c r="G400" s="8" t="str">
        <x:f>IFERROR(INDEX('Lookup Tables'!$N$5:$N$14,MATCH(F400,'Lookup Tables'!$M$5:$M$14,0)),"Unknown")</x:f>
        <x:v>West</x:v>
      </x:c>
      <x:c r="H400" s="8" t="str">
        <x:v>PRD-004</x:v>
      </x:c>
      <x:c r="I400" s="8" t="str">
        <x:f>IFERROR(INDEX('Lookup Tables'!$G$5:$G$16,MATCH(H400,'Lookup Tables'!$F$5:$F$16,0)),"Unknown Product")</x:f>
        <x:v>Laptop Stand</x:v>
      </x:c>
      <x:c r="J400" s="8" t="str">
        <x:f>IFERROR(INDEX('Lookup Tables'!$H$5:$H$16,MATCH(H400,'Lookup Tables'!$F$5:$F$16,0)),"Unknown")</x:f>
        <x:v>Office Supplies</x:v>
      </x:c>
      <x:c r="K400" s="8" t="n">
        <x:v>3</x:v>
      </x:c>
      <x:c r="L400" s="9" t="n">
        <x:f>IFERROR(INDEX('Lookup Tables'!$I$5:$I$16,MATCH(H400,'Lookup Tables'!$F$5:$F$16,0)),0)</x:f>
        <x:v>1299</x:v>
      </x:c>
      <x:c r="M400" s="23" t="n">
        <x:f>IF('Raw Data'!M400="",0,'Raw Data'!M400)</x:f>
        <x:v>0.15</x:v>
      </x:c>
      <x:c r="N400" s="9" t="n">
        <x:f>IF(S400="Completed",K400*L400*(1-M400),0)</x:f>
        <x:v>0</x:v>
      </x:c>
      <x:c r="O400" s="9" t="n">
        <x:f>IFERROR(INDEX('Lookup Tables'!$J$5:$J$16,MATCH(H400,'Lookup Tables'!$F$5:$F$16,0)),0)</x:f>
        <x:v>760</x:v>
      </x:c>
      <x:c r="P400" s="9" t="n">
        <x:f>IF(S400="Completed",K400*O400,0)</x:f>
        <x:v>0</x:v>
      </x:c>
      <x:c r="Q400" s="9" t="n">
        <x:f>N400-P400</x:f>
        <x:v>0</x:v>
      </x:c>
      <x:c r="R400" s="8" t="str">
        <x:f>IF(LOWER('Raw Data'!N400)="upi","UPI",'Raw Data'!N400)</x:f>
        <x:v>Net Banking</x:v>
      </x:c>
      <x:c r="S400" s="8" t="str">
        <x:v>Returned</x:v>
      </x:c>
      <x:c r="T400" s="8" t="str">
        <x:f>TEXT(B400,"mmm yyyy")</x:f>
        <x:v>Jan 2025</x:v>
      </x:c>
      <x:c r="U400" s="8" t="n">
        <x:f>YEAR(B400)</x:f>
        <x:v>2025</x:v>
      </x:c>
    </x:row>
    <x:row r="401">
      <x:c r="A401" s="8" t="str">
        <x:v>ORD-0397</x:v>
      </x:c>
      <x:c r="B401" s="22" t="n">
        <x:v>45874.86064637732</x:v>
      </x:c>
      <x:c r="C401" s="8" t="str">
        <x:v>CUS-002</x:v>
      </x:c>
      <x:c r="D401" s="8" t="str">
        <x:f>IFERROR(INDEX('Lookup Tables'!$B$5:$B$84,MATCH(C401,'Lookup Tables'!$A$5:$A$84,0)),"Unknown Customer")</x:f>
        <x:v>Diya Patel</x:v>
      </x:c>
      <x:c r="E401" s="8" t="str">
        <x:f>IFERROR(INDEX('Lookup Tables'!$C$5:$C$84,MATCH(C401,'Lookup Tables'!$A$5:$A$84,0)),"Unknown")</x:f>
        <x:v>Corporate</x:v>
      </x:c>
      <x:c r="F401" s="8" t="str">
        <x:v>Kolkata</x:v>
      </x:c>
      <x:c r="G401" s="8" t="str">
        <x:f>IFERROR(INDEX('Lookup Tables'!$N$5:$N$14,MATCH(F401,'Lookup Tables'!$M$5:$M$14,0)),"Unknown")</x:f>
        <x:v>East</x:v>
      </x:c>
      <x:c r="H401" s="8" t="str">
        <x:v>PRD-008</x:v>
      </x:c>
      <x:c r="I401" s="8" t="str">
        <x:f>IFERROR(INDEX('Lookup Tables'!$G$5:$G$16,MATCH(H401,'Lookup Tables'!$F$5:$F$16,0)),"Unknown Product")</x:f>
        <x:v>Storage Container Set</x:v>
      </x:c>
      <x:c r="J401" s="8" t="str">
        <x:f>IFERROR(INDEX('Lookup Tables'!$H$5:$H$16,MATCH(H401,'Lookup Tables'!$F$5:$F$16,0)),"Unknown")</x:f>
        <x:v>Home &amp; Kitchen</x:v>
      </x:c>
      <x:c r="K401" s="8" t="n">
        <x:v>5</x:v>
      </x:c>
      <x:c r="L401" s="9" t="n">
        <x:f>IFERROR(INDEX('Lookup Tables'!$I$5:$I$16,MATCH(H401,'Lookup Tables'!$F$5:$F$16,0)),0)</x:f>
        <x:v>999</x:v>
      </x:c>
      <x:c r="M401" s="23" t="n">
        <x:f>IF('Raw Data'!M401="",0,'Raw Data'!M401)</x:f>
        <x:v>0.05</x:v>
      </x:c>
      <x:c r="N401" s="9" t="n">
        <x:f>IF(S401="Completed",K401*L401*(1-M401),0)</x:f>
        <x:v>4745.25</x:v>
      </x:c>
      <x:c r="O401" s="9" t="n">
        <x:f>IFERROR(INDEX('Lookup Tables'!$J$5:$J$16,MATCH(H401,'Lookup Tables'!$F$5:$F$16,0)),0)</x:f>
        <x:v>580</x:v>
      </x:c>
      <x:c r="P401" s="9" t="n">
        <x:f>IF(S401="Completed",K401*O401,0)</x:f>
        <x:v>2900</x:v>
      </x:c>
      <x:c r="Q401" s="9" t="n">
        <x:f>N401-P401</x:f>
        <x:v>1845.25</x:v>
      </x:c>
      <x:c r="R401" s="8" t="str">
        <x:f>IF(LOWER('Raw Data'!N401)="upi","UPI",'Raw Data'!N401)</x:f>
        <x:v>Credit Card</x:v>
      </x:c>
      <x:c r="S401" s="8" t="str">
        <x:v>Completed</x:v>
      </x:c>
      <x:c r="T401" s="8" t="str">
        <x:f>TEXT(B401,"mmm yyyy")</x:f>
        <x:v>Aug 2025</x:v>
      </x:c>
      <x:c r="U401" s="8" t="n">
        <x:f>YEAR(B401)</x:f>
        <x:v>2025</x:v>
      </x:c>
    </x:row>
    <x:row r="402">
      <x:c r="A402" s="8" t="str">
        <x:v>ORD-0398</x:v>
      </x:c>
      <x:c r="B402" s="22" t="n">
        <x:v>45978.199582581015</x:v>
      </x:c>
      <x:c r="C402" s="8" t="str">
        <x:v>CUS-048</x:v>
      </x:c>
      <x:c r="D402" s="8" t="str">
        <x:f>IFERROR(INDEX('Lookup Tables'!$B$5:$B$84,MATCH(C402,'Lookup Tables'!$A$5:$A$84,0)),"Unknown Customer")</x:f>
        <x:v>Meera Nair 3</x:v>
      </x:c>
      <x:c r="E402" s="8" t="str">
        <x:f>IFERROR(INDEX('Lookup Tables'!$C$5:$C$84,MATCH(C402,'Lookup Tables'!$A$5:$A$84,0)),"Unknown")</x:f>
        <x:v>Small Business</x:v>
      </x:c>
      <x:c r="F402" s="8" t="str">
        <x:v>Pune</x:v>
      </x:c>
      <x:c r="G402" s="8" t="str">
        <x:f>IFERROR(INDEX('Lookup Tables'!$N$5:$N$14,MATCH(F402,'Lookup Tables'!$M$5:$M$14,0)),"Unknown")</x:f>
        <x:v>West</x:v>
      </x:c>
      <x:c r="H402" s="8" t="str">
        <x:v>PRD-009</x:v>
      </x:c>
      <x:c r="I402" s="8" t="str">
        <x:f>IFERROR(INDEX('Lookup Tables'!$G$5:$G$16,MATCH(H402,'Lookup Tables'!$F$5:$F$16,0)),"Unknown Product")</x:f>
        <x:v>Table Lamp</x:v>
      </x:c>
      <x:c r="J402" s="8" t="str">
        <x:f>IFERROR(INDEX('Lookup Tables'!$H$5:$H$16,MATCH(H402,'Lookup Tables'!$F$5:$F$16,0)),"Unknown")</x:f>
        <x:v>Home &amp; Kitchen</x:v>
      </x:c>
      <x:c r="K402" s="8" t="n">
        <x:v>5</x:v>
      </x:c>
      <x:c r="L402" s="9" t="n">
        <x:f>IFERROR(INDEX('Lookup Tables'!$I$5:$I$16,MATCH(H402,'Lookup Tables'!$F$5:$F$16,0)),0)</x:f>
        <x:v>1499</x:v>
      </x:c>
      <x:c r="M402" s="23" t="n">
        <x:f>IF('Raw Data'!M402="",0,'Raw Data'!M402)</x:f>
        <x:v>0.05</x:v>
      </x:c>
      <x:c r="N402" s="9" t="n">
        <x:f>IF(S402="Completed",K402*L402*(1-M402),0)</x:f>
        <x:v>7120.25</x:v>
      </x:c>
      <x:c r="O402" s="9" t="n">
        <x:f>IFERROR(INDEX('Lookup Tables'!$J$5:$J$16,MATCH(H402,'Lookup Tables'!$F$5:$F$16,0)),0)</x:f>
        <x:v>920</x:v>
      </x:c>
      <x:c r="P402" s="9" t="n">
        <x:f>IF(S402="Completed",K402*O402,0)</x:f>
        <x:v>4600</x:v>
      </x:c>
      <x:c r="Q402" s="9" t="n">
        <x:f>N402-P402</x:f>
        <x:v>2520.25</x:v>
      </x:c>
      <x:c r="R402" s="8" t="str">
        <x:f>IF(LOWER('Raw Data'!N402)="upi","UPI",'Raw Data'!N402)</x:f>
        <x:v>UPI</x:v>
      </x:c>
      <x:c r="S402" s="8" t="str">
        <x:v>Completed</x:v>
      </x:c>
      <x:c r="T402" s="8" t="str">
        <x:f>TEXT(B402,"mmm yyyy")</x:f>
        <x:v>Nov 2025</x:v>
      </x:c>
      <x:c r="U402" s="8" t="n">
        <x:f>YEAR(B402)</x:f>
        <x:v>2025</x:v>
      </x:c>
    </x:row>
    <x:row r="403">
      <x:c r="A403" s="8" t="str">
        <x:v>ORD-0399</x:v>
      </x:c>
      <x:c r="B403" s="22" t="n">
        <x:v>45943.026449861114</x:v>
      </x:c>
      <x:c r="C403" s="8" t="str">
        <x:v>CUS-040</x:v>
      </x:c>
      <x:c r="D403" s="8" t="str">
        <x:f>IFERROR(INDEX('Lookup Tables'!$B$5:$B$84,MATCH(C403,'Lookup Tables'!$A$5:$A$84,0)),"Unknown Customer")</x:f>
        <x:v>Kavya Reddy 2</x:v>
      </x:c>
      <x:c r="E403" s="8" t="str">
        <x:f>IFERROR(INDEX('Lookup Tables'!$C$5:$C$84,MATCH(C403,'Lookup Tables'!$A$5:$A$84,0)),"Unknown")</x:f>
        <x:v>Consumer</x:v>
      </x:c>
      <x:c r="F403" s="8" t="str">
        <x:v>Lucknow</x:v>
      </x:c>
      <x:c r="G403" s="8" t="str">
        <x:f>IFERROR(INDEX('Lookup Tables'!$N$5:$N$14,MATCH(F403,'Lookup Tables'!$M$5:$M$14,0)),"Unknown")</x:f>
        <x:v>North</x:v>
      </x:c>
      <x:c r="H403" s="8" t="str">
        <x:v>PRD-005</x:v>
      </x:c>
      <x:c r="I403" s="8" t="str">
        <x:f>IFERROR(INDEX('Lookup Tables'!$G$5:$G$16,MATCH(H403,'Lookup Tables'!$F$5:$F$16,0)),"Unknown Product")</x:f>
        <x:v>Executive Notebook</x:v>
      </x:c>
      <x:c r="J403" s="8" t="str">
        <x:f>IFERROR(INDEX('Lookup Tables'!$H$5:$H$16,MATCH(H403,'Lookup Tables'!$F$5:$F$16,0)),"Unknown")</x:f>
        <x:v>Office Supplies</x:v>
      </x:c>
      <x:c r="K403" s="8" t="n">
        <x:v>5</x:v>
      </x:c>
      <x:c r="L403" s="9" t="n">
        <x:f>IFERROR(INDEX('Lookup Tables'!$I$5:$I$16,MATCH(H403,'Lookup Tables'!$F$5:$F$16,0)),0)</x:f>
        <x:v>349</x:v>
      </x:c>
      <x:c r="M403" s="23" t="n">
        <x:f>IF('Raw Data'!M403="",0,'Raw Data'!M403)</x:f>
        <x:v>0.1</x:v>
      </x:c>
      <x:c r="N403" s="9" t="n">
        <x:f>IF(S403="Completed",K403*L403*(1-M403),0)</x:f>
        <x:v>1570.5</x:v>
      </x:c>
      <x:c r="O403" s="9" t="n">
        <x:f>IFERROR(INDEX('Lookup Tables'!$J$5:$J$16,MATCH(H403,'Lookup Tables'!$F$5:$F$16,0)),0)</x:f>
        <x:v>170</x:v>
      </x:c>
      <x:c r="P403" s="9" t="n">
        <x:f>IF(S403="Completed",K403*O403,0)</x:f>
        <x:v>850</x:v>
      </x:c>
      <x:c r="Q403" s="9" t="n">
        <x:f>N403-P403</x:f>
        <x:v>720.5</x:v>
      </x:c>
      <x:c r="R403" s="8" t="str">
        <x:f>IF(LOWER('Raw Data'!N403)="upi","UPI",'Raw Data'!N403)</x:f>
        <x:v>UPI</x:v>
      </x:c>
      <x:c r="S403" s="8" t="str">
        <x:v>Completed</x:v>
      </x:c>
      <x:c r="T403" s="8" t="str">
        <x:f>TEXT(B403,"mmm yyyy")</x:f>
        <x:v>Oct 2025</x:v>
      </x:c>
      <x:c r="U403" s="8" t="n">
        <x:f>YEAR(B403)</x:f>
        <x:v>2025</x:v>
      </x:c>
    </x:row>
    <x:row r="404">
      <x:c r="A404" s="8" t="str">
        <x:v>ORD-0400</x:v>
      </x:c>
      <x:c r="B404" s="22" t="n">
        <x:v>45976.80063052083</x:v>
      </x:c>
      <x:c r="C404" s="8" t="str">
        <x:v>CUS-074</x:v>
      </x:c>
      <x:c r="D404" s="8" t="str">
        <x:f>IFERROR(INDEX('Lookup Tables'!$B$5:$B$84,MATCH(C404,'Lookup Tables'!$A$5:$A$84,0)),"Unknown Customer")</x:f>
        <x:v>Neha Rao 4</x:v>
      </x:c>
      <x:c r="E404" s="8" t="str">
        <x:f>IFERROR(INDEX('Lookup Tables'!$C$5:$C$84,MATCH(C404,'Lookup Tables'!$A$5:$A$84,0)),"Unknown")</x:f>
        <x:v>Corporate</x:v>
      </x:c>
      <x:c r="F404" s="8" t="str">
        <x:v>Hyderabad</x:v>
      </x:c>
      <x:c r="G404" s="8" t="str">
        <x:f>IFERROR(INDEX('Lookup Tables'!$N$5:$N$14,MATCH(F404,'Lookup Tables'!$M$5:$M$14,0)),"Unknown")</x:f>
        <x:v>South</x:v>
      </x:c>
      <x:c r="H404" s="8" t="str">
        <x:v>PRD-001</x:v>
      </x:c>
      <x:c r="I404" s="8" t="str">
        <x:f>IFERROR(INDEX('Lookup Tables'!$G$5:$G$16,MATCH(H404,'Lookup Tables'!$F$5:$F$16,0)),"Unknown Product")</x:f>
        <x:v>Wireless Mouse</x:v>
      </x:c>
      <x:c r="J404" s="8" t="str">
        <x:f>IFERROR(INDEX('Lookup Tables'!$H$5:$H$16,MATCH(H404,'Lookup Tables'!$F$5:$F$16,0)),"Unknown")</x:f>
        <x:v>Electronics</x:v>
      </x:c>
      <x:c r="K404" s="8" t="n">
        <x:v>5</x:v>
      </x:c>
      <x:c r="L404" s="9" t="n">
        <x:f>IFERROR(INDEX('Lookup Tables'!$I$5:$I$16,MATCH(H404,'Lookup Tables'!$F$5:$F$16,0)),0)</x:f>
        <x:v>899</x:v>
      </x:c>
      <x:c r="M404" s="23" t="n">
        <x:f>IF('Raw Data'!M404="",0,'Raw Data'!M404)</x:f>
        <x:v>0.05</x:v>
      </x:c>
      <x:c r="N404" s="9" t="n">
        <x:f>IF(S404="Completed",K404*L404*(1-M404),0)</x:f>
        <x:v>0</x:v>
      </x:c>
      <x:c r="O404" s="9" t="n">
        <x:f>IFERROR(INDEX('Lookup Tables'!$J$5:$J$16,MATCH(H404,'Lookup Tables'!$F$5:$F$16,0)),0)</x:f>
        <x:v>540</x:v>
      </x:c>
      <x:c r="P404" s="9" t="n">
        <x:f>IF(S404="Completed",K404*O404,0)</x:f>
        <x:v>0</x:v>
      </x:c>
      <x:c r="Q404" s="9" t="n">
        <x:f>N404-P404</x:f>
        <x:v>0</x:v>
      </x:c>
      <x:c r="R404" s="8" t="str">
        <x:f>IF(LOWER('Raw Data'!N404)="upi","UPI",'Raw Data'!N404)</x:f>
        <x:v>Cash on Delivery</x:v>
      </x:c>
      <x:c r="S404" s="8" t="str">
        <x:v>Cancelled</x:v>
      </x:c>
      <x:c r="T404" s="8" t="str">
        <x:f>TEXT(B404,"mmm yyyy")</x:f>
        <x:v>Nov 2025</x:v>
      </x:c>
      <x:c r="U404" s="8" t="n">
        <x:f>YEAR(B404)</x:f>
        <x:v>2025</x:v>
      </x:c>
    </x:row>
    <x:row r="405">
      <x:c r="A405" s="8" t="str">
        <x:v>ORD-0401</x:v>
      </x:c>
      <x:c r="B405" s="22" t="n">
        <x:v>45986.37039458333</x:v>
      </x:c>
      <x:c r="C405" s="8" t="str">
        <x:v>CUS-048</x:v>
      </x:c>
      <x:c r="D405" s="8" t="str">
        <x:f>IFERROR(INDEX('Lookup Tables'!$B$5:$B$84,MATCH(C405,'Lookup Tables'!$A$5:$A$84,0)),"Unknown Customer")</x:f>
        <x:v>Meera Nair 3</x:v>
      </x:c>
      <x:c r="E405" s="8" t="str">
        <x:f>IFERROR(INDEX('Lookup Tables'!$C$5:$C$84,MATCH(C405,'Lookup Tables'!$A$5:$A$84,0)),"Unknown")</x:f>
        <x:v>Small Business</x:v>
      </x:c>
      <x:c r="F405" s="8" t="str">
        <x:v>Mumbai</x:v>
      </x:c>
      <x:c r="G405" s="8" t="str">
        <x:f>IFERROR(INDEX('Lookup Tables'!$N$5:$N$14,MATCH(F405,'Lookup Tables'!$M$5:$M$14,0)),"Unknown")</x:f>
        <x:v>West</x:v>
      </x:c>
      <x:c r="H405" s="8" t="str">
        <x:v>PRD-004</x:v>
      </x:c>
      <x:c r="I405" s="8" t="str">
        <x:f>IFERROR(INDEX('Lookup Tables'!$G$5:$G$16,MATCH(H405,'Lookup Tables'!$F$5:$F$16,0)),"Unknown Product")</x:f>
        <x:v>Laptop Stand</x:v>
      </x:c>
      <x:c r="J405" s="8" t="str">
        <x:f>IFERROR(INDEX('Lookup Tables'!$H$5:$H$16,MATCH(H405,'Lookup Tables'!$F$5:$F$16,0)),"Unknown")</x:f>
        <x:v>Office Supplies</x:v>
      </x:c>
      <x:c r="K405" s="8" t="n">
        <x:v>5</x:v>
      </x:c>
      <x:c r="L405" s="9" t="n">
        <x:f>IFERROR(INDEX('Lookup Tables'!$I$5:$I$16,MATCH(H405,'Lookup Tables'!$F$5:$F$16,0)),0)</x:f>
        <x:v>1299</x:v>
      </x:c>
      <x:c r="M405" s="23" t="n">
        <x:f>IF('Raw Data'!M405="",0,'Raw Data'!M405)</x:f>
        <x:v>0</x:v>
      </x:c>
      <x:c r="N405" s="9" t="n">
        <x:f>IF(S405="Completed",K405*L405*(1-M405),0)</x:f>
        <x:v>0</x:v>
      </x:c>
      <x:c r="O405" s="9" t="n">
        <x:f>IFERROR(INDEX('Lookup Tables'!$J$5:$J$16,MATCH(H405,'Lookup Tables'!$F$5:$F$16,0)),0)</x:f>
        <x:v>760</x:v>
      </x:c>
      <x:c r="P405" s="9" t="n">
        <x:f>IF(S405="Completed",K405*O405,0)</x:f>
        <x:v>0</x:v>
      </x:c>
      <x:c r="Q405" s="9" t="n">
        <x:f>N405-P405</x:f>
        <x:v>0</x:v>
      </x:c>
      <x:c r="R405" s="8" t="str">
        <x:f>IF(LOWER('Raw Data'!N405)="upi","UPI",'Raw Data'!N405)</x:f>
        <x:v>UPI</x:v>
      </x:c>
      <x:c r="S405" s="8" t="str">
        <x:v>Returned</x:v>
      </x:c>
      <x:c r="T405" s="8" t="str">
        <x:f>TEXT(B405,"mmm yyyy")</x:f>
        <x:v>Nov 2025</x:v>
      </x:c>
      <x:c r="U405" s="8" t="n">
        <x:f>YEAR(B405)</x:f>
        <x:v>2025</x:v>
      </x:c>
    </x:row>
    <x:row r="406">
      <x:c r="A406" s="8" t="str">
        <x:v>ORD-0402</x:v>
      </x:c>
      <x:c r="B406" s="22" t="n">
        <x:v>45882.56447027778</x:v>
      </x:c>
      <x:c r="C406" s="8" t="str">
        <x:v>CUS-064</x:v>
      </x:c>
      <x:c r="D406" s="8" t="str">
        <x:f>IFERROR(INDEX('Lookup Tables'!$B$5:$B$84,MATCH(C406,'Lookup Tables'!$A$5:$A$84,0)),"Unknown Customer")</x:f>
        <x:v>Ananya Gupta 4</x:v>
      </x:c>
      <x:c r="E406" s="8" t="str">
        <x:f>IFERROR(INDEX('Lookup Tables'!$C$5:$C$84,MATCH(C406,'Lookup Tables'!$A$5:$A$84,0)),"Unknown")</x:f>
        <x:v>Consumer</x:v>
      </x:c>
      <x:c r="F406" s="8" t="str">
        <x:v>Bengaluru</x:v>
      </x:c>
      <x:c r="G406" s="8" t="str">
        <x:f>IFERROR(INDEX('Lookup Tables'!$N$5:$N$14,MATCH(F406,'Lookup Tables'!$M$5:$M$14,0)),"Unknown")</x:f>
        <x:v>South</x:v>
      </x:c>
      <x:c r="H406" s="8" t="str">
        <x:v>PRD-008</x:v>
      </x:c>
      <x:c r="I406" s="8" t="str">
        <x:f>IFERROR(INDEX('Lookup Tables'!$G$5:$G$16,MATCH(H406,'Lookup Tables'!$F$5:$F$16,0)),"Unknown Product")</x:f>
        <x:v>Storage Container Set</x:v>
      </x:c>
      <x:c r="J406" s="8" t="str">
        <x:f>IFERROR(INDEX('Lookup Tables'!$H$5:$H$16,MATCH(H406,'Lookup Tables'!$F$5:$F$16,0)),"Unknown")</x:f>
        <x:v>Home &amp; Kitchen</x:v>
      </x:c>
      <x:c r="K406" s="8" t="n">
        <x:v>4</x:v>
      </x:c>
      <x:c r="L406" s="9" t="n">
        <x:f>IFERROR(INDEX('Lookup Tables'!$I$5:$I$16,MATCH(H406,'Lookup Tables'!$F$5:$F$16,0)),0)</x:f>
        <x:v>999</x:v>
      </x:c>
      <x:c r="M406" s="23" t="n">
        <x:f>IF('Raw Data'!M406="",0,'Raw Data'!M406)</x:f>
        <x:v>0.2</x:v>
      </x:c>
      <x:c r="N406" s="9" t="n">
        <x:f>IF(S406="Completed",K406*L406*(1-M406),0)</x:f>
        <x:v>3196.8</x:v>
      </x:c>
      <x:c r="O406" s="9" t="n">
        <x:f>IFERROR(INDEX('Lookup Tables'!$J$5:$J$16,MATCH(H406,'Lookup Tables'!$F$5:$F$16,0)),0)</x:f>
        <x:v>580</x:v>
      </x:c>
      <x:c r="P406" s="9" t="n">
        <x:f>IF(S406="Completed",K406*O406,0)</x:f>
        <x:v>2320</x:v>
      </x:c>
      <x:c r="Q406" s="9" t="n">
        <x:f>N406-P406</x:f>
        <x:v>876.8000000000002</x:v>
      </x:c>
      <x:c r="R406" s="8" t="str">
        <x:f>IF(LOWER('Raw Data'!N406)="upi","UPI",'Raw Data'!N406)</x:f>
        <x:v>Credit Card</x:v>
      </x:c>
      <x:c r="S406" s="8" t="str">
        <x:v>Completed</x:v>
      </x:c>
      <x:c r="T406" s="8" t="str">
        <x:f>TEXT(B406,"mmm yyyy")</x:f>
        <x:v>Aug 2025</x:v>
      </x:c>
      <x:c r="U406" s="8" t="n">
        <x:f>YEAR(B406)</x:f>
        <x:v>2025</x:v>
      </x:c>
    </x:row>
    <x:row r="407">
      <x:c r="A407" s="8" t="str">
        <x:v>ORD-0403</x:v>
      </x:c>
      <x:c r="B407" s="22" t="n">
        <x:v>45676.54454054398</x:v>
      </x:c>
      <x:c r="C407" s="8" t="str">
        <x:v>CUS-004</x:v>
      </x:c>
      <x:c r="D407" s="8" t="str">
        <x:f>IFERROR(INDEX('Lookup Tables'!$B$5:$B$84,MATCH(C407,'Lookup Tables'!$A$5:$A$84,0)),"Unknown Customer")</x:f>
        <x:v>Ananya Gupta</x:v>
      </x:c>
      <x:c r="E407" s="8" t="str">
        <x:f>IFERROR(INDEX('Lookup Tables'!$C$5:$C$84,MATCH(C407,'Lookup Tables'!$A$5:$A$84,0)),"Unknown")</x:f>
        <x:v>Consumer</x:v>
      </x:c>
      <x:c r="F407" s="8" t="str">
        <x:v>Lucknow</x:v>
      </x:c>
      <x:c r="G407" s="8" t="str">
        <x:f>IFERROR(INDEX('Lookup Tables'!$N$5:$N$14,MATCH(F407,'Lookup Tables'!$M$5:$M$14,0)),"Unknown")</x:f>
        <x:v>North</x:v>
      </x:c>
      <x:c r="H407" s="8" t="str">
        <x:v>PRD-006</x:v>
      </x:c>
      <x:c r="I407" s="8" t="str">
        <x:f>IFERROR(INDEX('Lookup Tables'!$G$5:$G$16,MATCH(H407,'Lookup Tables'!$F$5:$F$16,0)),"Unknown Product")</x:f>
        <x:v>Desk Organiser</x:v>
      </x:c>
      <x:c r="J407" s="8" t="str">
        <x:f>IFERROR(INDEX('Lookup Tables'!$H$5:$H$16,MATCH(H407,'Lookup Tables'!$F$5:$F$16,0)),"Unknown")</x:f>
        <x:v>Office Supplies</x:v>
      </x:c>
      <x:c r="K407" s="8" t="n">
        <x:v>4</x:v>
      </x:c>
      <x:c r="L407" s="9" t="n">
        <x:f>IFERROR(INDEX('Lookup Tables'!$I$5:$I$16,MATCH(H407,'Lookup Tables'!$F$5:$F$16,0)),0)</x:f>
        <x:v>699</x:v>
      </x:c>
      <x:c r="M407" s="23" t="n">
        <x:f>IF('Raw Data'!M407="",0,'Raw Data'!M407)</x:f>
        <x:v>0.15</x:v>
      </x:c>
      <x:c r="N407" s="9" t="n">
        <x:f>IF(S407="Completed",K407*L407*(1-M407),0)</x:f>
        <x:v>2376.6</x:v>
      </x:c>
      <x:c r="O407" s="9" t="n">
        <x:f>IFERROR(INDEX('Lookup Tables'!$J$5:$J$16,MATCH(H407,'Lookup Tables'!$F$5:$F$16,0)),0)</x:f>
        <x:v>390</x:v>
      </x:c>
      <x:c r="P407" s="9" t="n">
        <x:f>IF(S407="Completed",K407*O407,0)</x:f>
        <x:v>1560</x:v>
      </x:c>
      <x:c r="Q407" s="9" t="n">
        <x:f>N407-P407</x:f>
        <x:v>816.5999999999999</x:v>
      </x:c>
      <x:c r="R407" s="8" t="str">
        <x:f>IF(LOWER('Raw Data'!N407)="upi","UPI",'Raw Data'!N407)</x:f>
        <x:v>Credit Card</x:v>
      </x:c>
      <x:c r="S407" s="8" t="str">
        <x:v>Completed</x:v>
      </x:c>
      <x:c r="T407" s="8" t="str">
        <x:f>TEXT(B407,"mmm yyyy")</x:f>
        <x:v>Jan 2025</x:v>
      </x:c>
      <x:c r="U407" s="8" t="n">
        <x:f>YEAR(B407)</x:f>
        <x:v>2025</x:v>
      </x:c>
    </x:row>
    <x:row r="408">
      <x:c r="A408" s="8" t="str">
        <x:v>ORD-0404</x:v>
      </x:c>
      <x:c r="B408" s="22" t="n">
        <x:v>45755.87039399306</x:v>
      </x:c>
      <x:c r="C408" s="8" t="str">
        <x:v>CUS-004</x:v>
      </x:c>
      <x:c r="D408" s="8" t="str">
        <x:f>IFERROR(INDEX('Lookup Tables'!$B$5:$B$84,MATCH(C408,'Lookup Tables'!$A$5:$A$84,0)),"Unknown Customer")</x:f>
        <x:v>Ananya Gupta</x:v>
      </x:c>
      <x:c r="E408" s="8" t="str">
        <x:f>IFERROR(INDEX('Lookup Tables'!$C$5:$C$84,MATCH(C408,'Lookup Tables'!$A$5:$A$84,0)),"Unknown")</x:f>
        <x:v>Consumer</x:v>
      </x:c>
      <x:c r="F408" s="8" t="str">
        <x:v>Hyderabad</x:v>
      </x:c>
      <x:c r="G408" s="8" t="str">
        <x:f>IFERROR(INDEX('Lookup Tables'!$N$5:$N$14,MATCH(F408,'Lookup Tables'!$M$5:$M$14,0)),"Unknown")</x:f>
        <x:v>South</x:v>
      </x:c>
      <x:c r="H408" s="8" t="str">
        <x:v>PRD-012</x:v>
      </x:c>
      <x:c r="I408" s="8" t="str">
        <x:f>IFERROR(INDEX('Lookup Tables'!$G$5:$G$16,MATCH(H408,'Lookup Tables'!$F$5:$F$16,0)),"Unknown Product")</x:f>
        <x:v>Stainless Water Bottle</x:v>
      </x:c>
      <x:c r="J408" s="8" t="str">
        <x:f>IFERROR(INDEX('Lookup Tables'!$H$5:$H$16,MATCH(H408,'Lookup Tables'!$F$5:$F$16,0)),"Unknown")</x:f>
        <x:v>Lifestyle</x:v>
      </x:c>
      <x:c r="K408" s="8" t="n">
        <x:v>2</x:v>
      </x:c>
      <x:c r="L408" s="9" t="n">
        <x:f>IFERROR(INDEX('Lookup Tables'!$I$5:$I$16,MATCH(H408,'Lookup Tables'!$F$5:$F$16,0)),0)</x:f>
        <x:v>799</x:v>
      </x:c>
      <x:c r="M408" s="23" t="n">
        <x:f>IF('Raw Data'!M408="",0,'Raw Data'!M408)</x:f>
        <x:v>0</x:v>
      </x:c>
      <x:c r="N408" s="9" t="n">
        <x:f>IF(S408="Completed",K408*L408*(1-M408),0)</x:f>
        <x:v>1598</x:v>
      </x:c>
      <x:c r="O408" s="9" t="n">
        <x:f>IFERROR(INDEX('Lookup Tables'!$J$5:$J$16,MATCH(H408,'Lookup Tables'!$F$5:$F$16,0)),0)</x:f>
        <x:v>410</x:v>
      </x:c>
      <x:c r="P408" s="9" t="n">
        <x:f>IF(S408="Completed",K408*O408,0)</x:f>
        <x:v>820</x:v>
      </x:c>
      <x:c r="Q408" s="9" t="n">
        <x:f>N408-P408</x:f>
        <x:v>778</x:v>
      </x:c>
      <x:c r="R408" s="8" t="str">
        <x:f>IF(LOWER('Raw Data'!N408)="upi","UPI",'Raw Data'!N408)</x:f>
        <x:v>UPI</x:v>
      </x:c>
      <x:c r="S408" s="8" t="str">
        <x:v>Completed</x:v>
      </x:c>
      <x:c r="T408" s="8" t="str">
        <x:f>TEXT(B408,"mmm yyyy")</x:f>
        <x:v>Apr 2025</x:v>
      </x:c>
      <x:c r="U408" s="8" t="n">
        <x:f>YEAR(B408)</x:f>
        <x:v>2025</x:v>
      </x:c>
    </x:row>
    <x:row r="409">
      <x:c r="A409" s="8" t="str">
        <x:v>ORD-0405</x:v>
      </x:c>
      <x:c r="B409" s="22" t="n">
        <x:v>45769.92294761574</x:v>
      </x:c>
      <x:c r="C409" s="8" t="str">
        <x:v>CUS-069</x:v>
      </x:c>
      <x:c r="D409" s="8" t="str">
        <x:f>IFERROR(INDEX('Lookup Tables'!$B$5:$B$84,MATCH(C409,'Lookup Tables'!$A$5:$A$84,0)),"Unknown Customer")</x:f>
        <x:v>Rohan Das 4</x:v>
      </x:c>
      <x:c r="E409" s="8" t="str">
        <x:f>IFERROR(INDEX('Lookup Tables'!$C$5:$C$84,MATCH(C409,'Lookup Tables'!$A$5:$A$84,0)),"Unknown")</x:f>
        <x:v>Small Business</x:v>
      </x:c>
      <x:c r="F409" s="8" t="str">
        <x:v>Mumbai</x:v>
      </x:c>
      <x:c r="G409" s="8" t="str">
        <x:f>IFERROR(INDEX('Lookup Tables'!$N$5:$N$14,MATCH(F409,'Lookup Tables'!$M$5:$M$14,0)),"Unknown")</x:f>
        <x:v>West</x:v>
      </x:c>
      <x:c r="H409" s="8" t="str">
        <x:v>PRD-007</x:v>
      </x:c>
      <x:c r="I409" s="8" t="str">
        <x:f>IFERROR(INDEX('Lookup Tables'!$G$5:$G$16,MATCH(H409,'Lookup Tables'!$F$5:$F$16,0)),"Unknown Product")</x:f>
        <x:v>Electric Kettle</x:v>
      </x:c>
      <x:c r="J409" s="8" t="str">
        <x:f>IFERROR(INDEX('Lookup Tables'!$H$5:$H$16,MATCH(H409,'Lookup Tables'!$F$5:$F$16,0)),"Unknown")</x:f>
        <x:v>Home &amp; Kitchen</x:v>
      </x:c>
      <x:c r="K409" s="8" t="n">
        <x:v>5</x:v>
      </x:c>
      <x:c r="L409" s="9" t="n">
        <x:f>IFERROR(INDEX('Lookup Tables'!$I$5:$I$16,MATCH(H409,'Lookup Tables'!$F$5:$F$16,0)),0)</x:f>
        <x:v>1699</x:v>
      </x:c>
      <x:c r="M409" s="23" t="n">
        <x:f>IF('Raw Data'!M409="",0,'Raw Data'!M409)</x:f>
        <x:v>0</x:v>
      </x:c>
      <x:c r="N409" s="9" t="n">
        <x:f>IF(S409="Completed",K409*L409*(1-M409),0)</x:f>
        <x:v>8495</x:v>
      </x:c>
      <x:c r="O409" s="9" t="n">
        <x:f>IFERROR(INDEX('Lookup Tables'!$J$5:$J$16,MATCH(H409,'Lookup Tables'!$F$5:$F$16,0)),0)</x:f>
        <x:v>1040</x:v>
      </x:c>
      <x:c r="P409" s="9" t="n">
        <x:f>IF(S409="Completed",K409*O409,0)</x:f>
        <x:v>5200</x:v>
      </x:c>
      <x:c r="Q409" s="9" t="n">
        <x:f>N409-P409</x:f>
        <x:v>3295</x:v>
      </x:c>
      <x:c r="R409" s="8" t="str">
        <x:f>IF(LOWER('Raw Data'!N409)="upi","UPI",'Raw Data'!N409)</x:f>
        <x:v>Net Banking</x:v>
      </x:c>
      <x:c r="S409" s="8" t="str">
        <x:v>Completed</x:v>
      </x:c>
      <x:c r="T409" s="8" t="str">
        <x:f>TEXT(B409,"mmm yyyy")</x:f>
        <x:v>Apr 2025</x:v>
      </x:c>
      <x:c r="U409" s="8" t="n">
        <x:f>YEAR(B409)</x:f>
        <x:v>2025</x:v>
      </x:c>
    </x:row>
    <x:row r="410">
      <x:c r="A410" s="8" t="str">
        <x:v>ORD-0406</x:v>
      </x:c>
      <x:c r="B410" s="22" t="n">
        <x:v>45711.001258599536</x:v>
      </x:c>
      <x:c r="C410" s="8" t="str">
        <x:v>CUS-050</x:v>
      </x:c>
      <x:c r="D410" s="8" t="str">
        <x:f>IFERROR(INDEX('Lookup Tables'!$B$5:$B$84,MATCH(C410,'Lookup Tables'!$A$5:$A$84,0)),"Unknown Customer")</x:f>
        <x:v>Saanvi Iyer 3</x:v>
      </x:c>
      <x:c r="E410" s="8" t="str">
        <x:f>IFERROR(INDEX('Lookup Tables'!$C$5:$C$84,MATCH(C410,'Lookup Tables'!$A$5:$A$84,0)),"Unknown")</x:f>
        <x:v>Corporate</x:v>
      </x:c>
      <x:c r="F410" s="8" t="str">
        <x:v>Hyderabad</x:v>
      </x:c>
      <x:c r="G410" s="8" t="str">
        <x:f>IFERROR(INDEX('Lookup Tables'!$N$5:$N$14,MATCH(F410,'Lookup Tables'!$M$5:$M$14,0)),"Unknown")</x:f>
        <x:v>South</x:v>
      </x:c>
      <x:c r="H410" s="8" t="str">
        <x:v>PRD-010</x:v>
      </x:c>
      <x:c r="I410" s="8" t="str">
        <x:f>IFERROR(INDEX('Lookup Tables'!$G$5:$G$16,MATCH(H410,'Lookup Tables'!$F$5:$F$16,0)),"Unknown Product")</x:f>
        <x:v>Travel Backpack</x:v>
      </x:c>
      <x:c r="J410" s="8" t="str">
        <x:f>IFERROR(INDEX('Lookup Tables'!$H$5:$H$16,MATCH(H410,'Lookup Tables'!$F$5:$F$16,0)),"Unknown")</x:f>
        <x:v>Fashion</x:v>
      </x:c>
      <x:c r="K410" s="8" t="n">
        <x:v>5</x:v>
      </x:c>
      <x:c r="L410" s="9" t="n">
        <x:f>IFERROR(INDEX('Lookup Tables'!$I$5:$I$16,MATCH(H410,'Lookup Tables'!$F$5:$F$16,0)),0)</x:f>
        <x:v>2199</x:v>
      </x:c>
      <x:c r="M410" s="23" t="n">
        <x:f>IF('Raw Data'!M410="",0,'Raw Data'!M410)</x:f>
        <x:v>0</x:v>
      </x:c>
      <x:c r="N410" s="9" t="n">
        <x:f>IF(S410="Completed",K410*L410*(1-M410),0)</x:f>
        <x:v>10995</x:v>
      </x:c>
      <x:c r="O410" s="9" t="n">
        <x:f>IFERROR(INDEX('Lookup Tables'!$J$5:$J$16,MATCH(H410,'Lookup Tables'!$F$5:$F$16,0)),0)</x:f>
        <x:v>1380</x:v>
      </x:c>
      <x:c r="P410" s="9" t="n">
        <x:f>IF(S410="Completed",K410*O410,0)</x:f>
        <x:v>6900</x:v>
      </x:c>
      <x:c r="Q410" s="9" t="n">
        <x:f>N410-P410</x:f>
        <x:v>4095</x:v>
      </x:c>
      <x:c r="R410" s="8" t="str">
        <x:f>IF(LOWER('Raw Data'!N410)="upi","UPI",'Raw Data'!N410)</x:f>
        <x:v>Debit Card</x:v>
      </x:c>
      <x:c r="S410" s="8" t="str">
        <x:v>Completed</x:v>
      </x:c>
      <x:c r="T410" s="8" t="str">
        <x:f>TEXT(B410,"mmm yyyy")</x:f>
        <x:v>Feb 2025</x:v>
      </x:c>
      <x:c r="U410" s="8" t="n">
        <x:f>YEAR(B410)</x:f>
        <x:v>2025</x:v>
      </x:c>
    </x:row>
    <x:row r="411">
      <x:c r="A411" s="8" t="str">
        <x:v>ORD-0407</x:v>
      </x:c>
      <x:c r="B411" s="22" t="n">
        <x:v>45676.93287412037</x:v>
      </x:c>
      <x:c r="C411" s="8" t="str">
        <x:v>CUS-079</x:v>
      </x:c>
      <x:c r="D411" s="8" t="str">
        <x:f>IFERROR(INDEX('Lookup Tables'!$B$5:$B$84,MATCH(C411,'Lookup Tables'!$A$5:$A$84,0)),"Unknown Customer")</x:f>
        <x:v>Siddharth Jain 4</x:v>
      </x:c>
      <x:c r="E411" s="8" t="str">
        <x:f>IFERROR(INDEX('Lookup Tables'!$C$5:$C$84,MATCH(C411,'Lookup Tables'!$A$5:$A$84,0)),"Unknown")</x:f>
        <x:v>Consumer</x:v>
      </x:c>
      <x:c r="F411" s="8" t="str">
        <x:v>Pune</x:v>
      </x:c>
      <x:c r="G411" s="8" t="str">
        <x:f>IFERROR(INDEX('Lookup Tables'!$N$5:$N$14,MATCH(F411,'Lookup Tables'!$M$5:$M$14,0)),"Unknown")</x:f>
        <x:v>West</x:v>
      </x:c>
      <x:c r="H411" s="8" t="str">
        <x:v>PRD-012</x:v>
      </x:c>
      <x:c r="I411" s="8" t="str">
        <x:f>IFERROR(INDEX('Lookup Tables'!$G$5:$G$16,MATCH(H411,'Lookup Tables'!$F$5:$F$16,0)),"Unknown Product")</x:f>
        <x:v>Stainless Water Bottle</x:v>
      </x:c>
      <x:c r="J411" s="8" t="str">
        <x:f>IFERROR(INDEX('Lookup Tables'!$H$5:$H$16,MATCH(H411,'Lookup Tables'!$F$5:$F$16,0)),"Unknown")</x:f>
        <x:v>Lifestyle</x:v>
      </x:c>
      <x:c r="K411" s="8" t="n">
        <x:v>5</x:v>
      </x:c>
      <x:c r="L411" s="9" t="n">
        <x:f>IFERROR(INDEX('Lookup Tables'!$I$5:$I$16,MATCH(H411,'Lookup Tables'!$F$5:$F$16,0)),0)</x:f>
        <x:v>799</x:v>
      </x:c>
      <x:c r="M411" s="23" t="n">
        <x:f>IF('Raw Data'!M411="",0,'Raw Data'!M411)</x:f>
        <x:v>0.1</x:v>
      </x:c>
      <x:c r="N411" s="9" t="n">
        <x:f>IF(S411="Completed",K411*L411*(1-M411),0)</x:f>
        <x:v>0</x:v>
      </x:c>
      <x:c r="O411" s="9" t="n">
        <x:f>IFERROR(INDEX('Lookup Tables'!$J$5:$J$16,MATCH(H411,'Lookup Tables'!$F$5:$F$16,0)),0)</x:f>
        <x:v>410</x:v>
      </x:c>
      <x:c r="P411" s="9" t="n">
        <x:f>IF(S411="Completed",K411*O411,0)</x:f>
        <x:v>0</x:v>
      </x:c>
      <x:c r="Q411" s="9" t="n">
        <x:f>N411-P411</x:f>
        <x:v>0</x:v>
      </x:c>
      <x:c r="R411" s="8" t="str">
        <x:f>IF(LOWER('Raw Data'!N411)="upi","UPI",'Raw Data'!N411)</x:f>
        <x:v>UPI</x:v>
      </x:c>
      <x:c r="S411" s="8" t="str">
        <x:v>Cancelled</x:v>
      </x:c>
      <x:c r="T411" s="8" t="str">
        <x:f>TEXT(B411,"mmm yyyy")</x:f>
        <x:v>Jan 2025</x:v>
      </x:c>
      <x:c r="U411" s="8" t="n">
        <x:f>YEAR(B411)</x:f>
        <x:v>2025</x:v>
      </x:c>
    </x:row>
    <x:row r="412">
      <x:c r="A412" s="8" t="str">
        <x:v>ORD-0408</x:v>
      </x:c>
      <x:c r="B412" s="22" t="n">
        <x:v>45708.18512212963</x:v>
      </x:c>
      <x:c r="C412" s="8" t="str">
        <x:v>CUS-010</x:v>
      </x:c>
      <x:c r="D412" s="8" t="str">
        <x:f>IFERROR(INDEX('Lookup Tables'!$B$5:$B$84,MATCH(C412,'Lookup Tables'!$A$5:$A$84,0)),"Unknown Customer")</x:f>
        <x:v>Saanvi Iyer</x:v>
      </x:c>
      <x:c r="E412" s="8" t="str">
        <x:f>IFERROR(INDEX('Lookup Tables'!$C$5:$C$84,MATCH(C412,'Lookup Tables'!$A$5:$A$84,0)),"Unknown")</x:f>
        <x:v>Consumer</x:v>
      </x:c>
      <x:c r="F412" s="8" t="str">
        <x:v>Bengaluru</x:v>
      </x:c>
      <x:c r="G412" s="8" t="str">
        <x:f>IFERROR(INDEX('Lookup Tables'!$N$5:$N$14,MATCH(F412,'Lookup Tables'!$M$5:$M$14,0)),"Unknown")</x:f>
        <x:v>South</x:v>
      </x:c>
      <x:c r="H412" s="8" t="str">
        <x:v>PRD-004</x:v>
      </x:c>
      <x:c r="I412" s="8" t="str">
        <x:f>IFERROR(INDEX('Lookup Tables'!$G$5:$G$16,MATCH(H412,'Lookup Tables'!$F$5:$F$16,0)),"Unknown Product")</x:f>
        <x:v>Laptop Stand</x:v>
      </x:c>
      <x:c r="J412" s="8" t="str">
        <x:f>IFERROR(INDEX('Lookup Tables'!$H$5:$H$16,MATCH(H412,'Lookup Tables'!$F$5:$F$16,0)),"Unknown")</x:f>
        <x:v>Office Supplies</x:v>
      </x:c>
      <x:c r="K412" s="8" t="n">
        <x:v>2</x:v>
      </x:c>
      <x:c r="L412" s="9" t="n">
        <x:f>IFERROR(INDEX('Lookup Tables'!$I$5:$I$16,MATCH(H412,'Lookup Tables'!$F$5:$F$16,0)),0)</x:f>
        <x:v>1299</x:v>
      </x:c>
      <x:c r="M412" s="23" t="n">
        <x:f>IF('Raw Data'!M412="",0,'Raw Data'!M412)</x:f>
        <x:v>0.05</x:v>
      </x:c>
      <x:c r="N412" s="9" t="n">
        <x:f>IF(S412="Completed",K412*L412*(1-M412),0)</x:f>
        <x:v>2468.1</x:v>
      </x:c>
      <x:c r="O412" s="9" t="n">
        <x:f>IFERROR(INDEX('Lookup Tables'!$J$5:$J$16,MATCH(H412,'Lookup Tables'!$F$5:$F$16,0)),0)</x:f>
        <x:v>760</x:v>
      </x:c>
      <x:c r="P412" s="9" t="n">
        <x:f>IF(S412="Completed",K412*O412,0)</x:f>
        <x:v>1520</x:v>
      </x:c>
      <x:c r="Q412" s="9" t="n">
        <x:f>N412-P412</x:f>
        <x:v>948.0999999999999</x:v>
      </x:c>
      <x:c r="R412" s="8" t="str">
        <x:f>IF(LOWER('Raw Data'!N412)="upi","UPI",'Raw Data'!N412)</x:f>
        <x:v>Cash on Delivery</x:v>
      </x:c>
      <x:c r="S412" s="8" t="str">
        <x:v>Completed</x:v>
      </x:c>
      <x:c r="T412" s="8" t="str">
        <x:f>TEXT(B412,"mmm yyyy")</x:f>
        <x:v>Feb 2025</x:v>
      </x:c>
      <x:c r="U412" s="8" t="n">
        <x:f>YEAR(B412)</x:f>
        <x:v>2025</x:v>
      </x:c>
    </x:row>
    <x:row r="413">
      <x:c r="A413" s="8" t="str">
        <x:v>ORD-0409</x:v>
      </x:c>
      <x:c r="B413" s="22" t="n">
        <x:v>46006.46227505787</x:v>
      </x:c>
      <x:c r="C413" s="8" t="str">
        <x:v>CUS-016</x:v>
      </x:c>
      <x:c r="D413" s="8" t="str">
        <x:f>IFERROR(INDEX('Lookup Tables'!$B$5:$B$84,MATCH(C413,'Lookup Tables'!$A$5:$A$84,0)),"Unknown Customer")</x:f>
        <x:v>Pooja Saxena</x:v>
      </x:c>
      <x:c r="E413" s="8" t="str">
        <x:f>IFERROR(INDEX('Lookup Tables'!$C$5:$C$84,MATCH(C413,'Lookup Tables'!$A$5:$A$84,0)),"Unknown")</x:f>
        <x:v>Consumer</x:v>
      </x:c>
      <x:c r="F413" s="8" t="str">
        <x:v>Kolkata</x:v>
      </x:c>
      <x:c r="G413" s="8" t="str">
        <x:f>IFERROR(INDEX('Lookup Tables'!$N$5:$N$14,MATCH(F413,'Lookup Tables'!$M$5:$M$14,0)),"Unknown")</x:f>
        <x:v>East</x:v>
      </x:c>
      <x:c r="H413" s="8" t="str">
        <x:v>PRD-009</x:v>
      </x:c>
      <x:c r="I413" s="8" t="str">
        <x:f>IFERROR(INDEX('Lookup Tables'!$G$5:$G$16,MATCH(H413,'Lookup Tables'!$F$5:$F$16,0)),"Unknown Product")</x:f>
        <x:v>Table Lamp</x:v>
      </x:c>
      <x:c r="J413" s="8" t="str">
        <x:f>IFERROR(INDEX('Lookup Tables'!$H$5:$H$16,MATCH(H413,'Lookup Tables'!$F$5:$F$16,0)),"Unknown")</x:f>
        <x:v>Home &amp; Kitchen</x:v>
      </x:c>
      <x:c r="K413" s="8" t="n">
        <x:v>2</x:v>
      </x:c>
      <x:c r="L413" s="9" t="n">
        <x:f>IFERROR(INDEX('Lookup Tables'!$I$5:$I$16,MATCH(H413,'Lookup Tables'!$F$5:$F$16,0)),0)</x:f>
        <x:v>1499</x:v>
      </x:c>
      <x:c r="M413" s="23" t="n">
        <x:f>IF('Raw Data'!M413="",0,'Raw Data'!M413)</x:f>
        <x:v>0.2</x:v>
      </x:c>
      <x:c r="N413" s="9" t="n">
        <x:f>IF(S413="Completed",K413*L413*(1-M413),0)</x:f>
        <x:v>0</x:v>
      </x:c>
      <x:c r="O413" s="9" t="n">
        <x:f>IFERROR(INDEX('Lookup Tables'!$J$5:$J$16,MATCH(H413,'Lookup Tables'!$F$5:$F$16,0)),0)</x:f>
        <x:v>920</x:v>
      </x:c>
      <x:c r="P413" s="9" t="n">
        <x:f>IF(S413="Completed",K413*O413,0)</x:f>
        <x:v>0</x:v>
      </x:c>
      <x:c r="Q413" s="9" t="n">
        <x:f>N413-P413</x:f>
        <x:v>0</x:v>
      </x:c>
      <x:c r="R413" s="8" t="str">
        <x:f>IF(LOWER('Raw Data'!N413)="upi","UPI",'Raw Data'!N413)</x:f>
        <x:v>Debit Card</x:v>
      </x:c>
      <x:c r="S413" s="8" t="str">
        <x:v>Returned</x:v>
      </x:c>
      <x:c r="T413" s="8" t="str">
        <x:f>TEXT(B413,"mmm yyyy")</x:f>
        <x:v>Dec 2025</x:v>
      </x:c>
      <x:c r="U413" s="8" t="n">
        <x:f>YEAR(B413)</x:f>
        <x:v>2025</x:v>
      </x:c>
    </x:row>
    <x:row r="414">
      <x:c r="A414" s="8" t="str">
        <x:v>ORD-0410</x:v>
      </x:c>
      <x:c r="B414" s="22" t="n">
        <x:v>46015.994871180555</x:v>
      </x:c>
      <x:c r="C414" s="8" t="str">
        <x:v>CUS-061</x:v>
      </x:c>
      <x:c r="D414" s="8" t="str">
        <x:f>IFERROR(INDEX('Lookup Tables'!$B$5:$B$84,MATCH(C414,'Lookup Tables'!$A$5:$A$84,0)),"Unknown Customer")</x:f>
        <x:v>Aarav Sharma 4</x:v>
      </x:c>
      <x:c r="E414" s="8" t="str">
        <x:f>IFERROR(INDEX('Lookup Tables'!$C$5:$C$84,MATCH(C414,'Lookup Tables'!$A$5:$A$84,0)),"Unknown")</x:f>
        <x:v>Consumer</x:v>
      </x:c>
      <x:c r="F414" s="8" t="str">
        <x:v>Kolkata</x:v>
      </x:c>
      <x:c r="G414" s="8" t="str">
        <x:f>IFERROR(INDEX('Lookup Tables'!$N$5:$N$14,MATCH(F414,'Lookup Tables'!$M$5:$M$14,0)),"Unknown")</x:f>
        <x:v>East</x:v>
      </x:c>
      <x:c r="H414" s="8" t="str">
        <x:v>PRD-005</x:v>
      </x:c>
      <x:c r="I414" s="8" t="str">
        <x:f>IFERROR(INDEX('Lookup Tables'!$G$5:$G$16,MATCH(H414,'Lookup Tables'!$F$5:$F$16,0)),"Unknown Product")</x:f>
        <x:v>Executive Notebook</x:v>
      </x:c>
      <x:c r="J414" s="8" t="str">
        <x:f>IFERROR(INDEX('Lookup Tables'!$H$5:$H$16,MATCH(H414,'Lookup Tables'!$F$5:$F$16,0)),"Unknown")</x:f>
        <x:v>Office Supplies</x:v>
      </x:c>
      <x:c r="K414" s="8" t="n">
        <x:v>3</x:v>
      </x:c>
      <x:c r="L414" s="9" t="n">
        <x:f>IFERROR(INDEX('Lookup Tables'!$I$5:$I$16,MATCH(H414,'Lookup Tables'!$F$5:$F$16,0)),0)</x:f>
        <x:v>349</x:v>
      </x:c>
      <x:c r="M414" s="23" t="n">
        <x:f>IF('Raw Data'!M414="",0,'Raw Data'!M414)</x:f>
        <x:v>0</x:v>
      </x:c>
      <x:c r="N414" s="9" t="n">
        <x:f>IF(S414="Completed",K414*L414*(1-M414),0)</x:f>
        <x:v>0</x:v>
      </x:c>
      <x:c r="O414" s="9" t="n">
        <x:f>IFERROR(INDEX('Lookup Tables'!$J$5:$J$16,MATCH(H414,'Lookup Tables'!$F$5:$F$16,0)),0)</x:f>
        <x:v>170</x:v>
      </x:c>
      <x:c r="P414" s="9" t="n">
        <x:f>IF(S414="Completed",K414*O414,0)</x:f>
        <x:v>0</x:v>
      </x:c>
      <x:c r="Q414" s="9" t="n">
        <x:f>N414-P414</x:f>
        <x:v>0</x:v>
      </x:c>
      <x:c r="R414" s="8" t="str">
        <x:f>IF(LOWER('Raw Data'!N414)="upi","UPI",'Raw Data'!N414)</x:f>
        <x:v>Net Banking</x:v>
      </x:c>
      <x:c r="S414" s="8" t="str">
        <x:v>Returned</x:v>
      </x:c>
      <x:c r="T414" s="8" t="str">
        <x:f>TEXT(B414,"mmm yyyy")</x:f>
        <x:v>Dec 2025</x:v>
      </x:c>
      <x:c r="U414" s="8" t="n">
        <x:f>YEAR(B414)</x:f>
        <x:v>2025</x:v>
      </x:c>
    </x:row>
    <x:row r="415">
      <x:c r="A415" s="8" t="str">
        <x:v>ORD-0411</x:v>
      </x:c>
      <x:c r="B415" s="22" t="n">
        <x:v>45685.19920527778</x:v>
      </x:c>
      <x:c r="C415" s="8" t="str">
        <x:v>CUS-007</x:v>
      </x:c>
      <x:c r="D415" s="8" t="str">
        <x:f>IFERROR(INDEX('Lookup Tables'!$B$5:$B$84,MATCH(C415,'Lookup Tables'!$A$5:$A$84,0)),"Unknown Customer")</x:f>
        <x:v>Kabir Khan</x:v>
      </x:c>
      <x:c r="E415" s="8" t="str">
        <x:f>IFERROR(INDEX('Lookup Tables'!$C$5:$C$84,MATCH(C415,'Lookup Tables'!$A$5:$A$84,0)),"Unknown")</x:f>
        <x:v>Consumer</x:v>
      </x:c>
      <x:c r="F415" s="8" t="str">
        <x:v>Ahmedabad</x:v>
      </x:c>
      <x:c r="G415" s="8" t="str">
        <x:f>IFERROR(INDEX('Lookup Tables'!$N$5:$N$14,MATCH(F415,'Lookup Tables'!$M$5:$M$14,0)),"Unknown")</x:f>
        <x:v>West</x:v>
      </x:c>
      <x:c r="H415" s="8" t="str">
        <x:v>PRD-005</x:v>
      </x:c>
      <x:c r="I415" s="8" t="str">
        <x:f>IFERROR(INDEX('Lookup Tables'!$G$5:$G$16,MATCH(H415,'Lookup Tables'!$F$5:$F$16,0)),"Unknown Product")</x:f>
        <x:v>Executive Notebook</x:v>
      </x:c>
      <x:c r="J415" s="8" t="str">
        <x:f>IFERROR(INDEX('Lookup Tables'!$H$5:$H$16,MATCH(H415,'Lookup Tables'!$F$5:$F$16,0)),"Unknown")</x:f>
        <x:v>Office Supplies</x:v>
      </x:c>
      <x:c r="K415" s="8" t="n">
        <x:v>1</x:v>
      </x:c>
      <x:c r="L415" s="9" t="n">
        <x:f>IFERROR(INDEX('Lookup Tables'!$I$5:$I$16,MATCH(H415,'Lookup Tables'!$F$5:$F$16,0)),0)</x:f>
        <x:v>349</x:v>
      </x:c>
      <x:c r="M415" s="23" t="n">
        <x:f>IF('Raw Data'!M415="",0,'Raw Data'!M415)</x:f>
        <x:v>0</x:v>
      </x:c>
      <x:c r="N415" s="9" t="n">
        <x:f>IF(S415="Completed",K415*L415*(1-M415),0)</x:f>
        <x:v>0</x:v>
      </x:c>
      <x:c r="O415" s="9" t="n">
        <x:f>IFERROR(INDEX('Lookup Tables'!$J$5:$J$16,MATCH(H415,'Lookup Tables'!$F$5:$F$16,0)),0)</x:f>
        <x:v>170</x:v>
      </x:c>
      <x:c r="P415" s="9" t="n">
        <x:f>IF(S415="Completed",K415*O415,0)</x:f>
        <x:v>0</x:v>
      </x:c>
      <x:c r="Q415" s="9" t="n">
        <x:f>N415-P415</x:f>
        <x:v>0</x:v>
      </x:c>
      <x:c r="R415" s="8" t="str">
        <x:f>IF(LOWER('Raw Data'!N415)="upi","UPI",'Raw Data'!N415)</x:f>
        <x:v>Debit Card</x:v>
      </x:c>
      <x:c r="S415" s="8" t="str">
        <x:v>Returned</x:v>
      </x:c>
      <x:c r="T415" s="8" t="str">
        <x:f>TEXT(B415,"mmm yyyy")</x:f>
        <x:v>Jan 2025</x:v>
      </x:c>
      <x:c r="U415" s="8" t="n">
        <x:f>YEAR(B415)</x:f>
        <x:v>2025</x:v>
      </x:c>
    </x:row>
    <x:row r="416">
      <x:c r="A416" s="8" t="str">
        <x:v>ORD-0412</x:v>
      </x:c>
      <x:c r="B416" s="22" t="n">
        <x:v>45740.82814462963</x:v>
      </x:c>
      <x:c r="C416" s="8" t="str">
        <x:v>CUS-046</x:v>
      </x:c>
      <x:c r="D416" s="8" t="str">
        <x:f>IFERROR(INDEX('Lookup Tables'!$B$5:$B$84,MATCH(C416,'Lookup Tables'!$A$5:$A$84,0)),"Unknown Customer")</x:f>
        <x:v>Isha Mehta 3</x:v>
      </x:c>
      <x:c r="E416" s="8" t="str">
        <x:f>IFERROR(INDEX('Lookup Tables'!$C$5:$C$84,MATCH(C416,'Lookup Tables'!$A$5:$A$84,0)),"Unknown")</x:f>
        <x:v>Consumer</x:v>
      </x:c>
      <x:c r="F416" s="8" t="str">
        <x:v>Ahmedabad</x:v>
      </x:c>
      <x:c r="G416" s="8" t="str">
        <x:f>IFERROR(INDEX('Lookup Tables'!$N$5:$N$14,MATCH(F416,'Lookup Tables'!$M$5:$M$14,0)),"Unknown")</x:f>
        <x:v>West</x:v>
      </x:c>
      <x:c r="H416" s="8" t="str">
        <x:v>PRD-008</x:v>
      </x:c>
      <x:c r="I416" s="8" t="str">
        <x:f>IFERROR(INDEX('Lookup Tables'!$G$5:$G$16,MATCH(H416,'Lookup Tables'!$F$5:$F$16,0)),"Unknown Product")</x:f>
        <x:v>Storage Container Set</x:v>
      </x:c>
      <x:c r="J416" s="8" t="str">
        <x:f>IFERROR(INDEX('Lookup Tables'!$H$5:$H$16,MATCH(H416,'Lookup Tables'!$F$5:$F$16,0)),"Unknown")</x:f>
        <x:v>Home &amp; Kitchen</x:v>
      </x:c>
      <x:c r="K416" s="8" t="n">
        <x:v>1</x:v>
      </x:c>
      <x:c r="L416" s="9" t="n">
        <x:f>IFERROR(INDEX('Lookup Tables'!$I$5:$I$16,MATCH(H416,'Lookup Tables'!$F$5:$F$16,0)),0)</x:f>
        <x:v>999</x:v>
      </x:c>
      <x:c r="M416" s="23" t="n">
        <x:f>IF('Raw Data'!M416="",0,'Raw Data'!M416)</x:f>
        <x:v>0.1</x:v>
      </x:c>
      <x:c r="N416" s="9" t="n">
        <x:f>IF(S416="Completed",K416*L416*(1-M416),0)</x:f>
        <x:v>899.1</x:v>
      </x:c>
      <x:c r="O416" s="9" t="n">
        <x:f>IFERROR(INDEX('Lookup Tables'!$J$5:$J$16,MATCH(H416,'Lookup Tables'!$F$5:$F$16,0)),0)</x:f>
        <x:v>580</x:v>
      </x:c>
      <x:c r="P416" s="9" t="n">
        <x:f>IF(S416="Completed",K416*O416,0)</x:f>
        <x:v>580</x:v>
      </x:c>
      <x:c r="Q416" s="9" t="n">
        <x:f>N416-P416</x:f>
        <x:v>319.1</x:v>
      </x:c>
      <x:c r="R416" s="8" t="str">
        <x:f>IF(LOWER('Raw Data'!N416)="upi","UPI",'Raw Data'!N416)</x:f>
        <x:v>UPI</x:v>
      </x:c>
      <x:c r="S416" s="8" t="str">
        <x:v>Completed</x:v>
      </x:c>
      <x:c r="T416" s="8" t="str">
        <x:f>TEXT(B416,"mmm yyyy")</x:f>
        <x:v>Mar 2025</x:v>
      </x:c>
      <x:c r="U416" s="8" t="n">
        <x:f>YEAR(B416)</x:f>
        <x:v>2025</x:v>
      </x:c>
    </x:row>
    <x:row r="417">
      <x:c r="A417" s="8" t="str">
        <x:v>ORD-0413</x:v>
      </x:c>
      <x:c r="B417" s="22" t="n">
        <x:v>45855.36410255787</x:v>
      </x:c>
      <x:c r="C417" s="8" t="str">
        <x:v>CUS-071</x:v>
      </x:c>
      <x:c r="D417" s="8" t="str">
        <x:f>IFERROR(INDEX('Lookup Tables'!$B$5:$B$84,MATCH(C417,'Lookup Tables'!$A$5:$A$84,0)),"Unknown Customer")</x:f>
        <x:v>Aditya Joshi 4</x:v>
      </x:c>
      <x:c r="E417" s="8" t="str">
        <x:f>IFERROR(INDEX('Lookup Tables'!$C$5:$C$84,MATCH(C417,'Lookup Tables'!$A$5:$A$84,0)),"Unknown")</x:f>
        <x:v>Corporate</x:v>
      </x:c>
      <x:c r="F417" s="8" t="str">
        <x:v>Bengaluru</x:v>
      </x:c>
      <x:c r="G417" s="8" t="str">
        <x:f>IFERROR(INDEX('Lookup Tables'!$N$5:$N$14,MATCH(F417,'Lookup Tables'!$M$5:$M$14,0)),"Unknown")</x:f>
        <x:v>South</x:v>
      </x:c>
      <x:c r="H417" s="8" t="str">
        <x:v>PRD-006</x:v>
      </x:c>
      <x:c r="I417" s="8" t="str">
        <x:f>IFERROR(INDEX('Lookup Tables'!$G$5:$G$16,MATCH(H417,'Lookup Tables'!$F$5:$F$16,0)),"Unknown Product")</x:f>
        <x:v>Desk Organiser</x:v>
      </x:c>
      <x:c r="J417" s="8" t="str">
        <x:f>IFERROR(INDEX('Lookup Tables'!$H$5:$H$16,MATCH(H417,'Lookup Tables'!$F$5:$F$16,0)),"Unknown")</x:f>
        <x:v>Office Supplies</x:v>
      </x:c>
      <x:c r="K417" s="8" t="n">
        <x:v>4</x:v>
      </x:c>
      <x:c r="L417" s="9" t="n">
        <x:f>IFERROR(INDEX('Lookup Tables'!$I$5:$I$16,MATCH(H417,'Lookup Tables'!$F$5:$F$16,0)),0)</x:f>
        <x:v>699</x:v>
      </x:c>
      <x:c r="M417" s="23" t="n">
        <x:f>IF('Raw Data'!M417="",0,'Raw Data'!M417)</x:f>
        <x:v>0</x:v>
      </x:c>
      <x:c r="N417" s="9" t="n">
        <x:f>IF(S417="Completed",K417*L417*(1-M417),0)</x:f>
        <x:v>0</x:v>
      </x:c>
      <x:c r="O417" s="9" t="n">
        <x:f>IFERROR(INDEX('Lookup Tables'!$J$5:$J$16,MATCH(H417,'Lookup Tables'!$F$5:$F$16,0)),0)</x:f>
        <x:v>390</x:v>
      </x:c>
      <x:c r="P417" s="9" t="n">
        <x:f>IF(S417="Completed",K417*O417,0)</x:f>
        <x:v>0</x:v>
      </x:c>
      <x:c r="Q417" s="9" t="n">
        <x:f>N417-P417</x:f>
        <x:v>0</x:v>
      </x:c>
      <x:c r="R417" s="8" t="str">
        <x:f>IF(LOWER('Raw Data'!N417)="upi","UPI",'Raw Data'!N417)</x:f>
        <x:v>Debit Card</x:v>
      </x:c>
      <x:c r="S417" s="8" t="str">
        <x:v>Returned</x:v>
      </x:c>
      <x:c r="T417" s="8" t="str">
        <x:f>TEXT(B417,"mmm yyyy")</x:f>
        <x:v>Jul 2025</x:v>
      </x:c>
      <x:c r="U417" s="8" t="n">
        <x:f>YEAR(B417)</x:f>
        <x:v>2025</x:v>
      </x:c>
    </x:row>
    <x:row r="418">
      <x:c r="A418" s="8" t="str">
        <x:v>ORD-0414</x:v>
      </x:c>
      <x:c r="B418" s="22" t="n">
        <x:v>45901.05302398148</x:v>
      </x:c>
      <x:c r="C418" s="8" t="str">
        <x:v>CUS-061</x:v>
      </x:c>
      <x:c r="D418" s="8" t="str">
        <x:f>IFERROR(INDEX('Lookup Tables'!$B$5:$B$84,MATCH(C418,'Lookup Tables'!$A$5:$A$84,0)),"Unknown Customer")</x:f>
        <x:v>Aarav Sharma 4</x:v>
      </x:c>
      <x:c r="E418" s="8" t="str">
        <x:f>IFERROR(INDEX('Lookup Tables'!$C$5:$C$84,MATCH(C418,'Lookup Tables'!$A$5:$A$84,0)),"Unknown")</x:f>
        <x:v>Consumer</x:v>
      </x:c>
      <x:c r="F418" s="8" t="str">
        <x:v>Delhi</x:v>
      </x:c>
      <x:c r="G418" s="8" t="str">
        <x:f>IFERROR(INDEX('Lookup Tables'!$N$5:$N$14,MATCH(F418,'Lookup Tables'!$M$5:$M$14,0)),"Unknown")</x:f>
        <x:v>North</x:v>
      </x:c>
      <x:c r="H418" s="8" t="str">
        <x:v>PRD-001</x:v>
      </x:c>
      <x:c r="I418" s="8" t="str">
        <x:f>IFERROR(INDEX('Lookup Tables'!$G$5:$G$16,MATCH(H418,'Lookup Tables'!$F$5:$F$16,0)),"Unknown Product")</x:f>
        <x:v>Wireless Mouse</x:v>
      </x:c>
      <x:c r="J418" s="8" t="str">
        <x:f>IFERROR(INDEX('Lookup Tables'!$H$5:$H$16,MATCH(H418,'Lookup Tables'!$F$5:$F$16,0)),"Unknown")</x:f>
        <x:v>Electronics</x:v>
      </x:c>
      <x:c r="K418" s="8" t="n">
        <x:v>3</x:v>
      </x:c>
      <x:c r="L418" s="9" t="n">
        <x:f>IFERROR(INDEX('Lookup Tables'!$I$5:$I$16,MATCH(H418,'Lookup Tables'!$F$5:$F$16,0)),0)</x:f>
        <x:v>899</x:v>
      </x:c>
      <x:c r="M418" s="23" t="n">
        <x:f>IF('Raw Data'!M418="",0,'Raw Data'!M418)</x:f>
        <x:v>0.2</x:v>
      </x:c>
      <x:c r="N418" s="9" t="n">
        <x:f>IF(S418="Completed",K418*L418*(1-M418),0)</x:f>
        <x:v>2157.6</x:v>
      </x:c>
      <x:c r="O418" s="9" t="n">
        <x:f>IFERROR(INDEX('Lookup Tables'!$J$5:$J$16,MATCH(H418,'Lookup Tables'!$F$5:$F$16,0)),0)</x:f>
        <x:v>540</x:v>
      </x:c>
      <x:c r="P418" s="9" t="n">
        <x:f>IF(S418="Completed",K418*O418,0)</x:f>
        <x:v>1620</x:v>
      </x:c>
      <x:c r="Q418" s="9" t="n">
        <x:f>N418-P418</x:f>
        <x:v>537.5999999999999</x:v>
      </x:c>
      <x:c r="R418" s="8" t="str">
        <x:f>IF(LOWER('Raw Data'!N418)="upi","UPI",'Raw Data'!N418)</x:f>
        <x:v>Net Banking</x:v>
      </x:c>
      <x:c r="S418" s="8" t="str">
        <x:v>Completed</x:v>
      </x:c>
      <x:c r="T418" s="8" t="str">
        <x:f>TEXT(B418,"mmm yyyy")</x:f>
        <x:v>Sep 2025</x:v>
      </x:c>
      <x:c r="U418" s="8" t="n">
        <x:f>YEAR(B418)</x:f>
        <x:v>2025</x:v>
      </x:c>
    </x:row>
    <x:row r="419">
      <x:c r="A419" s="8" t="str">
        <x:v>ORD-0415</x:v>
      </x:c>
      <x:c r="B419" s="22" t="n">
        <x:v>45984.13927743056</x:v>
      </x:c>
      <x:c r="C419" s="8" t="str">
        <x:v>CUS-071</x:v>
      </x:c>
      <x:c r="D419" s="8" t="str">
        <x:f>IFERROR(INDEX('Lookup Tables'!$B$5:$B$84,MATCH(C419,'Lookup Tables'!$A$5:$A$84,0)),"Unknown Customer")</x:f>
        <x:v>Aditya Joshi 4</x:v>
      </x:c>
      <x:c r="E419" s="8" t="str">
        <x:f>IFERROR(INDEX('Lookup Tables'!$C$5:$C$84,MATCH(C419,'Lookup Tables'!$A$5:$A$84,0)),"Unknown")</x:f>
        <x:v>Corporate</x:v>
      </x:c>
      <x:c r="F419" s="8" t="str">
        <x:v>Delhi</x:v>
      </x:c>
      <x:c r="G419" s="8" t="str">
        <x:f>IFERROR(INDEX('Lookup Tables'!$N$5:$N$14,MATCH(F419,'Lookup Tables'!$M$5:$M$14,0)),"Unknown")</x:f>
        <x:v>North</x:v>
      </x:c>
      <x:c r="H419" s="8" t="str">
        <x:v>PRD-003</x:v>
      </x:c>
      <x:c r="I419" s="8" t="str">
        <x:f>IFERROR(INDEX('Lookup Tables'!$G$5:$G$16,MATCH(H419,'Lookup Tables'!$F$5:$F$16,0)),"Unknown Product")</x:f>
        <x:v>USB-C Hub</x:v>
      </x:c>
      <x:c r="J419" s="8" t="str">
        <x:f>IFERROR(INDEX('Lookup Tables'!$H$5:$H$16,MATCH(H419,'Lookup Tables'!$F$5:$F$16,0)),"Unknown")</x:f>
        <x:v>Electronics</x:v>
      </x:c>
      <x:c r="K419" s="8" t="n">
        <x:v>3</x:v>
      </x:c>
      <x:c r="L419" s="9" t="n">
        <x:f>IFERROR(INDEX('Lookup Tables'!$I$5:$I$16,MATCH(H419,'Lookup Tables'!$F$5:$F$16,0)),0)</x:f>
        <x:v>1899</x:v>
      </x:c>
      <x:c r="M419" s="23" t="n">
        <x:f>IF('Raw Data'!M419="",0,'Raw Data'!M419)</x:f>
        <x:v>0</x:v>
      </x:c>
      <x:c r="N419" s="9" t="n">
        <x:f>IF(S419="Completed",K419*L419*(1-M419),0)</x:f>
        <x:v>0</x:v>
      </x:c>
      <x:c r="O419" s="9" t="n">
        <x:f>IFERROR(INDEX('Lookup Tables'!$J$5:$J$16,MATCH(H419,'Lookup Tables'!$F$5:$F$16,0)),0)</x:f>
        <x:v>1180</x:v>
      </x:c>
      <x:c r="P419" s="9" t="n">
        <x:f>IF(S419="Completed",K419*O419,0)</x:f>
        <x:v>0</x:v>
      </x:c>
      <x:c r="Q419" s="9" t="n">
        <x:f>N419-P419</x:f>
        <x:v>0</x:v>
      </x:c>
      <x:c r="R419" s="8" t="str">
        <x:f>IF(LOWER('Raw Data'!N419)="upi","UPI",'Raw Data'!N419)</x:f>
        <x:v>Cash on Delivery</x:v>
      </x:c>
      <x:c r="S419" s="8" t="str">
        <x:v>Returned</x:v>
      </x:c>
      <x:c r="T419" s="8" t="str">
        <x:f>TEXT(B419,"mmm yyyy")</x:f>
        <x:v>Nov 2025</x:v>
      </x:c>
      <x:c r="U419" s="8" t="n">
        <x:f>YEAR(B419)</x:f>
        <x:v>2025</x:v>
      </x:c>
    </x:row>
    <x:row r="420">
      <x:c r="A420" s="8" t="str">
        <x:v>ORD-0416</x:v>
      </x:c>
      <x:c r="B420" s="22" t="n">
        <x:v>45968.17214041667</x:v>
      </x:c>
      <x:c r="C420" s="8" t="str">
        <x:v>CUS-066</x:v>
      </x:c>
      <x:c r="D420" s="8" t="str">
        <x:f>IFERROR(INDEX('Lookup Tables'!$B$5:$B$84,MATCH(C420,'Lookup Tables'!$A$5:$A$84,0)),"Unknown Customer")</x:f>
        <x:v>Isha Mehta 4</x:v>
      </x:c>
      <x:c r="E420" s="8" t="str">
        <x:f>IFERROR(INDEX('Lookup Tables'!$C$5:$C$84,MATCH(C420,'Lookup Tables'!$A$5:$A$84,0)),"Unknown")</x:f>
        <x:v>Small Business</x:v>
      </x:c>
      <x:c r="F420" s="8" t="str">
        <x:v>Jaipur</x:v>
      </x:c>
      <x:c r="G420" s="8" t="str">
        <x:f>IFERROR(INDEX('Lookup Tables'!$N$5:$N$14,MATCH(F420,'Lookup Tables'!$M$5:$M$14,0)),"Unknown")</x:f>
        <x:v>North</x:v>
      </x:c>
      <x:c r="H420" s="8" t="str">
        <x:v>PRD-002</x:v>
      </x:c>
      <x:c r="I420" s="8" t="str">
        <x:f>IFERROR(INDEX('Lookup Tables'!$G$5:$G$16,MATCH(H420,'Lookup Tables'!$F$5:$F$16,0)),"Unknown Product")</x:f>
        <x:v>Bluetooth Headphones</x:v>
      </x:c>
      <x:c r="J420" s="8" t="str">
        <x:f>IFERROR(INDEX('Lookup Tables'!$H$5:$H$16,MATCH(H420,'Lookup Tables'!$F$5:$F$16,0)),"Unknown")</x:f>
        <x:v>Electronics</x:v>
      </x:c>
      <x:c r="K420" s="8" t="n">
        <x:v>2</x:v>
      </x:c>
      <x:c r="L420" s="9" t="n">
        <x:f>IFERROR(INDEX('Lookup Tables'!$I$5:$I$16,MATCH(H420,'Lookup Tables'!$F$5:$F$16,0)),0)</x:f>
        <x:v>2499</x:v>
      </x:c>
      <x:c r="M420" s="23" t="n">
        <x:f>IF('Raw Data'!M420="",0,'Raw Data'!M420)</x:f>
        <x:v>0.05</x:v>
      </x:c>
      <x:c r="N420" s="9" t="n">
        <x:f>IF(S420="Completed",K420*L420*(1-M420),0)</x:f>
        <x:v>4748.099999999999</x:v>
      </x:c>
      <x:c r="O420" s="9" t="n">
        <x:f>IFERROR(INDEX('Lookup Tables'!$J$5:$J$16,MATCH(H420,'Lookup Tables'!$F$5:$F$16,0)),0)</x:f>
        <x:v>1620</x:v>
      </x:c>
      <x:c r="P420" s="9" t="n">
        <x:f>IF(S420="Completed",K420*O420,0)</x:f>
        <x:v>3240</x:v>
      </x:c>
      <x:c r="Q420" s="9" t="n">
        <x:f>N420-P420</x:f>
        <x:v>1508.0999999999995</x:v>
      </x:c>
      <x:c r="R420" s="8" t="str">
        <x:f>IF(LOWER('Raw Data'!N420)="upi","UPI",'Raw Data'!N420)</x:f>
        <x:v>UPI</x:v>
      </x:c>
      <x:c r="S420" s="8" t="str">
        <x:v>Completed</x:v>
      </x:c>
      <x:c r="T420" s="8" t="str">
        <x:f>TEXT(B420,"mmm yyyy")</x:f>
        <x:v>Nov 2025</x:v>
      </x:c>
      <x:c r="U420" s="8" t="n">
        <x:f>YEAR(B420)</x:f>
        <x:v>2025</x:v>
      </x:c>
    </x:row>
    <x:row r="421">
      <x:c r="A421" s="8" t="str">
        <x:v>ORD-0417</x:v>
      </x:c>
      <x:c r="B421" s="22" t="n">
        <x:v>45772.47929806713</x:v>
      </x:c>
      <x:c r="C421" s="8" t="str">
        <x:v>CUS-014</x:v>
      </x:c>
      <x:c r="D421" s="8" t="str">
        <x:f>IFERROR(INDEX('Lookup Tables'!$B$5:$B$84,MATCH(C421,'Lookup Tables'!$A$5:$A$84,0)),"Unknown Customer")</x:f>
        <x:v>Neha Rao</x:v>
      </x:c>
      <x:c r="E421" s="8" t="str">
        <x:f>IFERROR(INDEX('Lookup Tables'!$C$5:$C$84,MATCH(C421,'Lookup Tables'!$A$5:$A$84,0)),"Unknown")</x:f>
        <x:v>Corporate</x:v>
      </x:c>
      <x:c r="F421" s="8" t="str">
        <x:v>Bengaluru</x:v>
      </x:c>
      <x:c r="G421" s="8" t="str">
        <x:f>IFERROR(INDEX('Lookup Tables'!$N$5:$N$14,MATCH(F421,'Lookup Tables'!$M$5:$M$14,0)),"Unknown")</x:f>
        <x:v>South</x:v>
      </x:c>
      <x:c r="H421" s="8" t="str">
        <x:v>PRD-004</x:v>
      </x:c>
      <x:c r="I421" s="8" t="str">
        <x:f>IFERROR(INDEX('Lookup Tables'!$G$5:$G$16,MATCH(H421,'Lookup Tables'!$F$5:$F$16,0)),"Unknown Product")</x:f>
        <x:v>Laptop Stand</x:v>
      </x:c>
      <x:c r="J421" s="8" t="str">
        <x:f>IFERROR(INDEX('Lookup Tables'!$H$5:$H$16,MATCH(H421,'Lookup Tables'!$F$5:$F$16,0)),"Unknown")</x:f>
        <x:v>Office Supplies</x:v>
      </x:c>
      <x:c r="K421" s="8" t="n">
        <x:v>4</x:v>
      </x:c>
      <x:c r="L421" s="9" t="n">
        <x:f>IFERROR(INDEX('Lookup Tables'!$I$5:$I$16,MATCH(H421,'Lookup Tables'!$F$5:$F$16,0)),0)</x:f>
        <x:v>1299</x:v>
      </x:c>
      <x:c r="M421" s="23" t="n">
        <x:f>IF('Raw Data'!M421="",0,'Raw Data'!M421)</x:f>
        <x:v>0.1</x:v>
      </x:c>
      <x:c r="N421" s="9" t="n">
        <x:f>IF(S421="Completed",K421*L421*(1-M421),0)</x:f>
        <x:v>4676.400000000001</x:v>
      </x:c>
      <x:c r="O421" s="9" t="n">
        <x:f>IFERROR(INDEX('Lookup Tables'!$J$5:$J$16,MATCH(H421,'Lookup Tables'!$F$5:$F$16,0)),0)</x:f>
        <x:v>760</x:v>
      </x:c>
      <x:c r="P421" s="9" t="n">
        <x:f>IF(S421="Completed",K421*O421,0)</x:f>
        <x:v>3040</x:v>
      </x:c>
      <x:c r="Q421" s="9" t="n">
        <x:f>N421-P421</x:f>
        <x:v>1636.4000000000005</x:v>
      </x:c>
      <x:c r="R421" s="8" t="str">
        <x:f>IF(LOWER('Raw Data'!N421)="upi","UPI",'Raw Data'!N421)</x:f>
        <x:v>Net Banking</x:v>
      </x:c>
      <x:c r="S421" s="8" t="str">
        <x:v>Completed</x:v>
      </x:c>
      <x:c r="T421" s="8" t="str">
        <x:f>TEXT(B421,"mmm yyyy")</x:f>
        <x:v>Apr 2025</x:v>
      </x:c>
      <x:c r="U421" s="8" t="n">
        <x:f>YEAR(B421)</x:f>
        <x:v>2025</x:v>
      </x:c>
    </x:row>
    <x:row r="422">
      <x:c r="A422" s="8" t="str">
        <x:v>ORD-0418</x:v>
      </x:c>
      <x:c r="B422" s="22" t="n">
        <x:v>45674.709731724535</x:v>
      </x:c>
      <x:c r="C422" s="8" t="str">
        <x:v>CUS-076</x:v>
      </x:c>
      <x:c r="D422" s="8" t="str">
        <x:f>IFERROR(INDEX('Lookup Tables'!$B$5:$B$84,MATCH(C422,'Lookup Tables'!$A$5:$A$84,0)),"Unknown Customer")</x:f>
        <x:v>Pooja Saxena 4</x:v>
      </x:c>
      <x:c r="E422" s="8" t="str">
        <x:f>IFERROR(INDEX('Lookup Tables'!$C$5:$C$84,MATCH(C422,'Lookup Tables'!$A$5:$A$84,0)),"Unknown")</x:f>
        <x:v>Consumer</x:v>
      </x:c>
      <x:c r="F422" s="8" t="str">
        <x:v>Bengaluru</x:v>
      </x:c>
      <x:c r="G422" s="8" t="str">
        <x:f>IFERROR(INDEX('Lookup Tables'!$N$5:$N$14,MATCH(F422,'Lookup Tables'!$M$5:$M$14,0)),"Unknown")</x:f>
        <x:v>South</x:v>
      </x:c>
      <x:c r="H422" s="8" t="str">
        <x:v>PRD-003</x:v>
      </x:c>
      <x:c r="I422" s="8" t="str">
        <x:f>IFERROR(INDEX('Lookup Tables'!$G$5:$G$16,MATCH(H422,'Lookup Tables'!$F$5:$F$16,0)),"Unknown Product")</x:f>
        <x:v>USB-C Hub</x:v>
      </x:c>
      <x:c r="J422" s="8" t="str">
        <x:f>IFERROR(INDEX('Lookup Tables'!$H$5:$H$16,MATCH(H422,'Lookup Tables'!$F$5:$F$16,0)),"Unknown")</x:f>
        <x:v>Electronics</x:v>
      </x:c>
      <x:c r="K422" s="8" t="n">
        <x:v>2</x:v>
      </x:c>
      <x:c r="L422" s="9" t="n">
        <x:f>IFERROR(INDEX('Lookup Tables'!$I$5:$I$16,MATCH(H422,'Lookup Tables'!$F$5:$F$16,0)),0)</x:f>
        <x:v>1899</x:v>
      </x:c>
      <x:c r="M422" s="23" t="n">
        <x:f>IF('Raw Data'!M422="",0,'Raw Data'!M422)</x:f>
        <x:v>0.15</x:v>
      </x:c>
      <x:c r="N422" s="9" t="n">
        <x:f>IF(S422="Completed",K422*L422*(1-M422),0)</x:f>
        <x:v>3228.2999999999997</x:v>
      </x:c>
      <x:c r="O422" s="9" t="n">
        <x:f>IFERROR(INDEX('Lookup Tables'!$J$5:$J$16,MATCH(H422,'Lookup Tables'!$F$5:$F$16,0)),0)</x:f>
        <x:v>1180</x:v>
      </x:c>
      <x:c r="P422" s="9" t="n">
        <x:f>IF(S422="Completed",K422*O422,0)</x:f>
        <x:v>2360</x:v>
      </x:c>
      <x:c r="Q422" s="9" t="n">
        <x:f>N422-P422</x:f>
        <x:v>868.2999999999997</x:v>
      </x:c>
      <x:c r="R422" s="8" t="str">
        <x:f>IF(LOWER('Raw Data'!N422)="upi","UPI",'Raw Data'!N422)</x:f>
        <x:v>UPI</x:v>
      </x:c>
      <x:c r="S422" s="8" t="str">
        <x:v>Completed</x:v>
      </x:c>
      <x:c r="T422" s="8" t="str">
        <x:f>TEXT(B422,"mmm yyyy")</x:f>
        <x:v>Jan 2025</x:v>
      </x:c>
      <x:c r="U422" s="8" t="n">
        <x:f>YEAR(B422)</x:f>
        <x:v>2025</x:v>
      </x:c>
    </x:row>
    <x:row r="423">
      <x:c r="A423" s="8" t="str">
        <x:v>ORD-0419</x:v>
      </x:c>
      <x:c r="B423" s="22" t="n">
        <x:v>45865.01947150463</x:v>
      </x:c>
      <x:c r="C423" s="8" t="str">
        <x:v>CUS-064</x:v>
      </x:c>
      <x:c r="D423" s="8" t="str">
        <x:f>IFERROR(INDEX('Lookup Tables'!$B$5:$B$84,MATCH(C423,'Lookup Tables'!$A$5:$A$84,0)),"Unknown Customer")</x:f>
        <x:v>Ananya Gupta 4</x:v>
      </x:c>
      <x:c r="E423" s="8" t="str">
        <x:f>IFERROR(INDEX('Lookup Tables'!$C$5:$C$84,MATCH(C423,'Lookup Tables'!$A$5:$A$84,0)),"Unknown")</x:f>
        <x:v>Consumer</x:v>
      </x:c>
      <x:c r="F423" s="8" t="str">
        <x:v>Hyderabad</x:v>
      </x:c>
      <x:c r="G423" s="8" t="str">
        <x:f>IFERROR(INDEX('Lookup Tables'!$N$5:$N$14,MATCH(F423,'Lookup Tables'!$M$5:$M$14,0)),"Unknown")</x:f>
        <x:v>South</x:v>
      </x:c>
      <x:c r="H423" s="8" t="str">
        <x:v>PRD-007</x:v>
      </x:c>
      <x:c r="I423" s="8" t="str">
        <x:f>IFERROR(INDEX('Lookup Tables'!$G$5:$G$16,MATCH(H423,'Lookup Tables'!$F$5:$F$16,0)),"Unknown Product")</x:f>
        <x:v>Electric Kettle</x:v>
      </x:c>
      <x:c r="J423" s="8" t="str">
        <x:f>IFERROR(INDEX('Lookup Tables'!$H$5:$H$16,MATCH(H423,'Lookup Tables'!$F$5:$F$16,0)),"Unknown")</x:f>
        <x:v>Home &amp; Kitchen</x:v>
      </x:c>
      <x:c r="K423" s="8" t="n">
        <x:v>5</x:v>
      </x:c>
      <x:c r="L423" s="9" t="n">
        <x:f>IFERROR(INDEX('Lookup Tables'!$I$5:$I$16,MATCH(H423,'Lookup Tables'!$F$5:$F$16,0)),0)</x:f>
        <x:v>1699</x:v>
      </x:c>
      <x:c r="M423" s="23" t="n">
        <x:f>IF('Raw Data'!M423="",0,'Raw Data'!M423)</x:f>
        <x:v>0.15</x:v>
      </x:c>
      <x:c r="N423" s="9" t="n">
        <x:f>IF(S423="Completed",K423*L423*(1-M423),0)</x:f>
        <x:v>7220.75</x:v>
      </x:c>
      <x:c r="O423" s="9" t="n">
        <x:f>IFERROR(INDEX('Lookup Tables'!$J$5:$J$16,MATCH(H423,'Lookup Tables'!$F$5:$F$16,0)),0)</x:f>
        <x:v>1040</x:v>
      </x:c>
      <x:c r="P423" s="9" t="n">
        <x:f>IF(S423="Completed",K423*O423,0)</x:f>
        <x:v>5200</x:v>
      </x:c>
      <x:c r="Q423" s="9" t="n">
        <x:f>N423-P423</x:f>
        <x:v>2020.75</x:v>
      </x:c>
      <x:c r="R423" s="8" t="str">
        <x:f>IF(LOWER('Raw Data'!N423)="upi","UPI",'Raw Data'!N423)</x:f>
        <x:v>Credit Card</x:v>
      </x:c>
      <x:c r="S423" s="8" t="str">
        <x:v>Completed</x:v>
      </x:c>
      <x:c r="T423" s="8" t="str">
        <x:f>TEXT(B423,"mmm yyyy")</x:f>
        <x:v>Jul 2025</x:v>
      </x:c>
      <x:c r="U423" s="8" t="n">
        <x:f>YEAR(B423)</x:f>
        <x:v>2025</x:v>
      </x:c>
    </x:row>
    <x:row r="424">
      <x:c r="A424" s="8" t="str">
        <x:v>ORD-0420</x:v>
      </x:c>
      <x:c r="B424" s="22" t="n">
        <x:v>45733.31351954861</x:v>
      </x:c>
      <x:c r="C424" s="8" t="str">
        <x:v>CUS-067</x:v>
      </x:c>
      <x:c r="D424" s="8" t="str">
        <x:f>IFERROR(INDEX('Lookup Tables'!$B$5:$B$84,MATCH(C424,'Lookup Tables'!$A$5:$A$84,0)),"Unknown Customer")</x:f>
        <x:v>Kabir Khan 4</x:v>
      </x:c>
      <x:c r="E424" s="8" t="str">
        <x:f>IFERROR(INDEX('Lookup Tables'!$C$5:$C$84,MATCH(C424,'Lookup Tables'!$A$5:$A$84,0)),"Unknown")</x:f>
        <x:v>Consumer</x:v>
      </x:c>
      <x:c r="F424" s="8" t="str">
        <x:v>Hyderabad</x:v>
      </x:c>
      <x:c r="G424" s="8" t="str">
        <x:f>IFERROR(INDEX('Lookup Tables'!$N$5:$N$14,MATCH(F424,'Lookup Tables'!$M$5:$M$14,0)),"Unknown")</x:f>
        <x:v>South</x:v>
      </x:c>
      <x:c r="H424" s="8" t="str">
        <x:v>PRD-008</x:v>
      </x:c>
      <x:c r="I424" s="8" t="str">
        <x:f>IFERROR(INDEX('Lookup Tables'!$G$5:$G$16,MATCH(H424,'Lookup Tables'!$F$5:$F$16,0)),"Unknown Product")</x:f>
        <x:v>Storage Container Set</x:v>
      </x:c>
      <x:c r="J424" s="8" t="str">
        <x:f>IFERROR(INDEX('Lookup Tables'!$H$5:$H$16,MATCH(H424,'Lookup Tables'!$F$5:$F$16,0)),"Unknown")</x:f>
        <x:v>Home &amp; Kitchen</x:v>
      </x:c>
      <x:c r="K424" s="8" t="n">
        <x:v>1</x:v>
      </x:c>
      <x:c r="L424" s="9" t="n">
        <x:f>IFERROR(INDEX('Lookup Tables'!$I$5:$I$16,MATCH(H424,'Lookup Tables'!$F$5:$F$16,0)),0)</x:f>
        <x:v>999</x:v>
      </x:c>
      <x:c r="M424" s="23" t="n">
        <x:f>IF('Raw Data'!M424="",0,'Raw Data'!M424)</x:f>
        <x:v>0.05</x:v>
      </x:c>
      <x:c r="N424" s="9" t="n">
        <x:f>IF(S424="Completed",K424*L424*(1-M424),0)</x:f>
        <x:v>0</x:v>
      </x:c>
      <x:c r="O424" s="9" t="n">
        <x:f>IFERROR(INDEX('Lookup Tables'!$J$5:$J$16,MATCH(H424,'Lookup Tables'!$F$5:$F$16,0)),0)</x:f>
        <x:v>580</x:v>
      </x:c>
      <x:c r="P424" s="9" t="n">
        <x:f>IF(S424="Completed",K424*O424,0)</x:f>
        <x:v>0</x:v>
      </x:c>
      <x:c r="Q424" s="9" t="n">
        <x:f>N424-P424</x:f>
        <x:v>0</x:v>
      </x:c>
      <x:c r="R424" s="8" t="str">
        <x:f>IF(LOWER('Raw Data'!N424)="upi","UPI",'Raw Data'!N424)</x:f>
        <x:v>Debit Card</x:v>
      </x:c>
      <x:c r="S424" s="8" t="str">
        <x:v>Returned</x:v>
      </x:c>
      <x:c r="T424" s="8" t="str">
        <x:f>TEXT(B424,"mmm yyyy")</x:f>
        <x:v>Mar 2025</x:v>
      </x:c>
      <x:c r="U424" s="8" t="n">
        <x:f>YEAR(B424)</x:f>
        <x:v>2025</x:v>
      </x:c>
    </x:row>
    <x:row r="425">
      <x:c r="A425" s="8" t="str">
        <x:v>ORD-0421</x:v>
      </x:c>
      <x:c r="B425" s="22" t="n">
        <x:v>45897.999388449076</x:v>
      </x:c>
      <x:c r="C425" s="8" t="str">
        <x:v>CUS-060</x:v>
      </x:c>
      <x:c r="D425" s="8" t="str">
        <x:f>IFERROR(INDEX('Lookup Tables'!$B$5:$B$84,MATCH(C425,'Lookup Tables'!$A$5:$A$84,0)),"Unknown Customer")</x:f>
        <x:v>Kavya Reddy 3</x:v>
      </x:c>
      <x:c r="E425" s="8" t="str">
        <x:f>IFERROR(INDEX('Lookup Tables'!$C$5:$C$84,MATCH(C425,'Lookup Tables'!$A$5:$A$84,0)),"Unknown")</x:f>
        <x:v>Small Business</x:v>
      </x:c>
      <x:c r="F425" s="8" t="str">
        <x:v>Jaipur</x:v>
      </x:c>
      <x:c r="G425" s="8" t="str">
        <x:f>IFERROR(INDEX('Lookup Tables'!$N$5:$N$14,MATCH(F425,'Lookup Tables'!$M$5:$M$14,0)),"Unknown")</x:f>
        <x:v>North</x:v>
      </x:c>
      <x:c r="H425" s="8" t="str">
        <x:v>PRD-003</x:v>
      </x:c>
      <x:c r="I425" s="8" t="str">
        <x:f>IFERROR(INDEX('Lookup Tables'!$G$5:$G$16,MATCH(H425,'Lookup Tables'!$F$5:$F$16,0)),"Unknown Product")</x:f>
        <x:v>USB-C Hub</x:v>
      </x:c>
      <x:c r="J425" s="8" t="str">
        <x:f>IFERROR(INDEX('Lookup Tables'!$H$5:$H$16,MATCH(H425,'Lookup Tables'!$F$5:$F$16,0)),"Unknown")</x:f>
        <x:v>Electronics</x:v>
      </x:c>
      <x:c r="K425" s="8" t="n">
        <x:v>4</x:v>
      </x:c>
      <x:c r="L425" s="9" t="n">
        <x:f>IFERROR(INDEX('Lookup Tables'!$I$5:$I$16,MATCH(H425,'Lookup Tables'!$F$5:$F$16,0)),0)</x:f>
        <x:v>1899</x:v>
      </x:c>
      <x:c r="M425" s="23" t="n">
        <x:f>IF('Raw Data'!M425="",0,'Raw Data'!M425)</x:f>
        <x:v>0.05</x:v>
      </x:c>
      <x:c r="N425" s="9" t="n">
        <x:f>IF(S425="Completed",K425*L425*(1-M425),0)</x:f>
        <x:v>7216.2</x:v>
      </x:c>
      <x:c r="O425" s="9" t="n">
        <x:f>IFERROR(INDEX('Lookup Tables'!$J$5:$J$16,MATCH(H425,'Lookup Tables'!$F$5:$F$16,0)),0)</x:f>
        <x:v>1180</x:v>
      </x:c>
      <x:c r="P425" s="9" t="n">
        <x:f>IF(S425="Completed",K425*O425,0)</x:f>
        <x:v>4720</x:v>
      </x:c>
      <x:c r="Q425" s="9" t="n">
        <x:f>N425-P425</x:f>
        <x:v>2496.2</x:v>
      </x:c>
      <x:c r="R425" s="8" t="str">
        <x:f>IF(LOWER('Raw Data'!N425)="upi","UPI",'Raw Data'!N425)</x:f>
        <x:v>Cash on Delivery</x:v>
      </x:c>
      <x:c r="S425" s="8" t="str">
        <x:v>Completed</x:v>
      </x:c>
      <x:c r="T425" s="8" t="str">
        <x:f>TEXT(B425,"mmm yyyy")</x:f>
        <x:v>Aug 2025</x:v>
      </x:c>
      <x:c r="U425" s="8" t="n">
        <x:f>YEAR(B425)</x:f>
        <x:v>2025</x:v>
      </x:c>
    </x:row>
    <x:row r="426">
      <x:c r="A426" s="8" t="str">
        <x:v>ORD-0422</x:v>
      </x:c>
      <x:c r="B426" s="22" t="n">
        <x:v>45913.96520962963</x:v>
      </x:c>
      <x:c r="C426" s="8" t="str">
        <x:v>CUS-049</x:v>
      </x:c>
      <x:c r="D426" s="8" t="str">
        <x:f>IFERROR(INDEX('Lookup Tables'!$B$5:$B$84,MATCH(C426,'Lookup Tables'!$A$5:$A$84,0)),"Unknown Customer")</x:f>
        <x:v>Rohan Das 3</x:v>
      </x:c>
      <x:c r="E426" s="8" t="str">
        <x:f>IFERROR(INDEX('Lookup Tables'!$C$5:$C$84,MATCH(C426,'Lookup Tables'!$A$5:$A$84,0)),"Unknown")</x:f>
        <x:v>Consumer</x:v>
      </x:c>
      <x:c r="F426" s="8" t="str">
        <x:v>Chennai</x:v>
      </x:c>
      <x:c r="G426" s="8" t="str">
        <x:f>IFERROR(INDEX('Lookup Tables'!$N$5:$N$14,MATCH(F426,'Lookup Tables'!$M$5:$M$14,0)),"Unknown")</x:f>
        <x:v>South</x:v>
      </x:c>
      <x:c r="H426" s="8" t="str">
        <x:v>PRD-009</x:v>
      </x:c>
      <x:c r="I426" s="8" t="str">
        <x:f>IFERROR(INDEX('Lookup Tables'!$G$5:$G$16,MATCH(H426,'Lookup Tables'!$F$5:$F$16,0)),"Unknown Product")</x:f>
        <x:v>Table Lamp</x:v>
      </x:c>
      <x:c r="J426" s="8" t="str">
        <x:f>IFERROR(INDEX('Lookup Tables'!$H$5:$H$16,MATCH(H426,'Lookup Tables'!$F$5:$F$16,0)),"Unknown")</x:f>
        <x:v>Home &amp; Kitchen</x:v>
      </x:c>
      <x:c r="K426" s="8" t="n">
        <x:v>5</x:v>
      </x:c>
      <x:c r="L426" s="9" t="n">
        <x:f>IFERROR(INDEX('Lookup Tables'!$I$5:$I$16,MATCH(H426,'Lookup Tables'!$F$5:$F$16,0)),0)</x:f>
        <x:v>1499</x:v>
      </x:c>
      <x:c r="M426" s="23" t="n">
        <x:f>IF('Raw Data'!M426="",0,'Raw Data'!M426)</x:f>
        <x:v>0.05</x:v>
      </x:c>
      <x:c r="N426" s="9" t="n">
        <x:f>IF(S426="Completed",K426*L426*(1-M426),0)</x:f>
        <x:v>7120.25</x:v>
      </x:c>
      <x:c r="O426" s="9" t="n">
        <x:f>IFERROR(INDEX('Lookup Tables'!$J$5:$J$16,MATCH(H426,'Lookup Tables'!$F$5:$F$16,0)),0)</x:f>
        <x:v>920</x:v>
      </x:c>
      <x:c r="P426" s="9" t="n">
        <x:f>IF(S426="Completed",K426*O426,0)</x:f>
        <x:v>4600</x:v>
      </x:c>
      <x:c r="Q426" s="9" t="n">
        <x:f>N426-P426</x:f>
        <x:v>2520.25</x:v>
      </x:c>
      <x:c r="R426" s="8" t="str">
        <x:f>IF(LOWER('Raw Data'!N426)="upi","UPI",'Raw Data'!N426)</x:f>
        <x:v>UPI</x:v>
      </x:c>
      <x:c r="S426" s="8" t="str">
        <x:v>Completed</x:v>
      </x:c>
      <x:c r="T426" s="8" t="str">
        <x:f>TEXT(B426,"mmm yyyy")</x:f>
        <x:v>Sep 2025</x:v>
      </x:c>
      <x:c r="U426" s="8" t="n">
        <x:f>YEAR(B426)</x:f>
        <x:v>2025</x:v>
      </x:c>
    </x:row>
    <x:row r="427">
      <x:c r="A427" s="8" t="str">
        <x:v>ORD-0423</x:v>
      </x:c>
      <x:c r="B427" s="22" t="n">
        <x:v>45862.95569097222</x:v>
      </x:c>
      <x:c r="C427" s="8" t="str">
        <x:v>CUS-017</x:v>
      </x:c>
      <x:c r="D427" s="8" t="str">
        <x:f>IFERROR(INDEX('Lookup Tables'!$B$5:$B$84,MATCH(C427,'Lookup Tables'!$A$5:$A$84,0)),"Unknown Customer")</x:f>
        <x:v>Vikram Yadav</x:v>
      </x:c>
      <x:c r="E427" s="8" t="str">
        <x:f>IFERROR(INDEX('Lookup Tables'!$C$5:$C$84,MATCH(C427,'Lookup Tables'!$A$5:$A$84,0)),"Unknown")</x:f>
        <x:v>Corporate</x:v>
      </x:c>
      <x:c r="F427" s="8" t="str">
        <x:v>Ahmedabad</x:v>
      </x:c>
      <x:c r="G427" s="8" t="str">
        <x:f>IFERROR(INDEX('Lookup Tables'!$N$5:$N$14,MATCH(F427,'Lookup Tables'!$M$5:$M$14,0)),"Unknown")</x:f>
        <x:v>West</x:v>
      </x:c>
      <x:c r="H427" s="8" t="str">
        <x:v>PRD-006</x:v>
      </x:c>
      <x:c r="I427" s="8" t="str">
        <x:f>IFERROR(INDEX('Lookup Tables'!$G$5:$G$16,MATCH(H427,'Lookup Tables'!$F$5:$F$16,0)),"Unknown Product")</x:f>
        <x:v>Desk Organiser</x:v>
      </x:c>
      <x:c r="J427" s="8" t="str">
        <x:f>IFERROR(INDEX('Lookup Tables'!$H$5:$H$16,MATCH(H427,'Lookup Tables'!$F$5:$F$16,0)),"Unknown")</x:f>
        <x:v>Office Supplies</x:v>
      </x:c>
      <x:c r="K427" s="8" t="n">
        <x:v>4</x:v>
      </x:c>
      <x:c r="L427" s="9" t="n">
        <x:f>IFERROR(INDEX('Lookup Tables'!$I$5:$I$16,MATCH(H427,'Lookup Tables'!$F$5:$F$16,0)),0)</x:f>
        <x:v>699</x:v>
      </x:c>
      <x:c r="M427" s="23" t="n">
        <x:f>IF('Raw Data'!M427="",0,'Raw Data'!M427)</x:f>
        <x:v>0.05</x:v>
      </x:c>
      <x:c r="N427" s="9" t="n">
        <x:f>IF(S427="Completed",K427*L427*(1-M427),0)</x:f>
        <x:v>0</x:v>
      </x:c>
      <x:c r="O427" s="9" t="n">
        <x:f>IFERROR(INDEX('Lookup Tables'!$J$5:$J$16,MATCH(H427,'Lookup Tables'!$F$5:$F$16,0)),0)</x:f>
        <x:v>390</x:v>
      </x:c>
      <x:c r="P427" s="9" t="n">
        <x:f>IF(S427="Completed",K427*O427,0)</x:f>
        <x:v>0</x:v>
      </x:c>
      <x:c r="Q427" s="9" t="n">
        <x:f>N427-P427</x:f>
        <x:v>0</x:v>
      </x:c>
      <x:c r="R427" s="8" t="str">
        <x:f>IF(LOWER('Raw Data'!N427)="upi","UPI",'Raw Data'!N427)</x:f>
        <x:v>Net Banking</x:v>
      </x:c>
      <x:c r="S427" s="8" t="str">
        <x:v>Cancelled</x:v>
      </x:c>
      <x:c r="T427" s="8" t="str">
        <x:f>TEXT(B427,"mmm yyyy")</x:f>
        <x:v>Jul 2025</x:v>
      </x:c>
      <x:c r="U427" s="8" t="n">
        <x:f>YEAR(B427)</x:f>
        <x:v>2025</x:v>
      </x:c>
    </x:row>
    <x:row r="428">
      <x:c r="A428" s="8" t="str">
        <x:v>ORD-0424</x:v>
      </x:c>
      <x:c r="B428" s="22" t="n">
        <x:v>45966.983201006944</x:v>
      </x:c>
      <x:c r="C428" s="8" t="str">
        <x:v>CUS-028</x:v>
      </x:c>
      <x:c r="D428" s="8" t="str">
        <x:f>IFERROR(INDEX('Lookup Tables'!$B$5:$B$84,MATCH(C428,'Lookup Tables'!$A$5:$A$84,0)),"Unknown Customer")</x:f>
        <x:v>Meera Nair 2</x:v>
      </x:c>
      <x:c r="E428" s="8" t="str">
        <x:f>IFERROR(INDEX('Lookup Tables'!$C$5:$C$84,MATCH(C428,'Lookup Tables'!$A$5:$A$84,0)),"Unknown")</x:f>
        <x:v>Consumer</x:v>
      </x:c>
      <x:c r="F428" s="8" t="str">
        <x:v>Jaipur</x:v>
      </x:c>
      <x:c r="G428" s="8" t="str">
        <x:f>IFERROR(INDEX('Lookup Tables'!$N$5:$N$14,MATCH(F428,'Lookup Tables'!$M$5:$M$14,0)),"Unknown")</x:f>
        <x:v>North</x:v>
      </x:c>
      <x:c r="H428" s="8" t="str">
        <x:v>PRD-001</x:v>
      </x:c>
      <x:c r="I428" s="8" t="str">
        <x:f>IFERROR(INDEX('Lookup Tables'!$G$5:$G$16,MATCH(H428,'Lookup Tables'!$F$5:$F$16,0)),"Unknown Product")</x:f>
        <x:v>Wireless Mouse</x:v>
      </x:c>
      <x:c r="J428" s="8" t="str">
        <x:f>IFERROR(INDEX('Lookup Tables'!$H$5:$H$16,MATCH(H428,'Lookup Tables'!$F$5:$F$16,0)),"Unknown")</x:f>
        <x:v>Electronics</x:v>
      </x:c>
      <x:c r="K428" s="8" t="n">
        <x:v>3</x:v>
      </x:c>
      <x:c r="L428" s="9" t="n">
        <x:f>IFERROR(INDEX('Lookup Tables'!$I$5:$I$16,MATCH(H428,'Lookup Tables'!$F$5:$F$16,0)),0)</x:f>
        <x:v>899</x:v>
      </x:c>
      <x:c r="M428" s="23" t="n">
        <x:f>IF('Raw Data'!M428="",0,'Raw Data'!M428)</x:f>
        <x:v>0.05</x:v>
      </x:c>
      <x:c r="N428" s="9" t="n">
        <x:f>IF(S428="Completed",K428*L428*(1-M428),0)</x:f>
        <x:v>2562.15</x:v>
      </x:c>
      <x:c r="O428" s="9" t="n">
        <x:f>IFERROR(INDEX('Lookup Tables'!$J$5:$J$16,MATCH(H428,'Lookup Tables'!$F$5:$F$16,0)),0)</x:f>
        <x:v>540</x:v>
      </x:c>
      <x:c r="P428" s="9" t="n">
        <x:f>IF(S428="Completed",K428*O428,0)</x:f>
        <x:v>1620</x:v>
      </x:c>
      <x:c r="Q428" s="9" t="n">
        <x:f>N428-P428</x:f>
        <x:v>942.1500000000001</x:v>
      </x:c>
      <x:c r="R428" s="8" t="str">
        <x:f>IF(LOWER('Raw Data'!N428)="upi","UPI",'Raw Data'!N428)</x:f>
        <x:v>UPI</x:v>
      </x:c>
      <x:c r="S428" s="8" t="str">
        <x:v>Completed</x:v>
      </x:c>
      <x:c r="T428" s="8" t="str">
        <x:f>TEXT(B428,"mmm yyyy")</x:f>
        <x:v>Nov 2025</x:v>
      </x:c>
      <x:c r="U428" s="8" t="n">
        <x:f>YEAR(B428)</x:f>
        <x:v>2025</x:v>
      </x:c>
    </x:row>
    <x:row r="429">
      <x:c r="A429" s="8" t="str">
        <x:v>ORD-0425</x:v>
      </x:c>
      <x:c r="B429" s="22" t="n">
        <x:v>45811.88249707176</x:v>
      </x:c>
      <x:c r="C429" s="8" t="str">
        <x:v>CUS-003</x:v>
      </x:c>
      <x:c r="D429" s="8" t="str">
        <x:f>IFERROR(INDEX('Lookup Tables'!$B$5:$B$84,MATCH(C429,'Lookup Tables'!$A$5:$A$84,0)),"Unknown Customer")</x:f>
        <x:v>Vihaan Singh</x:v>
      </x:c>
      <x:c r="E429" s="8" t="str">
        <x:f>IFERROR(INDEX('Lookup Tables'!$C$5:$C$84,MATCH(C429,'Lookup Tables'!$A$5:$A$84,0)),"Unknown")</x:f>
        <x:v>Small Business</x:v>
      </x:c>
      <x:c r="F429" s="8" t="str">
        <x:v>Pune</x:v>
      </x:c>
      <x:c r="G429" s="8" t="str">
        <x:f>IFERROR(INDEX('Lookup Tables'!$N$5:$N$14,MATCH(F429,'Lookup Tables'!$M$5:$M$14,0)),"Unknown")</x:f>
        <x:v>West</x:v>
      </x:c>
      <x:c r="H429" s="8" t="str">
        <x:v>PRD-004</x:v>
      </x:c>
      <x:c r="I429" s="8" t="str">
        <x:f>IFERROR(INDEX('Lookup Tables'!$G$5:$G$16,MATCH(H429,'Lookup Tables'!$F$5:$F$16,0)),"Unknown Product")</x:f>
        <x:v>Laptop Stand</x:v>
      </x:c>
      <x:c r="J429" s="8" t="str">
        <x:f>IFERROR(INDEX('Lookup Tables'!$H$5:$H$16,MATCH(H429,'Lookup Tables'!$F$5:$F$16,0)),"Unknown")</x:f>
        <x:v>Office Supplies</x:v>
      </x:c>
      <x:c r="K429" s="8" t="n">
        <x:v>3</x:v>
      </x:c>
      <x:c r="L429" s="9" t="n">
        <x:f>IFERROR(INDEX('Lookup Tables'!$I$5:$I$16,MATCH(H429,'Lookup Tables'!$F$5:$F$16,0)),0)</x:f>
        <x:v>1299</x:v>
      </x:c>
      <x:c r="M429" s="23" t="n">
        <x:f>IF('Raw Data'!M429="",0,'Raw Data'!M429)</x:f>
        <x:v>0.1</x:v>
      </x:c>
      <x:c r="N429" s="9" t="n">
        <x:f>IF(S429="Completed",K429*L429*(1-M429),0)</x:f>
        <x:v>0</x:v>
      </x:c>
      <x:c r="O429" s="9" t="n">
        <x:f>IFERROR(INDEX('Lookup Tables'!$J$5:$J$16,MATCH(H429,'Lookup Tables'!$F$5:$F$16,0)),0)</x:f>
        <x:v>760</x:v>
      </x:c>
      <x:c r="P429" s="9" t="n">
        <x:f>IF(S429="Completed",K429*O429,0)</x:f>
        <x:v>0</x:v>
      </x:c>
      <x:c r="Q429" s="9" t="n">
        <x:f>N429-P429</x:f>
        <x:v>0</x:v>
      </x:c>
      <x:c r="R429" s="8" t="str">
        <x:f>IF(LOWER('Raw Data'!N429)="upi","UPI",'Raw Data'!N429)</x:f>
        <x:v>Net Banking</x:v>
      </x:c>
      <x:c r="S429" s="8" t="str">
        <x:v>Returned</x:v>
      </x:c>
      <x:c r="T429" s="8" t="str">
        <x:f>TEXT(B429,"mmm yyyy")</x:f>
        <x:v>Jun 2025</x:v>
      </x:c>
      <x:c r="U429" s="8" t="n">
        <x:f>YEAR(B429)</x:f>
        <x:v>2025</x:v>
      </x:c>
    </x:row>
    <x:row r="430">
      <x:c r="A430" s="8" t="str">
        <x:v>ORD-0426</x:v>
      </x:c>
      <x:c r="B430" s="22" t="n">
        <x:v>45953.17964545139</x:v>
      </x:c>
      <x:c r="C430" s="8" t="str">
        <x:v>CUS-077</x:v>
      </x:c>
      <x:c r="D430" s="8" t="str">
        <x:f>IFERROR(INDEX('Lookup Tables'!$B$5:$B$84,MATCH(C430,'Lookup Tables'!$A$5:$A$84,0)),"Unknown Customer")</x:f>
        <x:v>Vikram Yadav 4</x:v>
      </x:c>
      <x:c r="E430" s="8" t="str">
        <x:f>IFERROR(INDEX('Lookup Tables'!$C$5:$C$84,MATCH(C430,'Lookup Tables'!$A$5:$A$84,0)),"Unknown")</x:f>
        <x:v>Corporate</x:v>
      </x:c>
      <x:c r="F430" s="8" t="str">
        <x:v>Hyderabad</x:v>
      </x:c>
      <x:c r="G430" s="8" t="str">
        <x:f>IFERROR(INDEX('Lookup Tables'!$N$5:$N$14,MATCH(F430,'Lookup Tables'!$M$5:$M$14,0)),"Unknown")</x:f>
        <x:v>South</x:v>
      </x:c>
      <x:c r="H430" s="8" t="str">
        <x:v>PRD-003</x:v>
      </x:c>
      <x:c r="I430" s="8" t="str">
        <x:f>IFERROR(INDEX('Lookup Tables'!$G$5:$G$16,MATCH(H430,'Lookup Tables'!$F$5:$F$16,0)),"Unknown Product")</x:f>
        <x:v>USB-C Hub</x:v>
      </x:c>
      <x:c r="J430" s="8" t="str">
        <x:f>IFERROR(INDEX('Lookup Tables'!$H$5:$H$16,MATCH(H430,'Lookup Tables'!$F$5:$F$16,0)),"Unknown")</x:f>
        <x:v>Electronics</x:v>
      </x:c>
      <x:c r="K430" s="8" t="n">
        <x:v>4</x:v>
      </x:c>
      <x:c r="L430" s="9" t="n">
        <x:f>IFERROR(INDEX('Lookup Tables'!$I$5:$I$16,MATCH(H430,'Lookup Tables'!$F$5:$F$16,0)),0)</x:f>
        <x:v>1899</x:v>
      </x:c>
      <x:c r="M430" s="23" t="n">
        <x:f>IF('Raw Data'!M430="",0,'Raw Data'!M430)</x:f>
        <x:v>0.05</x:v>
      </x:c>
      <x:c r="N430" s="9" t="n">
        <x:f>IF(S430="Completed",K430*L430*(1-M430),0)</x:f>
        <x:v>7216.2</x:v>
      </x:c>
      <x:c r="O430" s="9" t="n">
        <x:f>IFERROR(INDEX('Lookup Tables'!$J$5:$J$16,MATCH(H430,'Lookup Tables'!$F$5:$F$16,0)),0)</x:f>
        <x:v>1180</x:v>
      </x:c>
      <x:c r="P430" s="9" t="n">
        <x:f>IF(S430="Completed",K430*O430,0)</x:f>
        <x:v>4720</x:v>
      </x:c>
      <x:c r="Q430" s="9" t="n">
        <x:f>N430-P430</x:f>
        <x:v>2496.2</x:v>
      </x:c>
      <x:c r="R430" s="8" t="str">
        <x:f>IF(LOWER('Raw Data'!N430)="upi","UPI",'Raw Data'!N430)</x:f>
        <x:v>Credit Card</x:v>
      </x:c>
      <x:c r="S430" s="8" t="str">
        <x:v>Completed</x:v>
      </x:c>
      <x:c r="T430" s="8" t="str">
        <x:f>TEXT(B430,"mmm yyyy")</x:f>
        <x:v>Oct 2025</x:v>
      </x:c>
      <x:c r="U430" s="8" t="n">
        <x:f>YEAR(B430)</x:f>
        <x:v>2025</x:v>
      </x:c>
    </x:row>
    <x:row r="431">
      <x:c r="A431" s="8" t="str">
        <x:v>ORD-0427</x:v>
      </x:c>
      <x:c r="B431" s="22" t="n">
        <x:v>45706.96368527778</x:v>
      </x:c>
      <x:c r="C431" s="8" t="str">
        <x:v>CUS-008</x:v>
      </x:c>
      <x:c r="D431" s="8" t="str">
        <x:f>IFERROR(INDEX('Lookup Tables'!$B$5:$B$84,MATCH(C431,'Lookup Tables'!$A$5:$A$84,0)),"Unknown Customer")</x:f>
        <x:v>Meera Nair</x:v>
      </x:c>
      <x:c r="E431" s="8" t="str">
        <x:f>IFERROR(INDEX('Lookup Tables'!$C$5:$C$84,MATCH(C431,'Lookup Tables'!$A$5:$A$84,0)),"Unknown")</x:f>
        <x:v>Corporate</x:v>
      </x:c>
      <x:c r="F431" s="8" t="str">
        <x:v>Pune</x:v>
      </x:c>
      <x:c r="G431" s="8" t="str">
        <x:f>IFERROR(INDEX('Lookup Tables'!$N$5:$N$14,MATCH(F431,'Lookup Tables'!$M$5:$M$14,0)),"Unknown")</x:f>
        <x:v>West</x:v>
      </x:c>
      <x:c r="H431" s="8" t="str">
        <x:v>PRD-006</x:v>
      </x:c>
      <x:c r="I431" s="8" t="str">
        <x:f>IFERROR(INDEX('Lookup Tables'!$G$5:$G$16,MATCH(H431,'Lookup Tables'!$F$5:$F$16,0)),"Unknown Product")</x:f>
        <x:v>Desk Organiser</x:v>
      </x:c>
      <x:c r="J431" s="8" t="str">
        <x:f>IFERROR(INDEX('Lookup Tables'!$H$5:$H$16,MATCH(H431,'Lookup Tables'!$F$5:$F$16,0)),"Unknown")</x:f>
        <x:v>Office Supplies</x:v>
      </x:c>
      <x:c r="K431" s="8" t="n">
        <x:v>4</x:v>
      </x:c>
      <x:c r="L431" s="9" t="n">
        <x:f>IFERROR(INDEX('Lookup Tables'!$I$5:$I$16,MATCH(H431,'Lookup Tables'!$F$5:$F$16,0)),0)</x:f>
        <x:v>699</x:v>
      </x:c>
      <x:c r="M431" s="23" t="n">
        <x:f>IF('Raw Data'!M431="",0,'Raw Data'!M431)</x:f>
        <x:v>0</x:v>
      </x:c>
      <x:c r="N431" s="9" t="n">
        <x:f>IF(S431="Completed",K431*L431*(1-M431),0)</x:f>
        <x:v>0</x:v>
      </x:c>
      <x:c r="O431" s="9" t="n">
        <x:f>IFERROR(INDEX('Lookup Tables'!$J$5:$J$16,MATCH(H431,'Lookup Tables'!$F$5:$F$16,0)),0)</x:f>
        <x:v>390</x:v>
      </x:c>
      <x:c r="P431" s="9" t="n">
        <x:f>IF(S431="Completed",K431*O431,0)</x:f>
        <x:v>0</x:v>
      </x:c>
      <x:c r="Q431" s="9" t="n">
        <x:f>N431-P431</x:f>
        <x:v>0</x:v>
      </x:c>
      <x:c r="R431" s="8" t="str">
        <x:f>IF(LOWER('Raw Data'!N431)="upi","UPI",'Raw Data'!N431)</x:f>
        <x:v>Debit Card</x:v>
      </x:c>
      <x:c r="S431" s="8" t="str">
        <x:v>Returned</x:v>
      </x:c>
      <x:c r="T431" s="8" t="str">
        <x:f>TEXT(B431,"mmm yyyy")</x:f>
        <x:v>Feb 2025</x:v>
      </x:c>
      <x:c r="U431" s="8" t="n">
        <x:f>YEAR(B431)</x:f>
        <x:v>2025</x:v>
      </x:c>
    </x:row>
    <x:row r="432">
      <x:c r="A432" s="8" t="str">
        <x:v>ORD-0428</x:v>
      </x:c>
      <x:c r="B432" s="22" t="n">
        <x:v>45915.24900927083</x:v>
      </x:c>
      <x:c r="C432" s="8" t="str">
        <x:v>CUS-056</x:v>
      </x:c>
      <x:c r="D432" s="8" t="str">
        <x:f>IFERROR(INDEX('Lookup Tables'!$B$5:$B$84,MATCH(C432,'Lookup Tables'!$A$5:$A$84,0)),"Unknown Customer")</x:f>
        <x:v>Pooja Saxena 3</x:v>
      </x:c>
      <x:c r="E432" s="8" t="str">
        <x:f>IFERROR(INDEX('Lookup Tables'!$C$5:$C$84,MATCH(C432,'Lookup Tables'!$A$5:$A$84,0)),"Unknown")</x:f>
        <x:v>Corporate</x:v>
      </x:c>
      <x:c r="F432" s="8" t="str">
        <x:v>Mumbai</x:v>
      </x:c>
      <x:c r="G432" s="8" t="str">
        <x:f>IFERROR(INDEX('Lookup Tables'!$N$5:$N$14,MATCH(F432,'Lookup Tables'!$M$5:$M$14,0)),"Unknown")</x:f>
        <x:v>West</x:v>
      </x:c>
      <x:c r="H432" s="8" t="str">
        <x:v>PRD-003</x:v>
      </x:c>
      <x:c r="I432" s="8" t="str">
        <x:f>IFERROR(INDEX('Lookup Tables'!$G$5:$G$16,MATCH(H432,'Lookup Tables'!$F$5:$F$16,0)),"Unknown Product")</x:f>
        <x:v>USB-C Hub</x:v>
      </x:c>
      <x:c r="J432" s="8" t="str">
        <x:f>IFERROR(INDEX('Lookup Tables'!$H$5:$H$16,MATCH(H432,'Lookup Tables'!$F$5:$F$16,0)),"Unknown")</x:f>
        <x:v>Electronics</x:v>
      </x:c>
      <x:c r="K432" s="8" t="n">
        <x:v>2</x:v>
      </x:c>
      <x:c r="L432" s="9" t="n">
        <x:f>IFERROR(INDEX('Lookup Tables'!$I$5:$I$16,MATCH(H432,'Lookup Tables'!$F$5:$F$16,0)),0)</x:f>
        <x:v>1899</x:v>
      </x:c>
      <x:c r="M432" s="23" t="n">
        <x:f>IF('Raw Data'!M432="",0,'Raw Data'!M432)</x:f>
        <x:v>0.1</x:v>
      </x:c>
      <x:c r="N432" s="9" t="n">
        <x:f>IF(S432="Completed",K432*L432*(1-M432),0)</x:f>
        <x:v>3418.2000000000003</x:v>
      </x:c>
      <x:c r="O432" s="9" t="n">
        <x:f>IFERROR(INDEX('Lookup Tables'!$J$5:$J$16,MATCH(H432,'Lookup Tables'!$F$5:$F$16,0)),0)</x:f>
        <x:v>1180</x:v>
      </x:c>
      <x:c r="P432" s="9" t="n">
        <x:f>IF(S432="Completed",K432*O432,0)</x:f>
        <x:v>2360</x:v>
      </x:c>
      <x:c r="Q432" s="9" t="n">
        <x:f>N432-P432</x:f>
        <x:v>1058.2000000000003</x:v>
      </x:c>
      <x:c r="R432" s="8" t="str">
        <x:f>IF(LOWER('Raw Data'!N432)="upi","UPI",'Raw Data'!N432)</x:f>
        <x:v>UPI</x:v>
      </x:c>
      <x:c r="S432" s="8" t="str">
        <x:v>Completed</x:v>
      </x:c>
      <x:c r="T432" s="8" t="str">
        <x:f>TEXT(B432,"mmm yyyy")</x:f>
        <x:v>Sep 2025</x:v>
      </x:c>
      <x:c r="U432" s="8" t="n">
        <x:f>YEAR(B432)</x:f>
        <x:v>2025</x:v>
      </x:c>
    </x:row>
    <x:row r="433">
      <x:c r="A433" s="8" t="str">
        <x:v>ORD-0429</x:v>
      </x:c>
      <x:c r="B433" s="22" t="n">
        <x:v>45834.91011737269</x:v>
      </x:c>
      <x:c r="C433" s="8" t="str">
        <x:v>CUS-025</x:v>
      </x:c>
      <x:c r="D433" s="8" t="str">
        <x:f>IFERROR(INDEX('Lookup Tables'!$B$5:$B$84,MATCH(C433,'Lookup Tables'!$A$5:$A$84,0)),"Unknown Customer")</x:f>
        <x:v>Arjun Verma 2</x:v>
      </x:c>
      <x:c r="E433" s="8" t="str">
        <x:f>IFERROR(INDEX('Lookup Tables'!$C$5:$C$84,MATCH(C433,'Lookup Tables'!$A$5:$A$84,0)),"Unknown")</x:f>
        <x:v>Consumer</x:v>
      </x:c>
      <x:c r="F433" s="8" t="str">
        <x:v>Kolkata</x:v>
      </x:c>
      <x:c r="G433" s="8" t="str">
        <x:f>IFERROR(INDEX('Lookup Tables'!$N$5:$N$14,MATCH(F433,'Lookup Tables'!$M$5:$M$14,0)),"Unknown")</x:f>
        <x:v>East</x:v>
      </x:c>
      <x:c r="H433" s="8" t="str">
        <x:v>PRD-011</x:v>
      </x:c>
      <x:c r="I433" s="8" t="str">
        <x:f>IFERROR(INDEX('Lookup Tables'!$G$5:$G$16,MATCH(H433,'Lookup Tables'!$F$5:$F$16,0)),"Unknown Product")</x:f>
        <x:v>Classic Wallet</x:v>
      </x:c>
      <x:c r="J433" s="8" t="str">
        <x:f>IFERROR(INDEX('Lookup Tables'!$H$5:$H$16,MATCH(H433,'Lookup Tables'!$F$5:$F$16,0)),"Unknown")</x:f>
        <x:v>Fashion</x:v>
      </x:c>
      <x:c r="K433" s="8" t="n">
        <x:v>2</x:v>
      </x:c>
      <x:c r="L433" s="9" t="n">
        <x:f>IFERROR(INDEX('Lookup Tables'!$I$5:$I$16,MATCH(H433,'Lookup Tables'!$F$5:$F$16,0)),0)</x:f>
        <x:v>1199</x:v>
      </x:c>
      <x:c r="M433" s="23" t="n">
        <x:f>IF('Raw Data'!M433="",0,'Raw Data'!M433)</x:f>
        <x:v>0</x:v>
      </x:c>
      <x:c r="N433" s="9" t="n">
        <x:f>IF(S433="Completed",K433*L433*(1-M433),0)</x:f>
        <x:v>2398</x:v>
      </x:c>
      <x:c r="O433" s="9" t="n">
        <x:f>IFERROR(INDEX('Lookup Tables'!$J$5:$J$16,MATCH(H433,'Lookup Tables'!$F$5:$F$16,0)),0)</x:f>
        <x:v>690</x:v>
      </x:c>
      <x:c r="P433" s="9" t="n">
        <x:f>IF(S433="Completed",K433*O433,0)</x:f>
        <x:v>1380</x:v>
      </x:c>
      <x:c r="Q433" s="9" t="n">
        <x:f>N433-P433</x:f>
        <x:v>1018</x:v>
      </x:c>
      <x:c r="R433" s="8" t="str">
        <x:f>IF(LOWER('Raw Data'!N433)="upi","UPI",'Raw Data'!N433)</x:f>
        <x:v>Net Banking</x:v>
      </x:c>
      <x:c r="S433" s="8" t="str">
        <x:v>Completed</x:v>
      </x:c>
      <x:c r="T433" s="8" t="str">
        <x:f>TEXT(B433,"mmm yyyy")</x:f>
        <x:v>Jun 2025</x:v>
      </x:c>
      <x:c r="U433" s="8" t="n">
        <x:f>YEAR(B433)</x:f>
        <x:v>2025</x:v>
      </x:c>
    </x:row>
    <x:row r="434">
      <x:c r="A434" s="8" t="str">
        <x:v>ORD-0430</x:v>
      </x:c>
      <x:c r="B434" s="22" t="n">
        <x:v>46011.94191787037</x:v>
      </x:c>
      <x:c r="C434" s="8" t="str">
        <x:v>CUS-058</x:v>
      </x:c>
      <x:c r="D434" s="8" t="str">
        <x:f>IFERROR(INDEX('Lookup Tables'!$B$5:$B$84,MATCH(C434,'Lookup Tables'!$A$5:$A$84,0)),"Unknown Customer")</x:f>
        <x:v>Nisha Bansal 3</x:v>
      </x:c>
      <x:c r="E434" s="8" t="str">
        <x:f>IFERROR(INDEX('Lookup Tables'!$C$5:$C$84,MATCH(C434,'Lookup Tables'!$A$5:$A$84,0)),"Unknown")</x:f>
        <x:v>Consumer</x:v>
      </x:c>
      <x:c r="F434" s="8" t="str">
        <x:v>Kolkata</x:v>
      </x:c>
      <x:c r="G434" s="8" t="str">
        <x:f>IFERROR(INDEX('Lookup Tables'!$N$5:$N$14,MATCH(F434,'Lookup Tables'!$M$5:$M$14,0)),"Unknown")</x:f>
        <x:v>East</x:v>
      </x:c>
      <x:c r="H434" s="8" t="str">
        <x:v>PRD-003</x:v>
      </x:c>
      <x:c r="I434" s="8" t="str">
        <x:f>IFERROR(INDEX('Lookup Tables'!$G$5:$G$16,MATCH(H434,'Lookup Tables'!$F$5:$F$16,0)),"Unknown Product")</x:f>
        <x:v>USB-C Hub</x:v>
      </x:c>
      <x:c r="J434" s="8" t="str">
        <x:f>IFERROR(INDEX('Lookup Tables'!$H$5:$H$16,MATCH(H434,'Lookup Tables'!$F$5:$F$16,0)),"Unknown")</x:f>
        <x:v>Electronics</x:v>
      </x:c>
      <x:c r="K434" s="8" t="n">
        <x:v>5</x:v>
      </x:c>
      <x:c r="L434" s="9" t="n">
        <x:f>IFERROR(INDEX('Lookup Tables'!$I$5:$I$16,MATCH(H434,'Lookup Tables'!$F$5:$F$16,0)),0)</x:f>
        <x:v>1899</x:v>
      </x:c>
      <x:c r="M434" s="23" t="n">
        <x:f>IF('Raw Data'!M434="",0,'Raw Data'!M434)</x:f>
        <x:v>0.05</x:v>
      </x:c>
      <x:c r="N434" s="9" t="n">
        <x:f>IF(S434="Completed",K434*L434*(1-M434),0)</x:f>
        <x:v>9020.25</x:v>
      </x:c>
      <x:c r="O434" s="9" t="n">
        <x:f>IFERROR(INDEX('Lookup Tables'!$J$5:$J$16,MATCH(H434,'Lookup Tables'!$F$5:$F$16,0)),0)</x:f>
        <x:v>1180</x:v>
      </x:c>
      <x:c r="P434" s="9" t="n">
        <x:f>IF(S434="Completed",K434*O434,0)</x:f>
        <x:v>5900</x:v>
      </x:c>
      <x:c r="Q434" s="9" t="n">
        <x:f>N434-P434</x:f>
        <x:v>3120.25</x:v>
      </x:c>
      <x:c r="R434" s="8" t="str">
        <x:f>IF(LOWER('Raw Data'!N434)="upi","UPI",'Raw Data'!N434)</x:f>
        <x:v>Debit Card</x:v>
      </x:c>
      <x:c r="S434" s="8" t="str">
        <x:v>Completed</x:v>
      </x:c>
      <x:c r="T434" s="8" t="str">
        <x:f>TEXT(B434,"mmm yyyy")</x:f>
        <x:v>Dec 2025</x:v>
      </x:c>
      <x:c r="U434" s="8" t="n">
        <x:f>YEAR(B434)</x:f>
        <x:v>2025</x:v>
      </x:c>
    </x:row>
    <x:row r="435">
      <x:c r="A435" s="8" t="str">
        <x:v>ORD-0431</x:v>
      </x:c>
      <x:c r="B435" s="22" t="n">
        <x:v>45900.16870920139</x:v>
      </x:c>
      <x:c r="C435" s="8" t="str">
        <x:v>CUS-033</x:v>
      </x:c>
      <x:c r="D435" s="8" t="str">
        <x:f>IFERROR(INDEX('Lookup Tables'!$B$5:$B$84,MATCH(C435,'Lookup Tables'!$A$5:$A$84,0)),"Unknown Customer")</x:f>
        <x:v>Rahul Mishra 2</x:v>
      </x:c>
      <x:c r="E435" s="8" t="str">
        <x:f>IFERROR(INDEX('Lookup Tables'!$C$5:$C$84,MATCH(C435,'Lookup Tables'!$A$5:$A$84,0)),"Unknown")</x:f>
        <x:v>Small Business</x:v>
      </x:c>
      <x:c r="F435" s="8" t="str">
        <x:v>Pune</x:v>
      </x:c>
      <x:c r="G435" s="8" t="str">
        <x:f>IFERROR(INDEX('Lookup Tables'!$N$5:$N$14,MATCH(F435,'Lookup Tables'!$M$5:$M$14,0)),"Unknown")</x:f>
        <x:v>West</x:v>
      </x:c>
      <x:c r="H435" s="8" t="str">
        <x:v>PRD-005</x:v>
      </x:c>
      <x:c r="I435" s="8" t="str">
        <x:f>IFERROR(INDEX('Lookup Tables'!$G$5:$G$16,MATCH(H435,'Lookup Tables'!$F$5:$F$16,0)),"Unknown Product")</x:f>
        <x:v>Executive Notebook</x:v>
      </x:c>
      <x:c r="J435" s="8" t="str">
        <x:f>IFERROR(INDEX('Lookup Tables'!$H$5:$H$16,MATCH(H435,'Lookup Tables'!$F$5:$F$16,0)),"Unknown")</x:f>
        <x:v>Office Supplies</x:v>
      </x:c>
      <x:c r="K435" s="8" t="n">
        <x:v>1</x:v>
      </x:c>
      <x:c r="L435" s="9" t="n">
        <x:f>IFERROR(INDEX('Lookup Tables'!$I$5:$I$16,MATCH(H435,'Lookup Tables'!$F$5:$F$16,0)),0)</x:f>
        <x:v>349</x:v>
      </x:c>
      <x:c r="M435" s="23" t="n">
        <x:f>IF('Raw Data'!M435="",0,'Raw Data'!M435)</x:f>
        <x:v>0.05</x:v>
      </x:c>
      <x:c r="N435" s="9" t="n">
        <x:f>IF(S435="Completed",K435*L435*(1-M435),0)</x:f>
        <x:v>331.55</x:v>
      </x:c>
      <x:c r="O435" s="9" t="n">
        <x:f>IFERROR(INDEX('Lookup Tables'!$J$5:$J$16,MATCH(H435,'Lookup Tables'!$F$5:$F$16,0)),0)</x:f>
        <x:v>170</x:v>
      </x:c>
      <x:c r="P435" s="9" t="n">
        <x:f>IF(S435="Completed",K435*O435,0)</x:f>
        <x:v>170</x:v>
      </x:c>
      <x:c r="Q435" s="9" t="n">
        <x:f>N435-P435</x:f>
        <x:v>161.55</x:v>
      </x:c>
      <x:c r="R435" s="8" t="str">
        <x:f>IF(LOWER('Raw Data'!N435)="upi","UPI",'Raw Data'!N435)</x:f>
        <x:v>Net Banking</x:v>
      </x:c>
      <x:c r="S435" s="8" t="str">
        <x:v>Completed</x:v>
      </x:c>
      <x:c r="T435" s="8" t="str">
        <x:f>TEXT(B435,"mmm yyyy")</x:f>
        <x:v>Aug 2025</x:v>
      </x:c>
      <x:c r="U435" s="8" t="n">
        <x:f>YEAR(B435)</x:f>
        <x:v>2025</x:v>
      </x:c>
    </x:row>
    <x:row r="436">
      <x:c r="A436" s="8" t="str">
        <x:v>ORD-0432</x:v>
      </x:c>
      <x:c r="B436" s="22" t="n">
        <x:v>45727.99904568287</x:v>
      </x:c>
      <x:c r="C436" s="8" t="str">
        <x:v>CUS-032</x:v>
      </x:c>
      <x:c r="D436" s="8" t="str">
        <x:f>IFERROR(INDEX('Lookup Tables'!$B$5:$B$84,MATCH(C436,'Lookup Tables'!$A$5:$A$84,0)),"Unknown Customer")</x:f>
        <x:v>Priya Kapoor 2</x:v>
      </x:c>
      <x:c r="E436" s="8" t="str">
        <x:f>IFERROR(INDEX('Lookup Tables'!$C$5:$C$84,MATCH(C436,'Lookup Tables'!$A$5:$A$84,0)),"Unknown")</x:f>
        <x:v>Corporate</x:v>
      </x:c>
      <x:c r="F436" s="8" t="str">
        <x:v>Mumbai</x:v>
      </x:c>
      <x:c r="G436" s="8" t="str">
        <x:f>IFERROR(INDEX('Lookup Tables'!$N$5:$N$14,MATCH(F436,'Lookup Tables'!$M$5:$M$14,0)),"Unknown")</x:f>
        <x:v>West</x:v>
      </x:c>
      <x:c r="H436" s="8" t="str">
        <x:v>PRD-001</x:v>
      </x:c>
      <x:c r="I436" s="8" t="str">
        <x:f>IFERROR(INDEX('Lookup Tables'!$G$5:$G$16,MATCH(H436,'Lookup Tables'!$F$5:$F$16,0)),"Unknown Product")</x:f>
        <x:v>Wireless Mouse</x:v>
      </x:c>
      <x:c r="J436" s="8" t="str">
        <x:f>IFERROR(INDEX('Lookup Tables'!$H$5:$H$16,MATCH(H436,'Lookup Tables'!$F$5:$F$16,0)),"Unknown")</x:f>
        <x:v>Electronics</x:v>
      </x:c>
      <x:c r="K436" s="8" t="n">
        <x:v>4</x:v>
      </x:c>
      <x:c r="L436" s="9" t="n">
        <x:f>IFERROR(INDEX('Lookup Tables'!$I$5:$I$16,MATCH(H436,'Lookup Tables'!$F$5:$F$16,0)),0)</x:f>
        <x:v>899</x:v>
      </x:c>
      <x:c r="M436" s="23" t="n">
        <x:f>IF('Raw Data'!M436="",0,'Raw Data'!M436)</x:f>
        <x:v>0.05</x:v>
      </x:c>
      <x:c r="N436" s="9" t="n">
        <x:f>IF(S436="Completed",K436*L436*(1-M436),0)</x:f>
        <x:v>0</x:v>
      </x:c>
      <x:c r="O436" s="9" t="n">
        <x:f>IFERROR(INDEX('Lookup Tables'!$J$5:$J$16,MATCH(H436,'Lookup Tables'!$F$5:$F$16,0)),0)</x:f>
        <x:v>540</x:v>
      </x:c>
      <x:c r="P436" s="9" t="n">
        <x:f>IF(S436="Completed",K436*O436,0)</x:f>
        <x:v>0</x:v>
      </x:c>
      <x:c r="Q436" s="9" t="n">
        <x:f>N436-P436</x:f>
        <x:v>0</x:v>
      </x:c>
      <x:c r="R436" s="8" t="str">
        <x:f>IF(LOWER('Raw Data'!N436)="upi","UPI",'Raw Data'!N436)</x:f>
        <x:v>Debit Card</x:v>
      </x:c>
      <x:c r="S436" s="8" t="str">
        <x:v>Cancelled</x:v>
      </x:c>
      <x:c r="T436" s="8" t="str">
        <x:f>TEXT(B436,"mmm yyyy")</x:f>
        <x:v>Mar 2025</x:v>
      </x:c>
      <x:c r="U436" s="8" t="n">
        <x:f>YEAR(B436)</x:f>
        <x:v>2025</x:v>
      </x:c>
    </x:row>
    <x:row r="437">
      <x:c r="A437" s="8" t="str">
        <x:v>ORD-0433</x:v>
      </x:c>
      <x:c r="B437" s="22" t="n">
        <x:v>45721.25007232639</x:v>
      </x:c>
      <x:c r="C437" s="8" t="str">
        <x:v>CUS-071</x:v>
      </x:c>
      <x:c r="D437" s="8" t="str">
        <x:f>IFERROR(INDEX('Lookup Tables'!$B$5:$B$84,MATCH(C437,'Lookup Tables'!$A$5:$A$84,0)),"Unknown Customer")</x:f>
        <x:v>Aditya Joshi 4</x:v>
      </x:c>
      <x:c r="E437" s="8" t="str">
        <x:f>IFERROR(INDEX('Lookup Tables'!$C$5:$C$84,MATCH(C437,'Lookup Tables'!$A$5:$A$84,0)),"Unknown")</x:f>
        <x:v>Corporate</x:v>
      </x:c>
      <x:c r="F437" s="8" t="str">
        <x:v>Jaipur</x:v>
      </x:c>
      <x:c r="G437" s="8" t="str">
        <x:f>IFERROR(INDEX('Lookup Tables'!$N$5:$N$14,MATCH(F437,'Lookup Tables'!$M$5:$M$14,0)),"Unknown")</x:f>
        <x:v>North</x:v>
      </x:c>
      <x:c r="H437" s="8" t="str">
        <x:v>PRD-005</x:v>
      </x:c>
      <x:c r="I437" s="8" t="str">
        <x:f>IFERROR(INDEX('Lookup Tables'!$G$5:$G$16,MATCH(H437,'Lookup Tables'!$F$5:$F$16,0)),"Unknown Product")</x:f>
        <x:v>Executive Notebook</x:v>
      </x:c>
      <x:c r="J437" s="8" t="str">
        <x:f>IFERROR(INDEX('Lookup Tables'!$H$5:$H$16,MATCH(H437,'Lookup Tables'!$F$5:$F$16,0)),"Unknown")</x:f>
        <x:v>Office Supplies</x:v>
      </x:c>
      <x:c r="K437" s="8" t="n">
        <x:v>4</x:v>
      </x:c>
      <x:c r="L437" s="9" t="n">
        <x:f>IFERROR(INDEX('Lookup Tables'!$I$5:$I$16,MATCH(H437,'Lookup Tables'!$F$5:$F$16,0)),0)</x:f>
        <x:v>349</x:v>
      </x:c>
      <x:c r="M437" s="23" t="n">
        <x:f>IF('Raw Data'!M437="",0,'Raw Data'!M437)</x:f>
        <x:v>0.15</x:v>
      </x:c>
      <x:c r="N437" s="9" t="n">
        <x:f>IF(S437="Completed",K437*L437*(1-M437),0)</x:f>
        <x:v>1186.6</x:v>
      </x:c>
      <x:c r="O437" s="9" t="n">
        <x:f>IFERROR(INDEX('Lookup Tables'!$J$5:$J$16,MATCH(H437,'Lookup Tables'!$F$5:$F$16,0)),0)</x:f>
        <x:v>170</x:v>
      </x:c>
      <x:c r="P437" s="9" t="n">
        <x:f>IF(S437="Completed",K437*O437,0)</x:f>
        <x:v>680</x:v>
      </x:c>
      <x:c r="Q437" s="9" t="n">
        <x:f>N437-P437</x:f>
        <x:v>506.5999999999999</x:v>
      </x:c>
      <x:c r="R437" s="8" t="str">
        <x:f>IF(LOWER('Raw Data'!N437)="upi","UPI",'Raw Data'!N437)</x:f>
        <x:v>Credit Card</x:v>
      </x:c>
      <x:c r="S437" s="8" t="str">
        <x:v>Completed</x:v>
      </x:c>
      <x:c r="T437" s="8" t="str">
        <x:f>TEXT(B437,"mmm yyyy")</x:f>
        <x:v>Mar 2025</x:v>
      </x:c>
      <x:c r="U437" s="8" t="n">
        <x:f>YEAR(B437)</x:f>
        <x:v>2025</x:v>
      </x:c>
    </x:row>
    <x:row r="438">
      <x:c r="A438" s="8" t="str">
        <x:v>ORD-0434</x:v>
      </x:c>
      <x:c r="B438" s="22" t="n">
        <x:v>45992.50031846065</x:v>
      </x:c>
      <x:c r="C438" s="8" t="str">
        <x:v>CUS-070</x:v>
      </x:c>
      <x:c r="D438" s="8" t="str">
        <x:f>IFERROR(INDEX('Lookup Tables'!$B$5:$B$84,MATCH(C438,'Lookup Tables'!$A$5:$A$84,0)),"Unknown Customer")</x:f>
        <x:v>Saanvi Iyer 4</x:v>
      </x:c>
      <x:c r="E438" s="8" t="str">
        <x:f>IFERROR(INDEX('Lookup Tables'!$C$5:$C$84,MATCH(C438,'Lookup Tables'!$A$5:$A$84,0)),"Unknown")</x:f>
        <x:v>Consumer</x:v>
      </x:c>
      <x:c r="F438" s="8" t="str">
        <x:v>Jaipur</x:v>
      </x:c>
      <x:c r="G438" s="8" t="str">
        <x:f>IFERROR(INDEX('Lookup Tables'!$N$5:$N$14,MATCH(F438,'Lookup Tables'!$M$5:$M$14,0)),"Unknown")</x:f>
        <x:v>North</x:v>
      </x:c>
      <x:c r="H438" s="8" t="str">
        <x:v>PRD-005</x:v>
      </x:c>
      <x:c r="I438" s="8" t="str">
        <x:f>IFERROR(INDEX('Lookup Tables'!$G$5:$G$16,MATCH(H438,'Lookup Tables'!$F$5:$F$16,0)),"Unknown Product")</x:f>
        <x:v>Executive Notebook</x:v>
      </x:c>
      <x:c r="J438" s="8" t="str">
        <x:f>IFERROR(INDEX('Lookup Tables'!$H$5:$H$16,MATCH(H438,'Lookup Tables'!$F$5:$F$16,0)),"Unknown")</x:f>
        <x:v>Office Supplies</x:v>
      </x:c>
      <x:c r="K438" s="8" t="n">
        <x:v>2</x:v>
      </x:c>
      <x:c r="L438" s="9" t="n">
        <x:f>IFERROR(INDEX('Lookup Tables'!$I$5:$I$16,MATCH(H438,'Lookup Tables'!$F$5:$F$16,0)),0)</x:f>
        <x:v>349</x:v>
      </x:c>
      <x:c r="M438" s="23" t="n">
        <x:f>IF('Raw Data'!M438="",0,'Raw Data'!M438)</x:f>
        <x:v>0</x:v>
      </x:c>
      <x:c r="N438" s="9" t="n">
        <x:f>IF(S438="Completed",K438*L438*(1-M438),0)</x:f>
        <x:v>0</x:v>
      </x:c>
      <x:c r="O438" s="9" t="n">
        <x:f>IFERROR(INDEX('Lookup Tables'!$J$5:$J$16,MATCH(H438,'Lookup Tables'!$F$5:$F$16,0)),0)</x:f>
        <x:v>170</x:v>
      </x:c>
      <x:c r="P438" s="9" t="n">
        <x:f>IF(S438="Completed",K438*O438,0)</x:f>
        <x:v>0</x:v>
      </x:c>
      <x:c r="Q438" s="9" t="n">
        <x:f>N438-P438</x:f>
        <x:v>0</x:v>
      </x:c>
      <x:c r="R438" s="8" t="str">
        <x:f>IF(LOWER('Raw Data'!N438)="upi","UPI",'Raw Data'!N438)</x:f>
        <x:v>Credit Card</x:v>
      </x:c>
      <x:c r="S438" s="8" t="str">
        <x:v>Returned</x:v>
      </x:c>
      <x:c r="T438" s="8" t="str">
        <x:f>TEXT(B438,"mmm yyyy")</x:f>
        <x:v>Dec 2025</x:v>
      </x:c>
      <x:c r="U438" s="8" t="n">
        <x:f>YEAR(B438)</x:f>
        <x:v>2025</x:v>
      </x:c>
    </x:row>
    <x:row r="439">
      <x:c r="A439" s="8" t="str">
        <x:v>ORD-0435</x:v>
      </x:c>
      <x:c r="B439" s="22" t="n">
        <x:v>45736.90050887731</x:v>
      </x:c>
      <x:c r="C439" s="8" t="str">
        <x:v>CUS-054</x:v>
      </x:c>
      <x:c r="D439" s="8" t="str">
        <x:f>IFERROR(INDEX('Lookup Tables'!$B$5:$B$84,MATCH(C439,'Lookup Tables'!$A$5:$A$84,0)),"Unknown Customer")</x:f>
        <x:v>Neha Rao 3</x:v>
      </x:c>
      <x:c r="E439" s="8" t="str">
        <x:f>IFERROR(INDEX('Lookup Tables'!$C$5:$C$84,MATCH(C439,'Lookup Tables'!$A$5:$A$84,0)),"Unknown")</x:f>
        <x:v>Small Business</x:v>
      </x:c>
      <x:c r="F439" s="8" t="str">
        <x:v>Bengaluru</x:v>
      </x:c>
      <x:c r="G439" s="8" t="str">
        <x:f>IFERROR(INDEX('Lookup Tables'!$N$5:$N$14,MATCH(F439,'Lookup Tables'!$M$5:$M$14,0)),"Unknown")</x:f>
        <x:v>South</x:v>
      </x:c>
      <x:c r="H439" s="8" t="str">
        <x:v>PRD-009</x:v>
      </x:c>
      <x:c r="I439" s="8" t="str">
        <x:f>IFERROR(INDEX('Lookup Tables'!$G$5:$G$16,MATCH(H439,'Lookup Tables'!$F$5:$F$16,0)),"Unknown Product")</x:f>
        <x:v>Table Lamp</x:v>
      </x:c>
      <x:c r="J439" s="8" t="str">
        <x:f>IFERROR(INDEX('Lookup Tables'!$H$5:$H$16,MATCH(H439,'Lookup Tables'!$F$5:$F$16,0)),"Unknown")</x:f>
        <x:v>Home &amp; Kitchen</x:v>
      </x:c>
      <x:c r="K439" s="8" t="n">
        <x:v>3</x:v>
      </x:c>
      <x:c r="L439" s="9" t="n">
        <x:f>IFERROR(INDEX('Lookup Tables'!$I$5:$I$16,MATCH(H439,'Lookup Tables'!$F$5:$F$16,0)),0)</x:f>
        <x:v>1499</x:v>
      </x:c>
      <x:c r="M439" s="23" t="n">
        <x:f>IF('Raw Data'!M439="",0,'Raw Data'!M439)</x:f>
        <x:v>0.15</x:v>
      </x:c>
      <x:c r="N439" s="9" t="n">
        <x:f>IF(S439="Completed",K439*L439*(1-M439),0)</x:f>
        <x:v>3822.45</x:v>
      </x:c>
      <x:c r="O439" s="9" t="n">
        <x:f>IFERROR(INDEX('Lookup Tables'!$J$5:$J$16,MATCH(H439,'Lookup Tables'!$F$5:$F$16,0)),0)</x:f>
        <x:v>920</x:v>
      </x:c>
      <x:c r="P439" s="9" t="n">
        <x:f>IF(S439="Completed",K439*O439,0)</x:f>
        <x:v>2760</x:v>
      </x:c>
      <x:c r="Q439" s="9" t="n">
        <x:f>N439-P439</x:f>
        <x:v>1062.4499999999998</x:v>
      </x:c>
      <x:c r="R439" s="8" t="str">
        <x:f>IF(LOWER('Raw Data'!N439)="upi","UPI",'Raw Data'!N439)</x:f>
        <x:v>Debit Card</x:v>
      </x:c>
      <x:c r="S439" s="8" t="str">
        <x:v>Completed</x:v>
      </x:c>
      <x:c r="T439" s="8" t="str">
        <x:f>TEXT(B439,"mmm yyyy")</x:f>
        <x:v>Mar 2025</x:v>
      </x:c>
      <x:c r="U439" s="8" t="n">
        <x:f>YEAR(B439)</x:f>
        <x:v>2025</x:v>
      </x:c>
    </x:row>
    <x:row r="440">
      <x:c r="A440" s="8" t="str">
        <x:v>ORD-0436</x:v>
      </x:c>
      <x:c r="B440" s="22" t="n">
        <x:v>45880.9988581713</x:v>
      </x:c>
      <x:c r="C440" s="8" t="str">
        <x:v>CUS-010</x:v>
      </x:c>
      <x:c r="D440" s="8" t="str">
        <x:f>IFERROR(INDEX('Lookup Tables'!$B$5:$B$84,MATCH(C440,'Lookup Tables'!$A$5:$A$84,0)),"Unknown Customer")</x:f>
        <x:v>Saanvi Iyer</x:v>
      </x:c>
      <x:c r="E440" s="8" t="str">
        <x:f>IFERROR(INDEX('Lookup Tables'!$C$5:$C$84,MATCH(C440,'Lookup Tables'!$A$5:$A$84,0)),"Unknown")</x:f>
        <x:v>Consumer</x:v>
      </x:c>
      <x:c r="F440" s="8" t="str">
        <x:v>Jaipur</x:v>
      </x:c>
      <x:c r="G440" s="8" t="str">
        <x:f>IFERROR(INDEX('Lookup Tables'!$N$5:$N$14,MATCH(F440,'Lookup Tables'!$M$5:$M$14,0)),"Unknown")</x:f>
        <x:v>North</x:v>
      </x:c>
      <x:c r="H440" s="8" t="str">
        <x:v>PRD-007</x:v>
      </x:c>
      <x:c r="I440" s="8" t="str">
        <x:f>IFERROR(INDEX('Lookup Tables'!$G$5:$G$16,MATCH(H440,'Lookup Tables'!$F$5:$F$16,0)),"Unknown Product")</x:f>
        <x:v>Electric Kettle</x:v>
      </x:c>
      <x:c r="J440" s="8" t="str">
        <x:f>IFERROR(INDEX('Lookup Tables'!$H$5:$H$16,MATCH(H440,'Lookup Tables'!$F$5:$F$16,0)),"Unknown")</x:f>
        <x:v>Home &amp; Kitchen</x:v>
      </x:c>
      <x:c r="K440" s="8" t="n">
        <x:v>4</x:v>
      </x:c>
      <x:c r="L440" s="9" t="n">
        <x:f>IFERROR(INDEX('Lookup Tables'!$I$5:$I$16,MATCH(H440,'Lookup Tables'!$F$5:$F$16,0)),0)</x:f>
        <x:v>1699</x:v>
      </x:c>
      <x:c r="M440" s="23" t="n">
        <x:f>IF('Raw Data'!M440="",0,'Raw Data'!M440)</x:f>
        <x:v>0</x:v>
      </x:c>
      <x:c r="N440" s="9" t="n">
        <x:f>IF(S440="Completed",K440*L440*(1-M440),0)</x:f>
        <x:v>0</x:v>
      </x:c>
      <x:c r="O440" s="9" t="n">
        <x:f>IFERROR(INDEX('Lookup Tables'!$J$5:$J$16,MATCH(H440,'Lookup Tables'!$F$5:$F$16,0)),0)</x:f>
        <x:v>1040</x:v>
      </x:c>
      <x:c r="P440" s="9" t="n">
        <x:f>IF(S440="Completed",K440*O440,0)</x:f>
        <x:v>0</x:v>
      </x:c>
      <x:c r="Q440" s="9" t="n">
        <x:f>N440-P440</x:f>
        <x:v>0</x:v>
      </x:c>
      <x:c r="R440" s="8" t="str">
        <x:f>IF(LOWER('Raw Data'!N440)="upi","UPI",'Raw Data'!N440)</x:f>
        <x:v>Debit Card</x:v>
      </x:c>
      <x:c r="S440" s="8" t="str">
        <x:v>Returned</x:v>
      </x:c>
      <x:c r="T440" s="8" t="str">
        <x:f>TEXT(B440,"mmm yyyy")</x:f>
        <x:v>Aug 2025</x:v>
      </x:c>
      <x:c r="U440" s="8" t="n">
        <x:f>YEAR(B440)</x:f>
        <x:v>2025</x:v>
      </x:c>
    </x:row>
    <x:row r="441">
      <x:c r="A441" s="8" t="str">
        <x:v>ORD-0437</x:v>
      </x:c>
      <x:c r="B441" s="22" t="n">
        <x:v>45742.04285222222</x:v>
      </x:c>
      <x:c r="C441" s="8" t="str">
        <x:v>CUS-063</x:v>
      </x:c>
      <x:c r="D441" s="8" t="str">
        <x:f>IFERROR(INDEX('Lookup Tables'!$B$5:$B$84,MATCH(C441,'Lookup Tables'!$A$5:$A$84,0)),"Unknown Customer")</x:f>
        <x:v>Vihaan Singh 4</x:v>
      </x:c>
      <x:c r="E441" s="8" t="str">
        <x:f>IFERROR(INDEX('Lookup Tables'!$C$5:$C$84,MATCH(C441,'Lookup Tables'!$A$5:$A$84,0)),"Unknown")</x:f>
        <x:v>Small Business</x:v>
      </x:c>
      <x:c r="F441" s="8" t="str">
        <x:v>Delhi</x:v>
      </x:c>
      <x:c r="G441" s="8" t="str">
        <x:f>IFERROR(INDEX('Lookup Tables'!$N$5:$N$14,MATCH(F441,'Lookup Tables'!$M$5:$M$14,0)),"Unknown")</x:f>
        <x:v>North</x:v>
      </x:c>
      <x:c r="H441" s="8" t="str">
        <x:v>PRD-003</x:v>
      </x:c>
      <x:c r="I441" s="8" t="str">
        <x:f>IFERROR(INDEX('Lookup Tables'!$G$5:$G$16,MATCH(H441,'Lookup Tables'!$F$5:$F$16,0)),"Unknown Product")</x:f>
        <x:v>USB-C Hub</x:v>
      </x:c>
      <x:c r="J441" s="8" t="str">
        <x:f>IFERROR(INDEX('Lookup Tables'!$H$5:$H$16,MATCH(H441,'Lookup Tables'!$F$5:$F$16,0)),"Unknown")</x:f>
        <x:v>Electronics</x:v>
      </x:c>
      <x:c r="K441" s="8" t="n">
        <x:v>4</x:v>
      </x:c>
      <x:c r="L441" s="9" t="n">
        <x:f>IFERROR(INDEX('Lookup Tables'!$I$5:$I$16,MATCH(H441,'Lookup Tables'!$F$5:$F$16,0)),0)</x:f>
        <x:v>1899</x:v>
      </x:c>
      <x:c r="M441" s="23" t="n">
        <x:f>IF('Raw Data'!M441="",0,'Raw Data'!M441)</x:f>
        <x:v>0.15</x:v>
      </x:c>
      <x:c r="N441" s="9" t="n">
        <x:f>IF(S441="Completed",K441*L441*(1-M441),0)</x:f>
        <x:v>6456.599999999999</x:v>
      </x:c>
      <x:c r="O441" s="9" t="n">
        <x:f>IFERROR(INDEX('Lookup Tables'!$J$5:$J$16,MATCH(H441,'Lookup Tables'!$F$5:$F$16,0)),0)</x:f>
        <x:v>1180</x:v>
      </x:c>
      <x:c r="P441" s="9" t="n">
        <x:f>IF(S441="Completed",K441*O441,0)</x:f>
        <x:v>4720</x:v>
      </x:c>
      <x:c r="Q441" s="9" t="n">
        <x:f>N441-P441</x:f>
        <x:v>1736.5999999999995</x:v>
      </x:c>
      <x:c r="R441" s="8" t="str">
        <x:f>IF(LOWER('Raw Data'!N441)="upi","UPI",'Raw Data'!N441)</x:f>
        <x:v>Cash on Delivery</x:v>
      </x:c>
      <x:c r="S441" s="8" t="str">
        <x:v>Completed</x:v>
      </x:c>
      <x:c r="T441" s="8" t="str">
        <x:f>TEXT(B441,"mmm yyyy")</x:f>
        <x:v>Mar 2025</x:v>
      </x:c>
      <x:c r="U441" s="8" t="n">
        <x:f>YEAR(B441)</x:f>
        <x:v>2025</x:v>
      </x:c>
    </x:row>
    <x:row r="442">
      <x:c r="A442" s="8" t="str">
        <x:v>ORD-0438</x:v>
      </x:c>
      <x:c r="B442" s="22" t="n">
        <x:v>45868.98228273148</x:v>
      </x:c>
      <x:c r="C442" s="8" t="str">
        <x:v>CUS-059</x:v>
      </x:c>
      <x:c r="D442" s="8" t="str">
        <x:f>IFERROR(INDEX('Lookup Tables'!$B$5:$B$84,MATCH(C442,'Lookup Tables'!$A$5:$A$84,0)),"Unknown Customer")</x:f>
        <x:v>Siddharth Jain 3</x:v>
      </x:c>
      <x:c r="E442" s="8" t="str">
        <x:f>IFERROR(INDEX('Lookup Tables'!$C$5:$C$84,MATCH(C442,'Lookup Tables'!$A$5:$A$84,0)),"Unknown")</x:f>
        <x:v>Corporate</x:v>
      </x:c>
      <x:c r="F442" s="8" t="str">
        <x:v>Mumbai</x:v>
      </x:c>
      <x:c r="G442" s="8" t="str">
        <x:f>IFERROR(INDEX('Lookup Tables'!$N$5:$N$14,MATCH(F442,'Lookup Tables'!$M$5:$M$14,0)),"Unknown")</x:f>
        <x:v>West</x:v>
      </x:c>
      <x:c r="H442" s="8" t="str">
        <x:v>PRD-007</x:v>
      </x:c>
      <x:c r="I442" s="8" t="str">
        <x:f>IFERROR(INDEX('Lookup Tables'!$G$5:$G$16,MATCH(H442,'Lookup Tables'!$F$5:$F$16,0)),"Unknown Product")</x:f>
        <x:v>Electric Kettle</x:v>
      </x:c>
      <x:c r="J442" s="8" t="str">
        <x:f>IFERROR(INDEX('Lookup Tables'!$H$5:$H$16,MATCH(H442,'Lookup Tables'!$F$5:$F$16,0)),"Unknown")</x:f>
        <x:v>Home &amp; Kitchen</x:v>
      </x:c>
      <x:c r="K442" s="8" t="n">
        <x:v>2</x:v>
      </x:c>
      <x:c r="L442" s="9" t="n">
        <x:f>IFERROR(INDEX('Lookup Tables'!$I$5:$I$16,MATCH(H442,'Lookup Tables'!$F$5:$F$16,0)),0)</x:f>
        <x:v>1699</x:v>
      </x:c>
      <x:c r="M442" s="23" t="n">
        <x:f>IF('Raw Data'!M442="",0,'Raw Data'!M442)</x:f>
        <x:v>0.15</x:v>
      </x:c>
      <x:c r="N442" s="9" t="n">
        <x:f>IF(S442="Completed",K442*L442*(1-M442),0)</x:f>
        <x:v>2888.2999999999997</x:v>
      </x:c>
      <x:c r="O442" s="9" t="n">
        <x:f>IFERROR(INDEX('Lookup Tables'!$J$5:$J$16,MATCH(H442,'Lookup Tables'!$F$5:$F$16,0)),0)</x:f>
        <x:v>1040</x:v>
      </x:c>
      <x:c r="P442" s="9" t="n">
        <x:f>IF(S442="Completed",K442*O442,0)</x:f>
        <x:v>2080</x:v>
      </x:c>
      <x:c r="Q442" s="9" t="n">
        <x:f>N442-P442</x:f>
        <x:v>808.2999999999997</x:v>
      </x:c>
      <x:c r="R442" s="8" t="str">
        <x:f>IF(LOWER('Raw Data'!N442)="upi","UPI",'Raw Data'!N442)</x:f>
        <x:v>Debit Card</x:v>
      </x:c>
      <x:c r="S442" s="8" t="str">
        <x:v>Completed</x:v>
      </x:c>
      <x:c r="T442" s="8" t="str">
        <x:f>TEXT(B442,"mmm yyyy")</x:f>
        <x:v>Jul 2025</x:v>
      </x:c>
      <x:c r="U442" s="8" t="n">
        <x:f>YEAR(B442)</x:f>
        <x:v>2025</x:v>
      </x:c>
    </x:row>
    <x:row r="443">
      <x:c r="A443" s="8" t="str">
        <x:v>ORD-0439</x:v>
      </x:c>
      <x:c r="B443" s="22" t="n">
        <x:v>45688.314400243056</x:v>
      </x:c>
      <x:c r="C443" s="8" t="str">
        <x:v>CUS-027</x:v>
      </x:c>
      <x:c r="D443" s="8" t="str">
        <x:f>IFERROR(INDEX('Lookup Tables'!$B$5:$B$84,MATCH(C443,'Lookup Tables'!$A$5:$A$84,0)),"Unknown Customer")</x:f>
        <x:v>Kabir Khan 2</x:v>
      </x:c>
      <x:c r="E443" s="8" t="str">
        <x:f>IFERROR(INDEX('Lookup Tables'!$C$5:$C$84,MATCH(C443,'Lookup Tables'!$A$5:$A$84,0)),"Unknown")</x:f>
        <x:v>Small Business</x:v>
      </x:c>
      <x:c r="F443" s="8" t="str">
        <x:v>Jaipur</x:v>
      </x:c>
      <x:c r="G443" s="8" t="str">
        <x:f>IFERROR(INDEX('Lookup Tables'!$N$5:$N$14,MATCH(F443,'Lookup Tables'!$M$5:$M$14,0)),"Unknown")</x:f>
        <x:v>North</x:v>
      </x:c>
      <x:c r="H443" s="8" t="str">
        <x:v>PRD-002</x:v>
      </x:c>
      <x:c r="I443" s="8" t="str">
        <x:f>IFERROR(INDEX('Lookup Tables'!$G$5:$G$16,MATCH(H443,'Lookup Tables'!$F$5:$F$16,0)),"Unknown Product")</x:f>
        <x:v>Bluetooth Headphones</x:v>
      </x:c>
      <x:c r="J443" s="8" t="str">
        <x:f>IFERROR(INDEX('Lookup Tables'!$H$5:$H$16,MATCH(H443,'Lookup Tables'!$F$5:$F$16,0)),"Unknown")</x:f>
        <x:v>Electronics</x:v>
      </x:c>
      <x:c r="K443" s="8" t="n">
        <x:v>4</x:v>
      </x:c>
      <x:c r="L443" s="9" t="n">
        <x:f>IFERROR(INDEX('Lookup Tables'!$I$5:$I$16,MATCH(H443,'Lookup Tables'!$F$5:$F$16,0)),0)</x:f>
        <x:v>2499</x:v>
      </x:c>
      <x:c r="M443" s="23" t="n">
        <x:f>IF('Raw Data'!M443="",0,'Raw Data'!M443)</x:f>
        <x:v>0</x:v>
      </x:c>
      <x:c r="N443" s="9" t="n">
        <x:f>IF(S443="Completed",K443*L443*(1-M443),0)</x:f>
        <x:v>0</x:v>
      </x:c>
      <x:c r="O443" s="9" t="n">
        <x:f>IFERROR(INDEX('Lookup Tables'!$J$5:$J$16,MATCH(H443,'Lookup Tables'!$F$5:$F$16,0)),0)</x:f>
        <x:v>1620</x:v>
      </x:c>
      <x:c r="P443" s="9" t="n">
        <x:f>IF(S443="Completed",K443*O443,0)</x:f>
        <x:v>0</x:v>
      </x:c>
      <x:c r="Q443" s="9" t="n">
        <x:f>N443-P443</x:f>
        <x:v>0</x:v>
      </x:c>
      <x:c r="R443" s="8" t="str">
        <x:f>IF(LOWER('Raw Data'!N443)="upi","UPI",'Raw Data'!N443)</x:f>
        <x:v>Cash on Delivery</x:v>
      </x:c>
      <x:c r="S443" s="8" t="str">
        <x:v>Returned</x:v>
      </x:c>
      <x:c r="T443" s="8" t="str">
        <x:f>TEXT(B443,"mmm yyyy")</x:f>
        <x:v>Jan 2025</x:v>
      </x:c>
      <x:c r="U443" s="8" t="n">
        <x:f>YEAR(B443)</x:f>
        <x:v>2025</x:v>
      </x:c>
    </x:row>
    <x:row r="444">
      <x:c r="A444" s="8" t="str">
        <x:v>ORD-0440</x:v>
      </x:c>
      <x:c r="B444" s="22" t="n">
        <x:v>45866.39915989583</x:v>
      </x:c>
      <x:c r="C444" s="8" t="str">
        <x:v>CUS-039</x:v>
      </x:c>
      <x:c r="D444" s="8" t="str">
        <x:f>IFERROR(INDEX('Lookup Tables'!$B$5:$B$84,MATCH(C444,'Lookup Tables'!$A$5:$A$84,0)),"Unknown Customer")</x:f>
        <x:v>Siddharth Jain 2</x:v>
      </x:c>
      <x:c r="E444" s="8" t="str">
        <x:f>IFERROR(INDEX('Lookup Tables'!$C$5:$C$84,MATCH(C444,'Lookup Tables'!$A$5:$A$84,0)),"Unknown")</x:f>
        <x:v>Small Business</x:v>
      </x:c>
      <x:c r="F444" s="8" t="str">
        <x:v>Lucknow</x:v>
      </x:c>
      <x:c r="G444" s="8" t="str">
        <x:f>IFERROR(INDEX('Lookup Tables'!$N$5:$N$14,MATCH(F444,'Lookup Tables'!$M$5:$M$14,0)),"Unknown")</x:f>
        <x:v>North</x:v>
      </x:c>
      <x:c r="H444" s="8" t="str">
        <x:v>PRD-003</x:v>
      </x:c>
      <x:c r="I444" s="8" t="str">
        <x:f>IFERROR(INDEX('Lookup Tables'!$G$5:$G$16,MATCH(H444,'Lookup Tables'!$F$5:$F$16,0)),"Unknown Product")</x:f>
        <x:v>USB-C Hub</x:v>
      </x:c>
      <x:c r="J444" s="8" t="str">
        <x:f>IFERROR(INDEX('Lookup Tables'!$H$5:$H$16,MATCH(H444,'Lookup Tables'!$F$5:$F$16,0)),"Unknown")</x:f>
        <x:v>Electronics</x:v>
      </x:c>
      <x:c r="K444" s="8" t="n">
        <x:v>1</x:v>
      </x:c>
      <x:c r="L444" s="9" t="n">
        <x:f>IFERROR(INDEX('Lookup Tables'!$I$5:$I$16,MATCH(H444,'Lookup Tables'!$F$5:$F$16,0)),0)</x:f>
        <x:v>1899</x:v>
      </x:c>
      <x:c r="M444" s="23" t="n">
        <x:f>IF('Raw Data'!M444="",0,'Raw Data'!M444)</x:f>
        <x:v>0.05</x:v>
      </x:c>
      <x:c r="N444" s="9" t="n">
        <x:f>IF(S444="Completed",K444*L444*(1-M444),0)</x:f>
        <x:v>1804.05</x:v>
      </x:c>
      <x:c r="O444" s="9" t="n">
        <x:f>IFERROR(INDEX('Lookup Tables'!$J$5:$J$16,MATCH(H444,'Lookup Tables'!$F$5:$F$16,0)),0)</x:f>
        <x:v>1180</x:v>
      </x:c>
      <x:c r="P444" s="9" t="n">
        <x:f>IF(S444="Completed",K444*O444,0)</x:f>
        <x:v>1180</x:v>
      </x:c>
      <x:c r="Q444" s="9" t="n">
        <x:f>N444-P444</x:f>
        <x:v>624.05</x:v>
      </x:c>
      <x:c r="R444" s="8" t="str">
        <x:f>IF(LOWER('Raw Data'!N444)="upi","UPI",'Raw Data'!N444)</x:f>
        <x:v>Debit Card</x:v>
      </x:c>
      <x:c r="S444" s="8" t="str">
        <x:v>Completed</x:v>
      </x:c>
      <x:c r="T444" s="8" t="str">
        <x:f>TEXT(B444,"mmm yyyy")</x:f>
        <x:v>Jul 2025</x:v>
      </x:c>
      <x:c r="U444" s="8" t="n">
        <x:f>YEAR(B444)</x:f>
        <x:v>2025</x:v>
      </x:c>
    </x:row>
    <x:row r="445">
      <x:c r="A445" s="8" t="str">
        <x:v>ORD-0441</x:v>
      </x:c>
      <x:c r="B445" s="22" t="n">
        <x:v>45991.37476613426</x:v>
      </x:c>
      <x:c r="C445" s="8" t="str">
        <x:v>CUS-021</x:v>
      </x:c>
      <x:c r="D445" s="8" t="str">
        <x:f>IFERROR(INDEX('Lookup Tables'!$B$5:$B$84,MATCH(C445,'Lookup Tables'!$A$5:$A$84,0)),"Unknown Customer")</x:f>
        <x:v>Aarav Sharma 2</x:v>
      </x:c>
      <x:c r="E445" s="8" t="str">
        <x:f>IFERROR(INDEX('Lookup Tables'!$C$5:$C$84,MATCH(C445,'Lookup Tables'!$A$5:$A$84,0)),"Unknown")</x:f>
        <x:v>Small Business</x:v>
      </x:c>
      <x:c r="F445" s="8" t="str">
        <x:v>Delhi</x:v>
      </x:c>
      <x:c r="G445" s="8" t="str">
        <x:f>IFERROR(INDEX('Lookup Tables'!$N$5:$N$14,MATCH(F445,'Lookup Tables'!$M$5:$M$14,0)),"Unknown")</x:f>
        <x:v>North</x:v>
      </x:c>
      <x:c r="H445" s="8" t="str">
        <x:v>PRD-005</x:v>
      </x:c>
      <x:c r="I445" s="8" t="str">
        <x:f>IFERROR(INDEX('Lookup Tables'!$G$5:$G$16,MATCH(H445,'Lookup Tables'!$F$5:$F$16,0)),"Unknown Product")</x:f>
        <x:v>Executive Notebook</x:v>
      </x:c>
      <x:c r="J445" s="8" t="str">
        <x:f>IFERROR(INDEX('Lookup Tables'!$H$5:$H$16,MATCH(H445,'Lookup Tables'!$F$5:$F$16,0)),"Unknown")</x:f>
        <x:v>Office Supplies</x:v>
      </x:c>
      <x:c r="K445" s="8" t="n">
        <x:v>1</x:v>
      </x:c>
      <x:c r="L445" s="9" t="n">
        <x:f>IFERROR(INDEX('Lookup Tables'!$I$5:$I$16,MATCH(H445,'Lookup Tables'!$F$5:$F$16,0)),0)</x:f>
        <x:v>349</x:v>
      </x:c>
      <x:c r="M445" s="23" t="n">
        <x:f>IF('Raw Data'!M445="",0,'Raw Data'!M445)</x:f>
        <x:v>0</x:v>
      </x:c>
      <x:c r="N445" s="9" t="n">
        <x:f>IF(S445="Completed",K445*L445*(1-M445),0)</x:f>
        <x:v>349</x:v>
      </x:c>
      <x:c r="O445" s="9" t="n">
        <x:f>IFERROR(INDEX('Lookup Tables'!$J$5:$J$16,MATCH(H445,'Lookup Tables'!$F$5:$F$16,0)),0)</x:f>
        <x:v>170</x:v>
      </x:c>
      <x:c r="P445" s="9" t="n">
        <x:f>IF(S445="Completed",K445*O445,0)</x:f>
        <x:v>170</x:v>
      </x:c>
      <x:c r="Q445" s="9" t="n">
        <x:f>N445-P445</x:f>
        <x:v>179</x:v>
      </x:c>
      <x:c r="R445" s="8" t="str">
        <x:f>IF(LOWER('Raw Data'!N445)="upi","UPI",'Raw Data'!N445)</x:f>
        <x:v>UPI</x:v>
      </x:c>
      <x:c r="S445" s="8" t="str">
        <x:v>Completed</x:v>
      </x:c>
      <x:c r="T445" s="8" t="str">
        <x:f>TEXT(B445,"mmm yyyy")</x:f>
        <x:v>Nov 2025</x:v>
      </x:c>
      <x:c r="U445" s="8" t="n">
        <x:f>YEAR(B445)</x:f>
        <x:v>2025</x:v>
      </x:c>
    </x:row>
    <x:row r="446">
      <x:c r="A446" s="8" t="str">
        <x:v>ORD-0442</x:v>
      </x:c>
      <x:c r="B446" s="22" t="n">
        <x:v>45737.43926010417</x:v>
      </x:c>
      <x:c r="C446" s="8" t="str">
        <x:v>CUS-001</x:v>
      </x:c>
      <x:c r="D446" s="8" t="str">
        <x:f>IFERROR(INDEX('Lookup Tables'!$B$5:$B$84,MATCH(C446,'Lookup Tables'!$A$5:$A$84,0)),"Unknown Customer")</x:f>
        <x:v>Aarav Sharma</x:v>
      </x:c>
      <x:c r="E446" s="8" t="str">
        <x:f>IFERROR(INDEX('Lookup Tables'!$C$5:$C$84,MATCH(C446,'Lookup Tables'!$A$5:$A$84,0)),"Unknown")</x:f>
        <x:v>Consumer</x:v>
      </x:c>
      <x:c r="F446" s="8" t="str">
        <x:v>Delhi</x:v>
      </x:c>
      <x:c r="G446" s="8" t="str">
        <x:f>IFERROR(INDEX('Lookup Tables'!$N$5:$N$14,MATCH(F446,'Lookup Tables'!$M$5:$M$14,0)),"Unknown")</x:f>
        <x:v>North</x:v>
      </x:c>
      <x:c r="H446" s="8" t="str">
        <x:v>PRD-009</x:v>
      </x:c>
      <x:c r="I446" s="8" t="str">
        <x:f>IFERROR(INDEX('Lookup Tables'!$G$5:$G$16,MATCH(H446,'Lookup Tables'!$F$5:$F$16,0)),"Unknown Product")</x:f>
        <x:v>Table Lamp</x:v>
      </x:c>
      <x:c r="J446" s="8" t="str">
        <x:f>IFERROR(INDEX('Lookup Tables'!$H$5:$H$16,MATCH(H446,'Lookup Tables'!$F$5:$F$16,0)),"Unknown")</x:f>
        <x:v>Home &amp; Kitchen</x:v>
      </x:c>
      <x:c r="K446" s="8" t="n">
        <x:v>2</x:v>
      </x:c>
      <x:c r="L446" s="9" t="n">
        <x:f>IFERROR(INDEX('Lookup Tables'!$I$5:$I$16,MATCH(H446,'Lookup Tables'!$F$5:$F$16,0)),0)</x:f>
        <x:v>1499</x:v>
      </x:c>
      <x:c r="M446" s="23" t="n">
        <x:f>IF('Raw Data'!M446="",0,'Raw Data'!M446)</x:f>
        <x:v>0</x:v>
      </x:c>
      <x:c r="N446" s="9" t="n">
        <x:f>IF(S446="Completed",K446*L446*(1-M446),0)</x:f>
        <x:v>2998</x:v>
      </x:c>
      <x:c r="O446" s="9" t="n">
        <x:f>IFERROR(INDEX('Lookup Tables'!$J$5:$J$16,MATCH(H446,'Lookup Tables'!$F$5:$F$16,0)),0)</x:f>
        <x:v>920</x:v>
      </x:c>
      <x:c r="P446" s="9" t="n">
        <x:f>IF(S446="Completed",K446*O446,0)</x:f>
        <x:v>1840</x:v>
      </x:c>
      <x:c r="Q446" s="9" t="n">
        <x:f>N446-P446</x:f>
        <x:v>1158</x:v>
      </x:c>
      <x:c r="R446" s="8" t="str">
        <x:f>IF(LOWER('Raw Data'!N446)="upi","UPI",'Raw Data'!N446)</x:f>
        <x:v>Debit Card</x:v>
      </x:c>
      <x:c r="S446" s="8" t="str">
        <x:v>Completed</x:v>
      </x:c>
      <x:c r="T446" s="8" t="str">
        <x:f>TEXT(B446,"mmm yyyy")</x:f>
        <x:v>Mar 2025</x:v>
      </x:c>
      <x:c r="U446" s="8" t="n">
        <x:f>YEAR(B446)</x:f>
        <x:v>2025</x:v>
      </x:c>
    </x:row>
    <x:row r="447">
      <x:c r="A447" s="8" t="str">
        <x:v>ORD-0443</x:v>
      </x:c>
      <x:c r="B447" s="22" t="n">
        <x:v>45769.596722407405</x:v>
      </x:c>
      <x:c r="C447" s="8" t="str">
        <x:v>CUS-056</x:v>
      </x:c>
      <x:c r="D447" s="8" t="str">
        <x:f>IFERROR(INDEX('Lookup Tables'!$B$5:$B$84,MATCH(C447,'Lookup Tables'!$A$5:$A$84,0)),"Unknown Customer")</x:f>
        <x:v>Pooja Saxena 3</x:v>
      </x:c>
      <x:c r="E447" s="8" t="str">
        <x:f>IFERROR(INDEX('Lookup Tables'!$C$5:$C$84,MATCH(C447,'Lookup Tables'!$A$5:$A$84,0)),"Unknown")</x:f>
        <x:v>Corporate</x:v>
      </x:c>
      <x:c r="F447" s="8" t="str">
        <x:v>Hyderabad</x:v>
      </x:c>
      <x:c r="G447" s="8" t="str">
        <x:f>IFERROR(INDEX('Lookup Tables'!$N$5:$N$14,MATCH(F447,'Lookup Tables'!$M$5:$M$14,0)),"Unknown")</x:f>
        <x:v>South</x:v>
      </x:c>
      <x:c r="H447" s="8" t="str">
        <x:v>PRD-001</x:v>
      </x:c>
      <x:c r="I447" s="8" t="str">
        <x:f>IFERROR(INDEX('Lookup Tables'!$G$5:$G$16,MATCH(H447,'Lookup Tables'!$F$5:$F$16,0)),"Unknown Product")</x:f>
        <x:v>Wireless Mouse</x:v>
      </x:c>
      <x:c r="J447" s="8" t="str">
        <x:f>IFERROR(INDEX('Lookup Tables'!$H$5:$H$16,MATCH(H447,'Lookup Tables'!$F$5:$F$16,0)),"Unknown")</x:f>
        <x:v>Electronics</x:v>
      </x:c>
      <x:c r="K447" s="8" t="n">
        <x:v>2</x:v>
      </x:c>
      <x:c r="L447" s="9" t="n">
        <x:f>IFERROR(INDEX('Lookup Tables'!$I$5:$I$16,MATCH(H447,'Lookup Tables'!$F$5:$F$16,0)),0)</x:f>
        <x:v>899</x:v>
      </x:c>
      <x:c r="M447" s="23" t="n">
        <x:f>IF('Raw Data'!M447="",0,'Raw Data'!M447)</x:f>
        <x:v>0</x:v>
      </x:c>
      <x:c r="N447" s="9" t="n">
        <x:f>IF(S447="Completed",K447*L447*(1-M447),0)</x:f>
        <x:v>1798</x:v>
      </x:c>
      <x:c r="O447" s="9" t="n">
        <x:f>IFERROR(INDEX('Lookup Tables'!$J$5:$J$16,MATCH(H447,'Lookup Tables'!$F$5:$F$16,0)),0)</x:f>
        <x:v>540</x:v>
      </x:c>
      <x:c r="P447" s="9" t="n">
        <x:f>IF(S447="Completed",K447*O447,0)</x:f>
        <x:v>1080</x:v>
      </x:c>
      <x:c r="Q447" s="9" t="n">
        <x:f>N447-P447</x:f>
        <x:v>718</x:v>
      </x:c>
      <x:c r="R447" s="8" t="str">
        <x:f>IF(LOWER('Raw Data'!N447)="upi","UPI",'Raw Data'!N447)</x:f>
        <x:v>Cash on Delivery</x:v>
      </x:c>
      <x:c r="S447" s="8" t="str">
        <x:v>Completed</x:v>
      </x:c>
      <x:c r="T447" s="8" t="str">
        <x:f>TEXT(B447,"mmm yyyy")</x:f>
        <x:v>Apr 2025</x:v>
      </x:c>
      <x:c r="U447" s="8" t="n">
        <x:f>YEAR(B447)</x:f>
        <x:v>2025</x:v>
      </x:c>
    </x:row>
    <x:row r="448">
      <x:c r="A448" s="8" t="str">
        <x:v>ORD-0444</x:v>
      </x:c>
      <x:c r="B448" s="22" t="n">
        <x:v>45994.52974425926</x:v>
      </x:c>
      <x:c r="C448" s="8" t="str">
        <x:v>CUS-032</x:v>
      </x:c>
      <x:c r="D448" s="8" t="str">
        <x:f>IFERROR(INDEX('Lookup Tables'!$B$5:$B$84,MATCH(C448,'Lookup Tables'!$A$5:$A$84,0)),"Unknown Customer")</x:f>
        <x:v>Priya Kapoor 2</x:v>
      </x:c>
      <x:c r="E448" s="8" t="str">
        <x:f>IFERROR(INDEX('Lookup Tables'!$C$5:$C$84,MATCH(C448,'Lookup Tables'!$A$5:$A$84,0)),"Unknown")</x:f>
        <x:v>Corporate</x:v>
      </x:c>
      <x:c r="F448" s="8" t="str">
        <x:v>Lucknow</x:v>
      </x:c>
      <x:c r="G448" s="8" t="str">
        <x:f>IFERROR(INDEX('Lookup Tables'!$N$5:$N$14,MATCH(F448,'Lookup Tables'!$M$5:$M$14,0)),"Unknown")</x:f>
        <x:v>North</x:v>
      </x:c>
      <x:c r="H448" s="8" t="str">
        <x:v>PRD-011</x:v>
      </x:c>
      <x:c r="I448" s="8" t="str">
        <x:f>IFERROR(INDEX('Lookup Tables'!$G$5:$G$16,MATCH(H448,'Lookup Tables'!$F$5:$F$16,0)),"Unknown Product")</x:f>
        <x:v>Classic Wallet</x:v>
      </x:c>
      <x:c r="J448" s="8" t="str">
        <x:f>IFERROR(INDEX('Lookup Tables'!$H$5:$H$16,MATCH(H448,'Lookup Tables'!$F$5:$F$16,0)),"Unknown")</x:f>
        <x:v>Fashion</x:v>
      </x:c>
      <x:c r="K448" s="8" t="n">
        <x:v>2</x:v>
      </x:c>
      <x:c r="L448" s="9" t="n">
        <x:f>IFERROR(INDEX('Lookup Tables'!$I$5:$I$16,MATCH(H448,'Lookup Tables'!$F$5:$F$16,0)),0)</x:f>
        <x:v>1199</x:v>
      </x:c>
      <x:c r="M448" s="23" t="n">
        <x:f>IF('Raw Data'!M448="",0,'Raw Data'!M448)</x:f>
        <x:v>0.05</x:v>
      </x:c>
      <x:c r="N448" s="9" t="n">
        <x:f>IF(S448="Completed",K448*L448*(1-M448),0)</x:f>
        <x:v>2278.1</x:v>
      </x:c>
      <x:c r="O448" s="9" t="n">
        <x:f>IFERROR(INDEX('Lookup Tables'!$J$5:$J$16,MATCH(H448,'Lookup Tables'!$F$5:$F$16,0)),0)</x:f>
        <x:v>690</x:v>
      </x:c>
      <x:c r="P448" s="9" t="n">
        <x:f>IF(S448="Completed",K448*O448,0)</x:f>
        <x:v>1380</x:v>
      </x:c>
      <x:c r="Q448" s="9" t="n">
        <x:f>N448-P448</x:f>
        <x:v>898.0999999999999</x:v>
      </x:c>
      <x:c r="R448" s="8" t="str">
        <x:f>IF(LOWER('Raw Data'!N448)="upi","UPI",'Raw Data'!N448)</x:f>
        <x:v>Cash on Delivery</x:v>
      </x:c>
      <x:c r="S448" s="8" t="str">
        <x:v>Completed</x:v>
      </x:c>
      <x:c r="T448" s="8" t="str">
        <x:f>TEXT(B448,"mmm yyyy")</x:f>
        <x:v>Dec 2025</x:v>
      </x:c>
      <x:c r="U448" s="8" t="n">
        <x:f>YEAR(B448)</x:f>
        <x:v>2025</x:v>
      </x:c>
    </x:row>
    <x:row r="449">
      <x:c r="A449" s="8" t="str">
        <x:v>ORD-0445</x:v>
      </x:c>
      <x:c r="B449" s="22" t="n">
        <x:v>45851.828096909725</x:v>
      </x:c>
      <x:c r="C449" s="8" t="str">
        <x:v>CUS-051</x:v>
      </x:c>
      <x:c r="D449" s="8" t="str">
        <x:f>IFERROR(INDEX('Lookup Tables'!$B$5:$B$84,MATCH(C449,'Lookup Tables'!$A$5:$A$84,0)),"Unknown Customer")</x:f>
        <x:v>Aditya Joshi 3</x:v>
      </x:c>
      <x:c r="E449" s="8" t="str">
        <x:f>IFERROR(INDEX('Lookup Tables'!$C$5:$C$84,MATCH(C449,'Lookup Tables'!$A$5:$A$84,0)),"Unknown")</x:f>
        <x:v>Small Business</x:v>
      </x:c>
      <x:c r="F449" s="8" t="str">
        <x:v>Bengaluru</x:v>
      </x:c>
      <x:c r="G449" s="8" t="str">
        <x:f>IFERROR(INDEX('Lookup Tables'!$N$5:$N$14,MATCH(F449,'Lookup Tables'!$M$5:$M$14,0)),"Unknown")</x:f>
        <x:v>South</x:v>
      </x:c>
      <x:c r="H449" s="8" t="str">
        <x:v>PRD-001</x:v>
      </x:c>
      <x:c r="I449" s="8" t="str">
        <x:f>IFERROR(INDEX('Lookup Tables'!$G$5:$G$16,MATCH(H449,'Lookup Tables'!$F$5:$F$16,0)),"Unknown Product")</x:f>
        <x:v>Wireless Mouse</x:v>
      </x:c>
      <x:c r="J449" s="8" t="str">
        <x:f>IFERROR(INDEX('Lookup Tables'!$H$5:$H$16,MATCH(H449,'Lookup Tables'!$F$5:$F$16,0)),"Unknown")</x:f>
        <x:v>Electronics</x:v>
      </x:c>
      <x:c r="K449" s="8" t="n">
        <x:v>2</x:v>
      </x:c>
      <x:c r="L449" s="9" t="n">
        <x:f>IFERROR(INDEX('Lookup Tables'!$I$5:$I$16,MATCH(H449,'Lookup Tables'!$F$5:$F$16,0)),0)</x:f>
        <x:v>899</x:v>
      </x:c>
      <x:c r="M449" s="23" t="n">
        <x:f>IF('Raw Data'!M449="",0,'Raw Data'!M449)</x:f>
        <x:v>0.05</x:v>
      </x:c>
      <x:c r="N449" s="9" t="n">
        <x:f>IF(S449="Completed",K449*L449*(1-M449),0)</x:f>
        <x:v>0</x:v>
      </x:c>
      <x:c r="O449" s="9" t="n">
        <x:f>IFERROR(INDEX('Lookup Tables'!$J$5:$J$16,MATCH(H449,'Lookup Tables'!$F$5:$F$16,0)),0)</x:f>
        <x:v>540</x:v>
      </x:c>
      <x:c r="P449" s="9" t="n">
        <x:f>IF(S449="Completed",K449*O449,0)</x:f>
        <x:v>0</x:v>
      </x:c>
      <x:c r="Q449" s="9" t="n">
        <x:f>N449-P449</x:f>
        <x:v>0</x:v>
      </x:c>
      <x:c r="R449" s="8" t="str">
        <x:f>IF(LOWER('Raw Data'!N449)="upi","UPI",'Raw Data'!N449)</x:f>
        <x:v>Credit Card</x:v>
      </x:c>
      <x:c r="S449" s="8" t="str">
        <x:v>Cancelled</x:v>
      </x:c>
      <x:c r="T449" s="8" t="str">
        <x:f>TEXT(B449,"mmm yyyy")</x:f>
        <x:v>Jul 2025</x:v>
      </x:c>
      <x:c r="U449" s="8" t="n">
        <x:f>YEAR(B449)</x:f>
        <x:v>2025</x:v>
      </x:c>
    </x:row>
    <x:row r="450">
      <x:c r="A450" s="8" t="str">
        <x:v>ORD-0446</x:v>
      </x:c>
      <x:c r="B450" s="22" t="n">
        <x:v>46007.01274056713</x:v>
      </x:c>
      <x:c r="C450" s="8" t="str">
        <x:v>CUS-015</x:v>
      </x:c>
      <x:c r="D450" s="8" t="str">
        <x:f>IFERROR(INDEX('Lookup Tables'!$B$5:$B$84,MATCH(C450,'Lookup Tables'!$A$5:$A$84,0)),"Unknown Customer")</x:f>
        <x:v>Karan Malhotra</x:v>
      </x:c>
      <x:c r="E450" s="8" t="str">
        <x:f>IFERROR(INDEX('Lookup Tables'!$C$5:$C$84,MATCH(C450,'Lookup Tables'!$A$5:$A$84,0)),"Unknown")</x:f>
        <x:v>Small Business</x:v>
      </x:c>
      <x:c r="F450" s="8" t="str">
        <x:v>Bengaluru</x:v>
      </x:c>
      <x:c r="G450" s="8" t="str">
        <x:f>IFERROR(INDEX('Lookup Tables'!$N$5:$N$14,MATCH(F450,'Lookup Tables'!$M$5:$M$14,0)),"Unknown")</x:f>
        <x:v>South</x:v>
      </x:c>
      <x:c r="H450" s="8" t="str">
        <x:v>PRD-003</x:v>
      </x:c>
      <x:c r="I450" s="8" t="str">
        <x:f>IFERROR(INDEX('Lookup Tables'!$G$5:$G$16,MATCH(H450,'Lookup Tables'!$F$5:$F$16,0)),"Unknown Product")</x:f>
        <x:v>USB-C Hub</x:v>
      </x:c>
      <x:c r="J450" s="8" t="str">
        <x:f>IFERROR(INDEX('Lookup Tables'!$H$5:$H$16,MATCH(H450,'Lookup Tables'!$F$5:$F$16,0)),"Unknown")</x:f>
        <x:v>Electronics</x:v>
      </x:c>
      <x:c r="K450" s="8" t="n">
        <x:v>1</x:v>
      </x:c>
      <x:c r="L450" s="9" t="n">
        <x:f>IFERROR(INDEX('Lookup Tables'!$I$5:$I$16,MATCH(H450,'Lookup Tables'!$F$5:$F$16,0)),0)</x:f>
        <x:v>1899</x:v>
      </x:c>
      <x:c r="M450" s="23" t="n">
        <x:f>IF('Raw Data'!M450="",0,'Raw Data'!M450)</x:f>
        <x:v>0.05</x:v>
      </x:c>
      <x:c r="N450" s="9" t="n">
        <x:f>IF(S450="Completed",K450*L450*(1-M450),0)</x:f>
        <x:v>0</x:v>
      </x:c>
      <x:c r="O450" s="9" t="n">
        <x:f>IFERROR(INDEX('Lookup Tables'!$J$5:$J$16,MATCH(H450,'Lookup Tables'!$F$5:$F$16,0)),0)</x:f>
        <x:v>1180</x:v>
      </x:c>
      <x:c r="P450" s="9" t="n">
        <x:f>IF(S450="Completed",K450*O450,0)</x:f>
        <x:v>0</x:v>
      </x:c>
      <x:c r="Q450" s="9" t="n">
        <x:f>N450-P450</x:f>
        <x:v>0</x:v>
      </x:c>
      <x:c r="R450" s="8" t="str">
        <x:f>IF(LOWER('Raw Data'!N450)="upi","UPI",'Raw Data'!N450)</x:f>
        <x:v>UPI</x:v>
      </x:c>
      <x:c r="S450" s="8" t="str">
        <x:v>Cancelled</x:v>
      </x:c>
      <x:c r="T450" s="8" t="str">
        <x:f>TEXT(B450,"mmm yyyy")</x:f>
        <x:v>Dec 2025</x:v>
      </x:c>
      <x:c r="U450" s="8" t="n">
        <x:f>YEAR(B450)</x:f>
        <x:v>2025</x:v>
      </x:c>
    </x:row>
    <x:row r="451">
      <x:c r="A451" s="8" t="str">
        <x:v>ORD-0447</x:v>
      </x:c>
      <x:c r="B451" s="22" t="n">
        <x:v>45789.30074568287</x:v>
      </x:c>
      <x:c r="C451" s="8" t="str">
        <x:v>CUS-033</x:v>
      </x:c>
      <x:c r="D451" s="8" t="str">
        <x:f>IFERROR(INDEX('Lookup Tables'!$B$5:$B$84,MATCH(C451,'Lookup Tables'!$A$5:$A$84,0)),"Unknown Customer")</x:f>
        <x:v>Rahul Mishra 2</x:v>
      </x:c>
      <x:c r="E451" s="8" t="str">
        <x:f>IFERROR(INDEX('Lookup Tables'!$C$5:$C$84,MATCH(C451,'Lookup Tables'!$A$5:$A$84,0)),"Unknown")</x:f>
        <x:v>Small Business</x:v>
      </x:c>
      <x:c r="F451" s="8" t="str">
        <x:v>Ahmedabad</x:v>
      </x:c>
      <x:c r="G451" s="8" t="str">
        <x:f>IFERROR(INDEX('Lookup Tables'!$N$5:$N$14,MATCH(F451,'Lookup Tables'!$M$5:$M$14,0)),"Unknown")</x:f>
        <x:v>West</x:v>
      </x:c>
      <x:c r="H451" s="8" t="str">
        <x:v>PRD-006</x:v>
      </x:c>
      <x:c r="I451" s="8" t="str">
        <x:f>IFERROR(INDEX('Lookup Tables'!$G$5:$G$16,MATCH(H451,'Lookup Tables'!$F$5:$F$16,0)),"Unknown Product")</x:f>
        <x:v>Desk Organiser</x:v>
      </x:c>
      <x:c r="J451" s="8" t="str">
        <x:f>IFERROR(INDEX('Lookup Tables'!$H$5:$H$16,MATCH(H451,'Lookup Tables'!$F$5:$F$16,0)),"Unknown")</x:f>
        <x:v>Office Supplies</x:v>
      </x:c>
      <x:c r="K451" s="8" t="n">
        <x:v>5</x:v>
      </x:c>
      <x:c r="L451" s="9" t="n">
        <x:f>IFERROR(INDEX('Lookup Tables'!$I$5:$I$16,MATCH(H451,'Lookup Tables'!$F$5:$F$16,0)),0)</x:f>
        <x:v>699</x:v>
      </x:c>
      <x:c r="M451" s="23" t="n">
        <x:f>IF('Raw Data'!M451="",0,'Raw Data'!M451)</x:f>
        <x:v>0.05</x:v>
      </x:c>
      <x:c r="N451" s="9" t="n">
        <x:f>IF(S451="Completed",K451*L451*(1-M451),0)</x:f>
        <x:v>0</x:v>
      </x:c>
      <x:c r="O451" s="9" t="n">
        <x:f>IFERROR(INDEX('Lookup Tables'!$J$5:$J$16,MATCH(H451,'Lookup Tables'!$F$5:$F$16,0)),0)</x:f>
        <x:v>390</x:v>
      </x:c>
      <x:c r="P451" s="9" t="n">
        <x:f>IF(S451="Completed",K451*O451,0)</x:f>
        <x:v>0</x:v>
      </x:c>
      <x:c r="Q451" s="9" t="n">
        <x:f>N451-P451</x:f>
        <x:v>0</x:v>
      </x:c>
      <x:c r="R451" s="8" t="str">
        <x:f>IF(LOWER('Raw Data'!N451)="upi","UPI",'Raw Data'!N451)</x:f>
        <x:v>Debit Card</x:v>
      </x:c>
      <x:c r="S451" s="8" t="str">
        <x:v>Returned</x:v>
      </x:c>
      <x:c r="T451" s="8" t="str">
        <x:f>TEXT(B451,"mmm yyyy")</x:f>
        <x:v>May 2025</x:v>
      </x:c>
      <x:c r="U451" s="8" t="n">
        <x:f>YEAR(B451)</x:f>
        <x:v>2025</x:v>
      </x:c>
    </x:row>
    <x:row r="452">
      <x:c r="A452" s="8" t="str">
        <x:v>ORD-0448</x:v>
      </x:c>
      <x:c r="B452" s="22" t="n">
        <x:v>45670.84378210648</x:v>
      </x:c>
      <x:c r="C452" s="8" t="str">
        <x:v>CUS-073</x:v>
      </x:c>
      <x:c r="D452" s="8" t="str">
        <x:f>IFERROR(INDEX('Lookup Tables'!$B$5:$B$84,MATCH(C452,'Lookup Tables'!$A$5:$A$84,0)),"Unknown Customer")</x:f>
        <x:v>Rahul Mishra 4</x:v>
      </x:c>
      <x:c r="E452" s="8" t="str">
        <x:f>IFERROR(INDEX('Lookup Tables'!$C$5:$C$84,MATCH(C452,'Lookup Tables'!$A$5:$A$84,0)),"Unknown")</x:f>
        <x:v>Consumer</x:v>
      </x:c>
      <x:c r="F452" s="8" t="str">
        <x:v>Hyderabad</x:v>
      </x:c>
      <x:c r="G452" s="8" t="str">
        <x:f>IFERROR(INDEX('Lookup Tables'!$N$5:$N$14,MATCH(F452,'Lookup Tables'!$M$5:$M$14,0)),"Unknown")</x:f>
        <x:v>South</x:v>
      </x:c>
      <x:c r="H452" s="8" t="str">
        <x:v>PRD-003</x:v>
      </x:c>
      <x:c r="I452" s="8" t="str">
        <x:f>IFERROR(INDEX('Lookup Tables'!$G$5:$G$16,MATCH(H452,'Lookup Tables'!$F$5:$F$16,0)),"Unknown Product")</x:f>
        <x:v>USB-C Hub</x:v>
      </x:c>
      <x:c r="J452" s="8" t="str">
        <x:f>IFERROR(INDEX('Lookup Tables'!$H$5:$H$16,MATCH(H452,'Lookup Tables'!$F$5:$F$16,0)),"Unknown")</x:f>
        <x:v>Electronics</x:v>
      </x:c>
      <x:c r="K452" s="8" t="n">
        <x:v>2</x:v>
      </x:c>
      <x:c r="L452" s="9" t="n">
        <x:f>IFERROR(INDEX('Lookup Tables'!$I$5:$I$16,MATCH(H452,'Lookup Tables'!$F$5:$F$16,0)),0)</x:f>
        <x:v>1899</x:v>
      </x:c>
      <x:c r="M452" s="23" t="n">
        <x:f>IF('Raw Data'!M452="",0,'Raw Data'!M452)</x:f>
        <x:v>0.05</x:v>
      </x:c>
      <x:c r="N452" s="9" t="n">
        <x:f>IF(S452="Completed",K452*L452*(1-M452),0)</x:f>
        <x:v>0</x:v>
      </x:c>
      <x:c r="O452" s="9" t="n">
        <x:f>IFERROR(INDEX('Lookup Tables'!$J$5:$J$16,MATCH(H452,'Lookup Tables'!$F$5:$F$16,0)),0)</x:f>
        <x:v>1180</x:v>
      </x:c>
      <x:c r="P452" s="9" t="n">
        <x:f>IF(S452="Completed",K452*O452,0)</x:f>
        <x:v>0</x:v>
      </x:c>
      <x:c r="Q452" s="9" t="n">
        <x:f>N452-P452</x:f>
        <x:v>0</x:v>
      </x:c>
      <x:c r="R452" s="8" t="str">
        <x:f>IF(LOWER('Raw Data'!N452)="upi","UPI",'Raw Data'!N452)</x:f>
        <x:v>Debit Card</x:v>
      </x:c>
      <x:c r="S452" s="8" t="str">
        <x:v>Returned</x:v>
      </x:c>
      <x:c r="T452" s="8" t="str">
        <x:f>TEXT(B452,"mmm yyyy")</x:f>
        <x:v>Jan 2025</x:v>
      </x:c>
      <x:c r="U452" s="8" t="n">
        <x:f>YEAR(B452)</x:f>
        <x:v>2025</x:v>
      </x:c>
    </x:row>
    <x:row r="453">
      <x:c r="A453" s="8" t="str">
        <x:v>ORD-0449</x:v>
      </x:c>
      <x:c r="B453" s="22" t="n">
        <x:v>45777.42389925926</x:v>
      </x:c>
      <x:c r="C453" s="8" t="str">
        <x:v>CUS-038</x:v>
      </x:c>
      <x:c r="D453" s="8" t="str">
        <x:f>IFERROR(INDEX('Lookup Tables'!$B$5:$B$84,MATCH(C453,'Lookup Tables'!$A$5:$A$84,0)),"Unknown Customer")</x:f>
        <x:v>Nisha Bansal 2</x:v>
      </x:c>
      <x:c r="E453" s="8" t="str">
        <x:f>IFERROR(INDEX('Lookup Tables'!$C$5:$C$84,MATCH(C453,'Lookup Tables'!$A$5:$A$84,0)),"Unknown")</x:f>
        <x:v>Corporate</x:v>
      </x:c>
      <x:c r="F453" s="8" t="str">
        <x:v>Jaipur</x:v>
      </x:c>
      <x:c r="G453" s="8" t="str">
        <x:f>IFERROR(INDEX('Lookup Tables'!$N$5:$N$14,MATCH(F453,'Lookup Tables'!$M$5:$M$14,0)),"Unknown")</x:f>
        <x:v>North</x:v>
      </x:c>
      <x:c r="H453" s="8" t="str">
        <x:v>PRD-004</x:v>
      </x:c>
      <x:c r="I453" s="8" t="str">
        <x:f>IFERROR(INDEX('Lookup Tables'!$G$5:$G$16,MATCH(H453,'Lookup Tables'!$F$5:$F$16,0)),"Unknown Product")</x:f>
        <x:v>Laptop Stand</x:v>
      </x:c>
      <x:c r="J453" s="8" t="str">
        <x:f>IFERROR(INDEX('Lookup Tables'!$H$5:$H$16,MATCH(H453,'Lookup Tables'!$F$5:$F$16,0)),"Unknown")</x:f>
        <x:v>Office Supplies</x:v>
      </x:c>
      <x:c r="K453" s="8" t="n">
        <x:v>4</x:v>
      </x:c>
      <x:c r="L453" s="9" t="n">
        <x:f>IFERROR(INDEX('Lookup Tables'!$I$5:$I$16,MATCH(H453,'Lookup Tables'!$F$5:$F$16,0)),0)</x:f>
        <x:v>1299</x:v>
      </x:c>
      <x:c r="M453" s="23" t="n">
        <x:f>IF('Raw Data'!M453="",0,'Raw Data'!M453)</x:f>
        <x:v>0</x:v>
      </x:c>
      <x:c r="N453" s="9" t="n">
        <x:f>IF(S453="Completed",K453*L453*(1-M453),0)</x:f>
        <x:v>0</x:v>
      </x:c>
      <x:c r="O453" s="9" t="n">
        <x:f>IFERROR(INDEX('Lookup Tables'!$J$5:$J$16,MATCH(H453,'Lookup Tables'!$F$5:$F$16,0)),0)</x:f>
        <x:v>760</x:v>
      </x:c>
      <x:c r="P453" s="9" t="n">
        <x:f>IF(S453="Completed",K453*O453,0)</x:f>
        <x:v>0</x:v>
      </x:c>
      <x:c r="Q453" s="9" t="n">
        <x:f>N453-P453</x:f>
        <x:v>0</x:v>
      </x:c>
      <x:c r="R453" s="8" t="str">
        <x:f>IF(LOWER('Raw Data'!N453)="upi","UPI",'Raw Data'!N453)</x:f>
        <x:v>Cash on Delivery</x:v>
      </x:c>
      <x:c r="S453" s="8" t="str">
        <x:v>Cancelled</x:v>
      </x:c>
      <x:c r="T453" s="8" t="str">
        <x:f>TEXT(B453,"mmm yyyy")</x:f>
        <x:v>Apr 2025</x:v>
      </x:c>
      <x:c r="U453" s="8" t="n">
        <x:f>YEAR(B453)</x:f>
        <x:v>2025</x:v>
      </x:c>
    </x:row>
    <x:row r="454">
      <x:c r="A454" s="8" t="str">
        <x:v>ORD-0450</x:v>
      </x:c>
      <x:c r="B454" s="22" t="n">
        <x:v>45972.5735528588</x:v>
      </x:c>
      <x:c r="C454" s="8" t="str">
        <x:v>CUS-037</x:v>
      </x:c>
      <x:c r="D454" s="8" t="str">
        <x:f>IFERROR(INDEX('Lookup Tables'!$B$5:$B$84,MATCH(C454,'Lookup Tables'!$A$5:$A$84,0)),"Unknown Customer")</x:f>
        <x:v>Vikram Yadav 2</x:v>
      </x:c>
      <x:c r="E454" s="8" t="str">
        <x:f>IFERROR(INDEX('Lookup Tables'!$C$5:$C$84,MATCH(C454,'Lookup Tables'!$A$5:$A$84,0)),"Unknown")</x:f>
        <x:v>Consumer</x:v>
      </x:c>
      <x:c r="F454" s="8" t="str">
        <x:v>Jaipur</x:v>
      </x:c>
      <x:c r="G454" s="8" t="str">
        <x:f>IFERROR(INDEX('Lookup Tables'!$N$5:$N$14,MATCH(F454,'Lookup Tables'!$M$5:$M$14,0)),"Unknown")</x:f>
        <x:v>North</x:v>
      </x:c>
      <x:c r="H454" s="8" t="str">
        <x:v>PRD-011</x:v>
      </x:c>
      <x:c r="I454" s="8" t="str">
        <x:f>IFERROR(INDEX('Lookup Tables'!$G$5:$G$16,MATCH(H454,'Lookup Tables'!$F$5:$F$16,0)),"Unknown Product")</x:f>
        <x:v>Classic Wallet</x:v>
      </x:c>
      <x:c r="J454" s="8" t="str">
        <x:f>IFERROR(INDEX('Lookup Tables'!$H$5:$H$16,MATCH(H454,'Lookup Tables'!$F$5:$F$16,0)),"Unknown")</x:f>
        <x:v>Fashion</x:v>
      </x:c>
      <x:c r="K454" s="8" t="n">
        <x:v>3</x:v>
      </x:c>
      <x:c r="L454" s="9" t="n">
        <x:f>IFERROR(INDEX('Lookup Tables'!$I$5:$I$16,MATCH(H454,'Lookup Tables'!$F$5:$F$16,0)),0)</x:f>
        <x:v>1199</x:v>
      </x:c>
      <x:c r="M454" s="23" t="n">
        <x:f>IF('Raw Data'!M454="",0,'Raw Data'!M454)</x:f>
        <x:v>0</x:v>
      </x:c>
      <x:c r="N454" s="9" t="n">
        <x:f>IF(S454="Completed",K454*L454*(1-M454),0)</x:f>
        <x:v>3597</x:v>
      </x:c>
      <x:c r="O454" s="9" t="n">
        <x:f>IFERROR(INDEX('Lookup Tables'!$J$5:$J$16,MATCH(H454,'Lookup Tables'!$F$5:$F$16,0)),0)</x:f>
        <x:v>690</x:v>
      </x:c>
      <x:c r="P454" s="9" t="n">
        <x:f>IF(S454="Completed",K454*O454,0)</x:f>
        <x:v>2070</x:v>
      </x:c>
      <x:c r="Q454" s="9" t="n">
        <x:f>N454-P454</x:f>
        <x:v>1527</x:v>
      </x:c>
      <x:c r="R454" s="8" t="str">
        <x:f>IF(LOWER('Raw Data'!N454)="upi","UPI",'Raw Data'!N454)</x:f>
        <x:v>Cash on Delivery</x:v>
      </x:c>
      <x:c r="S454" s="8" t="str">
        <x:v>Completed</x:v>
      </x:c>
      <x:c r="T454" s="8" t="str">
        <x:f>TEXT(B454,"mmm yyyy")</x:f>
        <x:v>Nov 2025</x:v>
      </x:c>
      <x:c r="U454" s="8" t="n">
        <x:f>YEAR(B454)</x:f>
        <x:v>2025</x:v>
      </x:c>
    </x:row>
    <x:row r="455">
      <x:c r="A455" s="8" t="str">
        <x:v>ORD-0451</x:v>
      </x:c>
      <x:c r="B455" s="22" t="n">
        <x:v>45720.51932799769</x:v>
      </x:c>
      <x:c r="C455" s="8" t="str">
        <x:v>CUS-007</x:v>
      </x:c>
      <x:c r="D455" s="8" t="str">
        <x:f>IFERROR(INDEX('Lookup Tables'!$B$5:$B$84,MATCH(C455,'Lookup Tables'!$A$5:$A$84,0)),"Unknown Customer")</x:f>
        <x:v>Kabir Khan</x:v>
      </x:c>
      <x:c r="E455" s="8" t="str">
        <x:f>IFERROR(INDEX('Lookup Tables'!$C$5:$C$84,MATCH(C455,'Lookup Tables'!$A$5:$A$84,0)),"Unknown")</x:f>
        <x:v>Consumer</x:v>
      </x:c>
      <x:c r="F455" s="8" t="str">
        <x:v>Pune</x:v>
      </x:c>
      <x:c r="G455" s="8" t="str">
        <x:f>IFERROR(INDEX('Lookup Tables'!$N$5:$N$14,MATCH(F455,'Lookup Tables'!$M$5:$M$14,0)),"Unknown")</x:f>
        <x:v>West</x:v>
      </x:c>
      <x:c r="H455" s="8" t="str">
        <x:v>PRD-007</x:v>
      </x:c>
      <x:c r="I455" s="8" t="str">
        <x:f>IFERROR(INDEX('Lookup Tables'!$G$5:$G$16,MATCH(H455,'Lookup Tables'!$F$5:$F$16,0)),"Unknown Product")</x:f>
        <x:v>Electric Kettle</x:v>
      </x:c>
      <x:c r="J455" s="8" t="str">
        <x:f>IFERROR(INDEX('Lookup Tables'!$H$5:$H$16,MATCH(H455,'Lookup Tables'!$F$5:$F$16,0)),"Unknown")</x:f>
        <x:v>Home &amp; Kitchen</x:v>
      </x:c>
      <x:c r="K455" s="8" t="n">
        <x:v>1</x:v>
      </x:c>
      <x:c r="L455" s="9" t="n">
        <x:f>IFERROR(INDEX('Lookup Tables'!$I$5:$I$16,MATCH(H455,'Lookup Tables'!$F$5:$F$16,0)),0)</x:f>
        <x:v>1699</x:v>
      </x:c>
      <x:c r="M455" s="23" t="n">
        <x:f>IF('Raw Data'!M455="",0,'Raw Data'!M455)</x:f>
        <x:v>0.05</x:v>
      </x:c>
      <x:c r="N455" s="9" t="n">
        <x:f>IF(S455="Completed",K455*L455*(1-M455),0)</x:f>
        <x:v>1614.05</x:v>
      </x:c>
      <x:c r="O455" s="9" t="n">
        <x:f>IFERROR(INDEX('Lookup Tables'!$J$5:$J$16,MATCH(H455,'Lookup Tables'!$F$5:$F$16,0)),0)</x:f>
        <x:v>1040</x:v>
      </x:c>
      <x:c r="P455" s="9" t="n">
        <x:f>IF(S455="Completed",K455*O455,0)</x:f>
        <x:v>1040</x:v>
      </x:c>
      <x:c r="Q455" s="9" t="n">
        <x:f>N455-P455</x:f>
        <x:v>574.05</x:v>
      </x:c>
      <x:c r="R455" s="8" t="str">
        <x:f>IF(LOWER('Raw Data'!N455)="upi","UPI",'Raw Data'!N455)</x:f>
        <x:v>UPI</x:v>
      </x:c>
      <x:c r="S455" s="8" t="str">
        <x:v>Completed</x:v>
      </x:c>
      <x:c r="T455" s="8" t="str">
        <x:f>TEXT(B455,"mmm yyyy")</x:f>
        <x:v>Mar 2025</x:v>
      </x:c>
      <x:c r="U455" s="8" t="n">
        <x:f>YEAR(B455)</x:f>
        <x:v>2025</x:v>
      </x:c>
    </x:row>
    <x:row r="456">
      <x:c r="A456" s="8" t="str">
        <x:v>ORD-0452</x:v>
      </x:c>
      <x:c r="B456" s="22" t="n">
        <x:v>45914.76451886574</x:v>
      </x:c>
      <x:c r="C456" s="8" t="str">
        <x:v>CUS-052</x:v>
      </x:c>
      <x:c r="D456" s="8" t="str">
        <x:f>IFERROR(INDEX('Lookup Tables'!$B$5:$B$84,MATCH(C456,'Lookup Tables'!$A$5:$A$84,0)),"Unknown Customer")</x:f>
        <x:v>Priya Kapoor 3</x:v>
      </x:c>
      <x:c r="E456" s="8" t="str">
        <x:f>IFERROR(INDEX('Lookup Tables'!$C$5:$C$84,MATCH(C456,'Lookup Tables'!$A$5:$A$84,0)),"Unknown")</x:f>
        <x:v>Consumer</x:v>
      </x:c>
      <x:c r="F456" s="8" t="str">
        <x:v>Mumbai</x:v>
      </x:c>
      <x:c r="G456" s="8" t="str">
        <x:f>IFERROR(INDEX('Lookup Tables'!$N$5:$N$14,MATCH(F456,'Lookup Tables'!$M$5:$M$14,0)),"Unknown")</x:f>
        <x:v>West</x:v>
      </x:c>
      <x:c r="H456" s="8" t="str">
        <x:v>PRD-002</x:v>
      </x:c>
      <x:c r="I456" s="8" t="str">
        <x:f>IFERROR(INDEX('Lookup Tables'!$G$5:$G$16,MATCH(H456,'Lookup Tables'!$F$5:$F$16,0)),"Unknown Product")</x:f>
        <x:v>Bluetooth Headphones</x:v>
      </x:c>
      <x:c r="J456" s="8" t="str">
        <x:f>IFERROR(INDEX('Lookup Tables'!$H$5:$H$16,MATCH(H456,'Lookup Tables'!$F$5:$F$16,0)),"Unknown")</x:f>
        <x:v>Electronics</x:v>
      </x:c>
      <x:c r="K456" s="8" t="n">
        <x:v>4</x:v>
      </x:c>
      <x:c r="L456" s="9" t="n">
        <x:f>IFERROR(INDEX('Lookup Tables'!$I$5:$I$16,MATCH(H456,'Lookup Tables'!$F$5:$F$16,0)),0)</x:f>
        <x:v>2499</x:v>
      </x:c>
      <x:c r="M456" s="23" t="n">
        <x:f>IF('Raw Data'!M456="",0,'Raw Data'!M456)</x:f>
        <x:v>0.15</x:v>
      </x:c>
      <x:c r="N456" s="9" t="n">
        <x:f>IF(S456="Completed",K456*L456*(1-M456),0)</x:f>
        <x:v>8496.6</x:v>
      </x:c>
      <x:c r="O456" s="9" t="n">
        <x:f>IFERROR(INDEX('Lookup Tables'!$J$5:$J$16,MATCH(H456,'Lookup Tables'!$F$5:$F$16,0)),0)</x:f>
        <x:v>1620</x:v>
      </x:c>
      <x:c r="P456" s="9" t="n">
        <x:f>IF(S456="Completed",K456*O456,0)</x:f>
        <x:v>6480</x:v>
      </x:c>
      <x:c r="Q456" s="9" t="n">
        <x:f>N456-P456</x:f>
        <x:v>2016.6000000000004</x:v>
      </x:c>
      <x:c r="R456" s="8" t="str">
        <x:f>IF(LOWER('Raw Data'!N456)="upi","UPI",'Raw Data'!N456)</x:f>
        <x:v>Cash on Delivery</x:v>
      </x:c>
      <x:c r="S456" s="8" t="str">
        <x:v>Completed</x:v>
      </x:c>
      <x:c r="T456" s="8" t="str">
        <x:f>TEXT(B456,"mmm yyyy")</x:f>
        <x:v>Sep 2025</x:v>
      </x:c>
      <x:c r="U456" s="8" t="n">
        <x:f>YEAR(B456)</x:f>
        <x:v>2025</x:v>
      </x:c>
    </x:row>
    <x:row r="457">
      <x:c r="A457" s="8" t="str">
        <x:v>ORD-0453</x:v>
      </x:c>
      <x:c r="B457" s="22" t="n">
        <x:v>45855.12718962963</x:v>
      </x:c>
      <x:c r="C457" s="8" t="str">
        <x:v>CUS-030</x:v>
      </x:c>
      <x:c r="D457" s="8" t="str">
        <x:f>IFERROR(INDEX('Lookup Tables'!$B$5:$B$84,MATCH(C457,'Lookup Tables'!$A$5:$A$84,0)),"Unknown Customer")</x:f>
        <x:v>Saanvi Iyer 2</x:v>
      </x:c>
      <x:c r="E457" s="8" t="str">
        <x:f>IFERROR(INDEX('Lookup Tables'!$C$5:$C$84,MATCH(C457,'Lookup Tables'!$A$5:$A$84,0)),"Unknown")</x:f>
        <x:v>Small Business</x:v>
      </x:c>
      <x:c r="F457" s="8" t="str">
        <x:v>Hyderabad</x:v>
      </x:c>
      <x:c r="G457" s="8" t="str">
        <x:f>IFERROR(INDEX('Lookup Tables'!$N$5:$N$14,MATCH(F457,'Lookup Tables'!$M$5:$M$14,0)),"Unknown")</x:f>
        <x:v>South</x:v>
      </x:c>
      <x:c r="H457" s="8" t="str">
        <x:v>PRD-006</x:v>
      </x:c>
      <x:c r="I457" s="8" t="str">
        <x:f>IFERROR(INDEX('Lookup Tables'!$G$5:$G$16,MATCH(H457,'Lookup Tables'!$F$5:$F$16,0)),"Unknown Product")</x:f>
        <x:v>Desk Organiser</x:v>
      </x:c>
      <x:c r="J457" s="8" t="str">
        <x:f>IFERROR(INDEX('Lookup Tables'!$H$5:$H$16,MATCH(H457,'Lookup Tables'!$F$5:$F$16,0)),"Unknown")</x:f>
        <x:v>Office Supplies</x:v>
      </x:c>
      <x:c r="K457" s="8" t="n">
        <x:v>1</x:v>
      </x:c>
      <x:c r="L457" s="9" t="n">
        <x:f>IFERROR(INDEX('Lookup Tables'!$I$5:$I$16,MATCH(H457,'Lookup Tables'!$F$5:$F$16,0)),0)</x:f>
        <x:v>699</x:v>
      </x:c>
      <x:c r="M457" s="23" t="n">
        <x:f>IF('Raw Data'!M457="",0,'Raw Data'!M457)</x:f>
        <x:v>0.1</x:v>
      </x:c>
      <x:c r="N457" s="9" t="n">
        <x:f>IF(S457="Completed",K457*L457*(1-M457),0)</x:f>
        <x:v>0</x:v>
      </x:c>
      <x:c r="O457" s="9" t="n">
        <x:f>IFERROR(INDEX('Lookup Tables'!$J$5:$J$16,MATCH(H457,'Lookup Tables'!$F$5:$F$16,0)),0)</x:f>
        <x:v>390</x:v>
      </x:c>
      <x:c r="P457" s="9" t="n">
        <x:f>IF(S457="Completed",K457*O457,0)</x:f>
        <x:v>0</x:v>
      </x:c>
      <x:c r="Q457" s="9" t="n">
        <x:f>N457-P457</x:f>
        <x:v>0</x:v>
      </x:c>
      <x:c r="R457" s="8" t="str">
        <x:f>IF(LOWER('Raw Data'!N457)="upi","UPI",'Raw Data'!N457)</x:f>
        <x:v>UPI</x:v>
      </x:c>
      <x:c r="S457" s="8" t="str">
        <x:v>Returned</x:v>
      </x:c>
      <x:c r="T457" s="8" t="str">
        <x:f>TEXT(B457,"mmm yyyy")</x:f>
        <x:v>Jul 2025</x:v>
      </x:c>
      <x:c r="U457" s="8" t="n">
        <x:f>YEAR(B457)</x:f>
        <x:v>2025</x:v>
      </x:c>
    </x:row>
    <x:row r="458">
      <x:c r="A458" s="8" t="str">
        <x:v>ORD-0454</x:v>
      </x:c>
      <x:c r="B458" s="22" t="n">
        <x:v>45684.96185318287</x:v>
      </x:c>
      <x:c r="C458" s="8" t="str">
        <x:v>CUS-073</x:v>
      </x:c>
      <x:c r="D458" s="8" t="str">
        <x:f>IFERROR(INDEX('Lookup Tables'!$B$5:$B$84,MATCH(C458,'Lookup Tables'!$A$5:$A$84,0)),"Unknown Customer")</x:f>
        <x:v>Rahul Mishra 4</x:v>
      </x:c>
      <x:c r="E458" s="8" t="str">
        <x:f>IFERROR(INDEX('Lookup Tables'!$C$5:$C$84,MATCH(C458,'Lookup Tables'!$A$5:$A$84,0)),"Unknown")</x:f>
        <x:v>Consumer</x:v>
      </x:c>
      <x:c r="F458" s="8" t="str">
        <x:v>Hyderabad</x:v>
      </x:c>
      <x:c r="G458" s="8" t="str">
        <x:f>IFERROR(INDEX('Lookup Tables'!$N$5:$N$14,MATCH(F458,'Lookup Tables'!$M$5:$M$14,0)),"Unknown")</x:f>
        <x:v>South</x:v>
      </x:c>
      <x:c r="H458" s="8" t="str">
        <x:v>PRD-006</x:v>
      </x:c>
      <x:c r="I458" s="8" t="str">
        <x:f>IFERROR(INDEX('Lookup Tables'!$G$5:$G$16,MATCH(H458,'Lookup Tables'!$F$5:$F$16,0)),"Unknown Product")</x:f>
        <x:v>Desk Organiser</x:v>
      </x:c>
      <x:c r="J458" s="8" t="str">
        <x:f>IFERROR(INDEX('Lookup Tables'!$H$5:$H$16,MATCH(H458,'Lookup Tables'!$F$5:$F$16,0)),"Unknown")</x:f>
        <x:v>Office Supplies</x:v>
      </x:c>
      <x:c r="K458" s="8" t="n">
        <x:v>1</x:v>
      </x:c>
      <x:c r="L458" s="9" t="n">
        <x:f>IFERROR(INDEX('Lookup Tables'!$I$5:$I$16,MATCH(H458,'Lookup Tables'!$F$5:$F$16,0)),0)</x:f>
        <x:v>699</x:v>
      </x:c>
      <x:c r="M458" s="23" t="n">
        <x:f>IF('Raw Data'!M458="",0,'Raw Data'!M458)</x:f>
        <x:v>0.2</x:v>
      </x:c>
      <x:c r="N458" s="9" t="n">
        <x:f>IF(S458="Completed",K458*L458*(1-M458),0)</x:f>
        <x:v>559.2</x:v>
      </x:c>
      <x:c r="O458" s="9" t="n">
        <x:f>IFERROR(INDEX('Lookup Tables'!$J$5:$J$16,MATCH(H458,'Lookup Tables'!$F$5:$F$16,0)),0)</x:f>
        <x:v>390</x:v>
      </x:c>
      <x:c r="P458" s="9" t="n">
        <x:f>IF(S458="Completed",K458*O458,0)</x:f>
        <x:v>390</x:v>
      </x:c>
      <x:c r="Q458" s="9" t="n">
        <x:f>N458-P458</x:f>
        <x:v>169.20000000000005</x:v>
      </x:c>
      <x:c r="R458" s="8" t="str">
        <x:f>IF(LOWER('Raw Data'!N458)="upi","UPI",'Raw Data'!N458)</x:f>
        <x:v>UPI</x:v>
      </x:c>
      <x:c r="S458" s="8" t="str">
        <x:v>Completed</x:v>
      </x:c>
      <x:c r="T458" s="8" t="str">
        <x:f>TEXT(B458,"mmm yyyy")</x:f>
        <x:v>Jan 2025</x:v>
      </x:c>
      <x:c r="U458" s="8" t="n">
        <x:f>YEAR(B458)</x:f>
        <x:v>2025</x:v>
      </x:c>
    </x:row>
    <x:row r="459">
      <x:c r="A459" s="8" t="str">
        <x:v>ORD-0455</x:v>
      </x:c>
      <x:c r="B459" s="22" t="n">
        <x:v>45818.54413519676</x:v>
      </x:c>
      <x:c r="C459" s="8" t="str">
        <x:v>CUS-070</x:v>
      </x:c>
      <x:c r="D459" s="8" t="str">
        <x:f>IFERROR(INDEX('Lookup Tables'!$B$5:$B$84,MATCH(C459,'Lookup Tables'!$A$5:$A$84,0)),"Unknown Customer")</x:f>
        <x:v>Saanvi Iyer 4</x:v>
      </x:c>
      <x:c r="E459" s="8" t="str">
        <x:f>IFERROR(INDEX('Lookup Tables'!$C$5:$C$84,MATCH(C459,'Lookup Tables'!$A$5:$A$84,0)),"Unknown")</x:f>
        <x:v>Consumer</x:v>
      </x:c>
      <x:c r="F459" s="8" t="str">
        <x:v>Kolkata</x:v>
      </x:c>
      <x:c r="G459" s="8" t="str">
        <x:f>IFERROR(INDEX('Lookup Tables'!$N$5:$N$14,MATCH(F459,'Lookup Tables'!$M$5:$M$14,0)),"Unknown")</x:f>
        <x:v>East</x:v>
      </x:c>
      <x:c r="H459" s="8" t="str">
        <x:v>PRD-003</x:v>
      </x:c>
      <x:c r="I459" s="8" t="str">
        <x:f>IFERROR(INDEX('Lookup Tables'!$G$5:$G$16,MATCH(H459,'Lookup Tables'!$F$5:$F$16,0)),"Unknown Product")</x:f>
        <x:v>USB-C Hub</x:v>
      </x:c>
      <x:c r="J459" s="8" t="str">
        <x:f>IFERROR(INDEX('Lookup Tables'!$H$5:$H$16,MATCH(H459,'Lookup Tables'!$F$5:$F$16,0)),"Unknown")</x:f>
        <x:v>Electronics</x:v>
      </x:c>
      <x:c r="K459" s="8" t="n">
        <x:v>4</x:v>
      </x:c>
      <x:c r="L459" s="9" t="n">
        <x:f>IFERROR(INDEX('Lookup Tables'!$I$5:$I$16,MATCH(H459,'Lookup Tables'!$F$5:$F$16,0)),0)</x:f>
        <x:v>1899</x:v>
      </x:c>
      <x:c r="M459" s="23" t="n">
        <x:f>IF('Raw Data'!M459="",0,'Raw Data'!M459)</x:f>
        <x:v>0.15</x:v>
      </x:c>
      <x:c r="N459" s="9" t="n">
        <x:f>IF(S459="Completed",K459*L459*(1-M459),0)</x:f>
        <x:v>6456.599999999999</x:v>
      </x:c>
      <x:c r="O459" s="9" t="n">
        <x:f>IFERROR(INDEX('Lookup Tables'!$J$5:$J$16,MATCH(H459,'Lookup Tables'!$F$5:$F$16,0)),0)</x:f>
        <x:v>1180</x:v>
      </x:c>
      <x:c r="P459" s="9" t="n">
        <x:f>IF(S459="Completed",K459*O459,0)</x:f>
        <x:v>4720</x:v>
      </x:c>
      <x:c r="Q459" s="9" t="n">
        <x:f>N459-P459</x:f>
        <x:v>1736.5999999999995</x:v>
      </x:c>
      <x:c r="R459" s="8" t="str">
        <x:f>IF(LOWER('Raw Data'!N459)="upi","UPI",'Raw Data'!N459)</x:f>
        <x:v>Debit Card</x:v>
      </x:c>
      <x:c r="S459" s="8" t="str">
        <x:v>Completed</x:v>
      </x:c>
      <x:c r="T459" s="8" t="str">
        <x:f>TEXT(B459,"mmm yyyy")</x:f>
        <x:v>Jun 2025</x:v>
      </x:c>
      <x:c r="U459" s="8" t="n">
        <x:f>YEAR(B459)</x:f>
        <x:v>2025</x:v>
      </x:c>
    </x:row>
    <x:row r="460">
      <x:c r="A460" s="8" t="str">
        <x:v>ORD-0456</x:v>
      </x:c>
      <x:c r="B460" s="22" t="n">
        <x:v>45735.91809582176</x:v>
      </x:c>
      <x:c r="C460" s="8" t="str">
        <x:v>CUS-051</x:v>
      </x:c>
      <x:c r="D460" s="8" t="str">
        <x:f>IFERROR(INDEX('Lookup Tables'!$B$5:$B$84,MATCH(C460,'Lookup Tables'!$A$5:$A$84,0)),"Unknown Customer")</x:f>
        <x:v>Aditya Joshi 3</x:v>
      </x:c>
      <x:c r="E460" s="8" t="str">
        <x:f>IFERROR(INDEX('Lookup Tables'!$C$5:$C$84,MATCH(C460,'Lookup Tables'!$A$5:$A$84,0)),"Unknown")</x:f>
        <x:v>Small Business</x:v>
      </x:c>
      <x:c r="F460" s="8" t="str">
        <x:v>Jaipur</x:v>
      </x:c>
      <x:c r="G460" s="8" t="str">
        <x:f>IFERROR(INDEX('Lookup Tables'!$N$5:$N$14,MATCH(F460,'Lookup Tables'!$M$5:$M$14,0)),"Unknown")</x:f>
        <x:v>North</x:v>
      </x:c>
      <x:c r="H460" s="8" t="str">
        <x:v>PRD-005</x:v>
      </x:c>
      <x:c r="I460" s="8" t="str">
        <x:f>IFERROR(INDEX('Lookup Tables'!$G$5:$G$16,MATCH(H460,'Lookup Tables'!$F$5:$F$16,0)),"Unknown Product")</x:f>
        <x:v>Executive Notebook</x:v>
      </x:c>
      <x:c r="J460" s="8" t="str">
        <x:f>IFERROR(INDEX('Lookup Tables'!$H$5:$H$16,MATCH(H460,'Lookup Tables'!$F$5:$F$16,0)),"Unknown")</x:f>
        <x:v>Office Supplies</x:v>
      </x:c>
      <x:c r="K460" s="8" t="n">
        <x:v>5</x:v>
      </x:c>
      <x:c r="L460" s="9" t="n">
        <x:f>IFERROR(INDEX('Lookup Tables'!$I$5:$I$16,MATCH(H460,'Lookup Tables'!$F$5:$F$16,0)),0)</x:f>
        <x:v>349</x:v>
      </x:c>
      <x:c r="M460" s="23" t="n">
        <x:f>IF('Raw Data'!M460="",0,'Raw Data'!M460)</x:f>
        <x:v>0</x:v>
      </x:c>
      <x:c r="N460" s="9" t="n">
        <x:f>IF(S460="Completed",K460*L460*(1-M460),0)</x:f>
        <x:v>0</x:v>
      </x:c>
      <x:c r="O460" s="9" t="n">
        <x:f>IFERROR(INDEX('Lookup Tables'!$J$5:$J$16,MATCH(H460,'Lookup Tables'!$F$5:$F$16,0)),0)</x:f>
        <x:v>170</x:v>
      </x:c>
      <x:c r="P460" s="9" t="n">
        <x:f>IF(S460="Completed",K460*O460,0)</x:f>
        <x:v>0</x:v>
      </x:c>
      <x:c r="Q460" s="9" t="n">
        <x:f>N460-P460</x:f>
        <x:v>0</x:v>
      </x:c>
      <x:c r="R460" s="8" t="str">
        <x:f>IF(LOWER('Raw Data'!N460)="upi","UPI",'Raw Data'!N460)</x:f>
        <x:v>Credit Card</x:v>
      </x:c>
      <x:c r="S460" s="8" t="str">
        <x:v>Cancelled</x:v>
      </x:c>
      <x:c r="T460" s="8" t="str">
        <x:f>TEXT(B460,"mmm yyyy")</x:f>
        <x:v>Mar 2025</x:v>
      </x:c>
      <x:c r="U460" s="8" t="n">
        <x:f>YEAR(B460)</x:f>
        <x:v>2025</x:v>
      </x:c>
    </x:row>
    <x:row r="461">
      <x:c r="A461" s="8" t="str">
        <x:v>ORD-0457</x:v>
      </x:c>
      <x:c r="B461" s="22" t="n">
        <x:v>45666.983934606484</x:v>
      </x:c>
      <x:c r="C461" s="8" t="str">
        <x:v>CUS-038</x:v>
      </x:c>
      <x:c r="D461" s="8" t="str">
        <x:f>IFERROR(INDEX('Lookup Tables'!$B$5:$B$84,MATCH(C461,'Lookup Tables'!$A$5:$A$84,0)),"Unknown Customer")</x:f>
        <x:v>Nisha Bansal 2</x:v>
      </x:c>
      <x:c r="E461" s="8" t="str">
        <x:f>IFERROR(INDEX('Lookup Tables'!$C$5:$C$84,MATCH(C461,'Lookup Tables'!$A$5:$A$84,0)),"Unknown")</x:f>
        <x:v>Corporate</x:v>
      </x:c>
      <x:c r="F461" s="8" t="str">
        <x:v>Ahmedabad</x:v>
      </x:c>
      <x:c r="G461" s="8" t="str">
        <x:f>IFERROR(INDEX('Lookup Tables'!$N$5:$N$14,MATCH(F461,'Lookup Tables'!$M$5:$M$14,0)),"Unknown")</x:f>
        <x:v>West</x:v>
      </x:c>
      <x:c r="H461" s="8" t="str">
        <x:v>PRD-012</x:v>
      </x:c>
      <x:c r="I461" s="8" t="str">
        <x:f>IFERROR(INDEX('Lookup Tables'!$G$5:$G$16,MATCH(H461,'Lookup Tables'!$F$5:$F$16,0)),"Unknown Product")</x:f>
        <x:v>Stainless Water Bottle</x:v>
      </x:c>
      <x:c r="J461" s="8" t="str">
        <x:f>IFERROR(INDEX('Lookup Tables'!$H$5:$H$16,MATCH(H461,'Lookup Tables'!$F$5:$F$16,0)),"Unknown")</x:f>
        <x:v>Lifestyle</x:v>
      </x:c>
      <x:c r="K461" s="8" t="n">
        <x:v>1</x:v>
      </x:c>
      <x:c r="L461" s="9" t="n">
        <x:f>IFERROR(INDEX('Lookup Tables'!$I$5:$I$16,MATCH(H461,'Lookup Tables'!$F$5:$F$16,0)),0)</x:f>
        <x:v>799</x:v>
      </x:c>
      <x:c r="M461" s="23" t="n">
        <x:f>IF('Raw Data'!M461="",0,'Raw Data'!M461)</x:f>
        <x:v>0.2</x:v>
      </x:c>
      <x:c r="N461" s="9" t="n">
        <x:f>IF(S461="Completed",K461*L461*(1-M461),0)</x:f>
        <x:v>639.2</x:v>
      </x:c>
      <x:c r="O461" s="9" t="n">
        <x:f>IFERROR(INDEX('Lookup Tables'!$J$5:$J$16,MATCH(H461,'Lookup Tables'!$F$5:$F$16,0)),0)</x:f>
        <x:v>410</x:v>
      </x:c>
      <x:c r="P461" s="9" t="n">
        <x:f>IF(S461="Completed",K461*O461,0)</x:f>
        <x:v>410</x:v>
      </x:c>
      <x:c r="Q461" s="9" t="n">
        <x:f>N461-P461</x:f>
        <x:v>229.20000000000005</x:v>
      </x:c>
      <x:c r="R461" s="8" t="str">
        <x:f>IF(LOWER('Raw Data'!N461)="upi","UPI",'Raw Data'!N461)</x:f>
        <x:v>Debit Card</x:v>
      </x:c>
      <x:c r="S461" s="8" t="str">
        <x:v>Completed</x:v>
      </x:c>
      <x:c r="T461" s="8" t="str">
        <x:f>TEXT(B461,"mmm yyyy")</x:f>
        <x:v>Jan 2025</x:v>
      </x:c>
      <x:c r="U461" s="8" t="n">
        <x:f>YEAR(B461)</x:f>
        <x:v>2025</x:v>
      </x:c>
    </x:row>
    <x:row r="462">
      <x:c r="A462" s="8" t="str">
        <x:v>ORD-0458</x:v>
      </x:c>
      <x:c r="B462" s="22" t="n">
        <x:v>45864.00391131944</x:v>
      </x:c>
      <x:c r="C462" s="8" t="str">
        <x:v>CUS-014</x:v>
      </x:c>
      <x:c r="D462" s="8" t="str">
        <x:f>IFERROR(INDEX('Lookup Tables'!$B$5:$B$84,MATCH(C462,'Lookup Tables'!$A$5:$A$84,0)),"Unknown Customer")</x:f>
        <x:v>Neha Rao</x:v>
      </x:c>
      <x:c r="E462" s="8" t="str">
        <x:f>IFERROR(INDEX('Lookup Tables'!$C$5:$C$84,MATCH(C462,'Lookup Tables'!$A$5:$A$84,0)),"Unknown")</x:f>
        <x:v>Corporate</x:v>
      </x:c>
      <x:c r="F462" s="8" t="str">
        <x:v>Delhi</x:v>
      </x:c>
      <x:c r="G462" s="8" t="str">
        <x:f>IFERROR(INDEX('Lookup Tables'!$N$5:$N$14,MATCH(F462,'Lookup Tables'!$M$5:$M$14,0)),"Unknown")</x:f>
        <x:v>North</x:v>
      </x:c>
      <x:c r="H462" s="8" t="str">
        <x:v>PRD-007</x:v>
      </x:c>
      <x:c r="I462" s="8" t="str">
        <x:f>IFERROR(INDEX('Lookup Tables'!$G$5:$G$16,MATCH(H462,'Lookup Tables'!$F$5:$F$16,0)),"Unknown Product")</x:f>
        <x:v>Electric Kettle</x:v>
      </x:c>
      <x:c r="J462" s="8" t="str">
        <x:f>IFERROR(INDEX('Lookup Tables'!$H$5:$H$16,MATCH(H462,'Lookup Tables'!$F$5:$F$16,0)),"Unknown")</x:f>
        <x:v>Home &amp; Kitchen</x:v>
      </x:c>
      <x:c r="K462" s="8" t="n">
        <x:v>1</x:v>
      </x:c>
      <x:c r="L462" s="9" t="n">
        <x:f>IFERROR(INDEX('Lookup Tables'!$I$5:$I$16,MATCH(H462,'Lookup Tables'!$F$5:$F$16,0)),0)</x:f>
        <x:v>1699</x:v>
      </x:c>
      <x:c r="M462" s="23" t="n">
        <x:f>IF('Raw Data'!M462="",0,'Raw Data'!M462)</x:f>
        <x:v>0.2</x:v>
      </x:c>
      <x:c r="N462" s="9" t="n">
        <x:f>IF(S462="Completed",K462*L462*(1-M462),0)</x:f>
        <x:v>1359.2</x:v>
      </x:c>
      <x:c r="O462" s="9" t="n">
        <x:f>IFERROR(INDEX('Lookup Tables'!$J$5:$J$16,MATCH(H462,'Lookup Tables'!$F$5:$F$16,0)),0)</x:f>
        <x:v>1040</x:v>
      </x:c>
      <x:c r="P462" s="9" t="n">
        <x:f>IF(S462="Completed",K462*O462,0)</x:f>
        <x:v>1040</x:v>
      </x:c>
      <x:c r="Q462" s="9" t="n">
        <x:f>N462-P462</x:f>
        <x:v>319.20000000000005</x:v>
      </x:c>
      <x:c r="R462" s="8" t="str">
        <x:f>IF(LOWER('Raw Data'!N462)="upi","UPI",'Raw Data'!N462)</x:f>
        <x:v>Cash on Delivery</x:v>
      </x:c>
      <x:c r="S462" s="8" t="str">
        <x:v>Completed</x:v>
      </x:c>
      <x:c r="T462" s="8" t="str">
        <x:f>TEXT(B462,"mmm yyyy")</x:f>
        <x:v>Jul 2025</x:v>
      </x:c>
      <x:c r="U462" s="8" t="n">
        <x:f>YEAR(B462)</x:f>
        <x:v>2025</x:v>
      </x:c>
    </x:row>
    <x:row r="463">
      <x:c r="A463" s="8" t="str">
        <x:v>ORD-0459</x:v>
      </x:c>
      <x:c r="B463" s="22" t="n">
        <x:v>45993.38557057871</x:v>
      </x:c>
      <x:c r="C463" s="8" t="str">
        <x:v>CUS-070</x:v>
      </x:c>
      <x:c r="D463" s="8" t="str">
        <x:f>IFERROR(INDEX('Lookup Tables'!$B$5:$B$84,MATCH(C463,'Lookup Tables'!$A$5:$A$84,0)),"Unknown Customer")</x:f>
        <x:v>Saanvi Iyer 4</x:v>
      </x:c>
      <x:c r="E463" s="8" t="str">
        <x:f>IFERROR(INDEX('Lookup Tables'!$C$5:$C$84,MATCH(C463,'Lookup Tables'!$A$5:$A$84,0)),"Unknown")</x:f>
        <x:v>Consumer</x:v>
      </x:c>
      <x:c r="F463" s="8" t="str">
        <x:v>Jaipur</x:v>
      </x:c>
      <x:c r="G463" s="8" t="str">
        <x:f>IFERROR(INDEX('Lookup Tables'!$N$5:$N$14,MATCH(F463,'Lookup Tables'!$M$5:$M$14,0)),"Unknown")</x:f>
        <x:v>North</x:v>
      </x:c>
      <x:c r="H463" s="8" t="str">
        <x:v>PRD-006</x:v>
      </x:c>
      <x:c r="I463" s="8" t="str">
        <x:f>IFERROR(INDEX('Lookup Tables'!$G$5:$G$16,MATCH(H463,'Lookup Tables'!$F$5:$F$16,0)),"Unknown Product")</x:f>
        <x:v>Desk Organiser</x:v>
      </x:c>
      <x:c r="J463" s="8" t="str">
        <x:f>IFERROR(INDEX('Lookup Tables'!$H$5:$H$16,MATCH(H463,'Lookup Tables'!$F$5:$F$16,0)),"Unknown")</x:f>
        <x:v>Office Supplies</x:v>
      </x:c>
      <x:c r="K463" s="8" t="n">
        <x:v>4</x:v>
      </x:c>
      <x:c r="L463" s="9" t="n">
        <x:f>IFERROR(INDEX('Lookup Tables'!$I$5:$I$16,MATCH(H463,'Lookup Tables'!$F$5:$F$16,0)),0)</x:f>
        <x:v>699</x:v>
      </x:c>
      <x:c r="M463" s="23" t="n">
        <x:f>IF('Raw Data'!M463="",0,'Raw Data'!M463)</x:f>
        <x:v>0.15</x:v>
      </x:c>
      <x:c r="N463" s="9" t="n">
        <x:f>IF(S463="Completed",K463*L463*(1-M463),0)</x:f>
        <x:v>2376.6</x:v>
      </x:c>
      <x:c r="O463" s="9" t="n">
        <x:f>IFERROR(INDEX('Lookup Tables'!$J$5:$J$16,MATCH(H463,'Lookup Tables'!$F$5:$F$16,0)),0)</x:f>
        <x:v>390</x:v>
      </x:c>
      <x:c r="P463" s="9" t="n">
        <x:f>IF(S463="Completed",K463*O463,0)</x:f>
        <x:v>1560</x:v>
      </x:c>
      <x:c r="Q463" s="9" t="n">
        <x:f>N463-P463</x:f>
        <x:v>816.5999999999999</x:v>
      </x:c>
      <x:c r="R463" s="8" t="str">
        <x:f>IF(LOWER('Raw Data'!N463)="upi","UPI",'Raw Data'!N463)</x:f>
        <x:v>Net Banking</x:v>
      </x:c>
      <x:c r="S463" s="8" t="str">
        <x:v>Completed</x:v>
      </x:c>
      <x:c r="T463" s="8" t="str">
        <x:f>TEXT(B463,"mmm yyyy")</x:f>
        <x:v>Dec 2025</x:v>
      </x:c>
      <x:c r="U463" s="8" t="n">
        <x:f>YEAR(B463)</x:f>
        <x:v>2025</x:v>
      </x:c>
    </x:row>
    <x:row r="464">
      <x:c r="A464" s="8" t="str">
        <x:v>ORD-0460</x:v>
      </x:c>
      <x:c r="B464" s="22" t="n">
        <x:v>45895.8811375</x:v>
      </x:c>
      <x:c r="C464" s="8" t="str">
        <x:v>CUS-062</x:v>
      </x:c>
      <x:c r="D464" s="8" t="str">
        <x:f>IFERROR(INDEX('Lookup Tables'!$B$5:$B$84,MATCH(C464,'Lookup Tables'!$A$5:$A$84,0)),"Unknown Customer")</x:f>
        <x:v>Diya Patel 4</x:v>
      </x:c>
      <x:c r="E464" s="8" t="str">
        <x:f>IFERROR(INDEX('Lookup Tables'!$C$5:$C$84,MATCH(C464,'Lookup Tables'!$A$5:$A$84,0)),"Unknown")</x:f>
        <x:v>Corporate</x:v>
      </x:c>
      <x:c r="F464" s="8" t="str">
        <x:v>Chennai</x:v>
      </x:c>
      <x:c r="G464" s="8" t="str">
        <x:f>IFERROR(INDEX('Lookup Tables'!$N$5:$N$14,MATCH(F464,'Lookup Tables'!$M$5:$M$14,0)),"Unknown")</x:f>
        <x:v>South</x:v>
      </x:c>
      <x:c r="H464" s="8" t="str">
        <x:v>PRD-006</x:v>
      </x:c>
      <x:c r="I464" s="8" t="str">
        <x:f>IFERROR(INDEX('Lookup Tables'!$G$5:$G$16,MATCH(H464,'Lookup Tables'!$F$5:$F$16,0)),"Unknown Product")</x:f>
        <x:v>Desk Organiser</x:v>
      </x:c>
      <x:c r="J464" s="8" t="str">
        <x:f>IFERROR(INDEX('Lookup Tables'!$H$5:$H$16,MATCH(H464,'Lookup Tables'!$F$5:$F$16,0)),"Unknown")</x:f>
        <x:v>Office Supplies</x:v>
      </x:c>
      <x:c r="K464" s="8" t="n">
        <x:v>5</x:v>
      </x:c>
      <x:c r="L464" s="9" t="n">
        <x:f>IFERROR(INDEX('Lookup Tables'!$I$5:$I$16,MATCH(H464,'Lookup Tables'!$F$5:$F$16,0)),0)</x:f>
        <x:v>699</x:v>
      </x:c>
      <x:c r="M464" s="23" t="n">
        <x:f>IF('Raw Data'!M464="",0,'Raw Data'!M464)</x:f>
        <x:v>0.15</x:v>
      </x:c>
      <x:c r="N464" s="9" t="n">
        <x:f>IF(S464="Completed",K464*L464*(1-M464),0)</x:f>
        <x:v>2970.75</x:v>
      </x:c>
      <x:c r="O464" s="9" t="n">
        <x:f>IFERROR(INDEX('Lookup Tables'!$J$5:$J$16,MATCH(H464,'Lookup Tables'!$F$5:$F$16,0)),0)</x:f>
        <x:v>390</x:v>
      </x:c>
      <x:c r="P464" s="9" t="n">
        <x:f>IF(S464="Completed",K464*O464,0)</x:f>
        <x:v>1950</x:v>
      </x:c>
      <x:c r="Q464" s="9" t="n">
        <x:f>N464-P464</x:f>
        <x:v>1020.75</x:v>
      </x:c>
      <x:c r="R464" s="8" t="str">
        <x:f>IF(LOWER('Raw Data'!N464)="upi","UPI",'Raw Data'!N464)</x:f>
        <x:v>Credit Card</x:v>
      </x:c>
      <x:c r="S464" s="8" t="str">
        <x:v>Completed</x:v>
      </x:c>
      <x:c r="T464" s="8" t="str">
        <x:f>TEXT(B464,"mmm yyyy")</x:f>
        <x:v>Aug 2025</x:v>
      </x:c>
      <x:c r="U464" s="8" t="n">
        <x:f>YEAR(B464)</x:f>
        <x:v>2025</x:v>
      </x:c>
    </x:row>
    <x:row r="465">
      <x:c r="A465" s="8" t="str">
        <x:v>ORD-0461</x:v>
      </x:c>
      <x:c r="B465" s="22" t="n">
        <x:v>45954.57136229167</x:v>
      </x:c>
      <x:c r="C465" s="8" t="str">
        <x:v>CUS-016</x:v>
      </x:c>
      <x:c r="D465" s="8" t="str">
        <x:f>IFERROR(INDEX('Lookup Tables'!$B$5:$B$84,MATCH(C465,'Lookup Tables'!$A$5:$A$84,0)),"Unknown Customer")</x:f>
        <x:v>Pooja Saxena</x:v>
      </x:c>
      <x:c r="E465" s="8" t="str">
        <x:f>IFERROR(INDEX('Lookup Tables'!$C$5:$C$84,MATCH(C465,'Lookup Tables'!$A$5:$A$84,0)),"Unknown")</x:f>
        <x:v>Consumer</x:v>
      </x:c>
      <x:c r="F465" s="8" t="str">
        <x:v>Chennai</x:v>
      </x:c>
      <x:c r="G465" s="8" t="str">
        <x:f>IFERROR(INDEX('Lookup Tables'!$N$5:$N$14,MATCH(F465,'Lookup Tables'!$M$5:$M$14,0)),"Unknown")</x:f>
        <x:v>South</x:v>
      </x:c>
      <x:c r="H465" s="8" t="str">
        <x:v>PRD-003</x:v>
      </x:c>
      <x:c r="I465" s="8" t="str">
        <x:f>IFERROR(INDEX('Lookup Tables'!$G$5:$G$16,MATCH(H465,'Lookup Tables'!$F$5:$F$16,0)),"Unknown Product")</x:f>
        <x:v>USB-C Hub</x:v>
      </x:c>
      <x:c r="J465" s="8" t="str">
        <x:f>IFERROR(INDEX('Lookup Tables'!$H$5:$H$16,MATCH(H465,'Lookup Tables'!$F$5:$F$16,0)),"Unknown")</x:f>
        <x:v>Electronics</x:v>
      </x:c>
      <x:c r="K465" s="8" t="n">
        <x:v>4</x:v>
      </x:c>
      <x:c r="L465" s="9" t="n">
        <x:f>IFERROR(INDEX('Lookup Tables'!$I$5:$I$16,MATCH(H465,'Lookup Tables'!$F$5:$F$16,0)),0)</x:f>
        <x:v>1899</x:v>
      </x:c>
      <x:c r="M465" s="23" t="n">
        <x:f>IF('Raw Data'!M465="",0,'Raw Data'!M465)</x:f>
        <x:v>0</x:v>
      </x:c>
      <x:c r="N465" s="9" t="n">
        <x:f>IF(S465="Completed",K465*L465*(1-M465),0)</x:f>
        <x:v>7596</x:v>
      </x:c>
      <x:c r="O465" s="9" t="n">
        <x:f>IFERROR(INDEX('Lookup Tables'!$J$5:$J$16,MATCH(H465,'Lookup Tables'!$F$5:$F$16,0)),0)</x:f>
        <x:v>1180</x:v>
      </x:c>
      <x:c r="P465" s="9" t="n">
        <x:f>IF(S465="Completed",K465*O465,0)</x:f>
        <x:v>4720</x:v>
      </x:c>
      <x:c r="Q465" s="9" t="n">
        <x:f>N465-P465</x:f>
        <x:v>2876</x:v>
      </x:c>
      <x:c r="R465" s="8" t="str">
        <x:f>IF(LOWER('Raw Data'!N465)="upi","UPI",'Raw Data'!N465)</x:f>
        <x:v>UPI</x:v>
      </x:c>
      <x:c r="S465" s="8" t="str">
        <x:v>Completed</x:v>
      </x:c>
      <x:c r="T465" s="8" t="str">
        <x:f>TEXT(B465,"mmm yyyy")</x:f>
        <x:v>Oct 2025</x:v>
      </x:c>
      <x:c r="U465" s="8" t="n">
        <x:f>YEAR(B465)</x:f>
        <x:v>2025</x:v>
      </x:c>
    </x:row>
    <x:row r="466">
      <x:c r="A466" s="8" t="str">
        <x:v>ORD-0462</x:v>
      </x:c>
      <x:c r="B466" s="22" t="n">
        <x:v>45978.32732357639</x:v>
      </x:c>
      <x:c r="C466" s="8" t="str">
        <x:v>CUS-008</x:v>
      </x:c>
      <x:c r="D466" s="8" t="str">
        <x:f>IFERROR(INDEX('Lookup Tables'!$B$5:$B$84,MATCH(C466,'Lookup Tables'!$A$5:$A$84,0)),"Unknown Customer")</x:f>
        <x:v>Meera Nair</x:v>
      </x:c>
      <x:c r="E466" s="8" t="str">
        <x:f>IFERROR(INDEX('Lookup Tables'!$C$5:$C$84,MATCH(C466,'Lookup Tables'!$A$5:$A$84,0)),"Unknown")</x:f>
        <x:v>Corporate</x:v>
      </x:c>
      <x:c r="F466" s="8" t="str">
        <x:v>Jaipur</x:v>
      </x:c>
      <x:c r="G466" s="8" t="str">
        <x:f>IFERROR(INDEX('Lookup Tables'!$N$5:$N$14,MATCH(F466,'Lookup Tables'!$M$5:$M$14,0)),"Unknown")</x:f>
        <x:v>North</x:v>
      </x:c>
      <x:c r="H466" s="8" t="str">
        <x:v>PRD-003</x:v>
      </x:c>
      <x:c r="I466" s="8" t="str">
        <x:f>IFERROR(INDEX('Lookup Tables'!$G$5:$G$16,MATCH(H466,'Lookup Tables'!$F$5:$F$16,0)),"Unknown Product")</x:f>
        <x:v>USB-C Hub</x:v>
      </x:c>
      <x:c r="J466" s="8" t="str">
        <x:f>IFERROR(INDEX('Lookup Tables'!$H$5:$H$16,MATCH(H466,'Lookup Tables'!$F$5:$F$16,0)),"Unknown")</x:f>
        <x:v>Electronics</x:v>
      </x:c>
      <x:c r="K466" s="8" t="n">
        <x:v>5</x:v>
      </x:c>
      <x:c r="L466" s="9" t="n">
        <x:f>IFERROR(INDEX('Lookup Tables'!$I$5:$I$16,MATCH(H466,'Lookup Tables'!$F$5:$F$16,0)),0)</x:f>
        <x:v>1899</x:v>
      </x:c>
      <x:c r="M466" s="23" t="n">
        <x:f>IF('Raw Data'!M466="",0,'Raw Data'!M466)</x:f>
        <x:v>0.1</x:v>
      </x:c>
      <x:c r="N466" s="9" t="n">
        <x:f>IF(S466="Completed",K466*L466*(1-M466),0)</x:f>
        <x:v>8545.5</x:v>
      </x:c>
      <x:c r="O466" s="9" t="n">
        <x:f>IFERROR(INDEX('Lookup Tables'!$J$5:$J$16,MATCH(H466,'Lookup Tables'!$F$5:$F$16,0)),0)</x:f>
        <x:v>1180</x:v>
      </x:c>
      <x:c r="P466" s="9" t="n">
        <x:f>IF(S466="Completed",K466*O466,0)</x:f>
        <x:v>5900</x:v>
      </x:c>
      <x:c r="Q466" s="9" t="n">
        <x:f>N466-P466</x:f>
        <x:v>2645.5</x:v>
      </x:c>
      <x:c r="R466" s="8" t="str">
        <x:f>IF(LOWER('Raw Data'!N466)="upi","UPI",'Raw Data'!N466)</x:f>
        <x:v>Debit Card</x:v>
      </x:c>
      <x:c r="S466" s="8" t="str">
        <x:v>Completed</x:v>
      </x:c>
      <x:c r="T466" s="8" t="str">
        <x:f>TEXT(B466,"mmm yyyy")</x:f>
        <x:v>Nov 2025</x:v>
      </x:c>
      <x:c r="U466" s="8" t="n">
        <x:f>YEAR(B466)</x:f>
        <x:v>2025</x:v>
      </x:c>
    </x:row>
    <x:row r="467">
      <x:c r="A467" s="8" t="str">
        <x:v>ORD-0463</x:v>
      </x:c>
      <x:c r="B467" s="22" t="n">
        <x:v>45920.47319967593</x:v>
      </x:c>
      <x:c r="C467" s="8" t="str">
        <x:v>CUS-042</x:v>
      </x:c>
      <x:c r="D467" s="8" t="str">
        <x:f>IFERROR(INDEX('Lookup Tables'!$B$5:$B$84,MATCH(C467,'Lookup Tables'!$A$5:$A$84,0)),"Unknown Customer")</x:f>
        <x:v>Diya Patel 3</x:v>
      </x:c>
      <x:c r="E467" s="8" t="str">
        <x:f>IFERROR(INDEX('Lookup Tables'!$C$5:$C$84,MATCH(C467,'Lookup Tables'!$A$5:$A$84,0)),"Unknown")</x:f>
        <x:v>Small Business</x:v>
      </x:c>
      <x:c r="F467" s="8" t="str">
        <x:v>Kolkata</x:v>
      </x:c>
      <x:c r="G467" s="8" t="str">
        <x:f>IFERROR(INDEX('Lookup Tables'!$N$5:$N$14,MATCH(F467,'Lookup Tables'!$M$5:$M$14,0)),"Unknown")</x:f>
        <x:v>East</x:v>
      </x:c>
      <x:c r="H467" s="8" t="str">
        <x:v>PRD-006</x:v>
      </x:c>
      <x:c r="I467" s="8" t="str">
        <x:f>IFERROR(INDEX('Lookup Tables'!$G$5:$G$16,MATCH(H467,'Lookup Tables'!$F$5:$F$16,0)),"Unknown Product")</x:f>
        <x:v>Desk Organiser</x:v>
      </x:c>
      <x:c r="J467" s="8" t="str">
        <x:f>IFERROR(INDEX('Lookup Tables'!$H$5:$H$16,MATCH(H467,'Lookup Tables'!$F$5:$F$16,0)),"Unknown")</x:f>
        <x:v>Office Supplies</x:v>
      </x:c>
      <x:c r="K467" s="8" t="n">
        <x:v>2</x:v>
      </x:c>
      <x:c r="L467" s="9" t="n">
        <x:f>IFERROR(INDEX('Lookup Tables'!$I$5:$I$16,MATCH(H467,'Lookup Tables'!$F$5:$F$16,0)),0)</x:f>
        <x:v>699</x:v>
      </x:c>
      <x:c r="M467" s="23" t="n">
        <x:f>IF('Raw Data'!M467="",0,'Raw Data'!M467)</x:f>
        <x:v>0.15</x:v>
      </x:c>
      <x:c r="N467" s="9" t="n">
        <x:f>IF(S467="Completed",K467*L467*(1-M467),0)</x:f>
        <x:v>1188.3</x:v>
      </x:c>
      <x:c r="O467" s="9" t="n">
        <x:f>IFERROR(INDEX('Lookup Tables'!$J$5:$J$16,MATCH(H467,'Lookup Tables'!$F$5:$F$16,0)),0)</x:f>
        <x:v>390</x:v>
      </x:c>
      <x:c r="P467" s="9" t="n">
        <x:f>IF(S467="Completed",K467*O467,0)</x:f>
        <x:v>780</x:v>
      </x:c>
      <x:c r="Q467" s="9" t="n">
        <x:f>N467-P467</x:f>
        <x:v>408.29999999999995</x:v>
      </x:c>
      <x:c r="R467" s="8" t="str">
        <x:f>IF(LOWER('Raw Data'!N467)="upi","UPI",'Raw Data'!N467)</x:f>
        <x:v>Net Banking</x:v>
      </x:c>
      <x:c r="S467" s="8" t="str">
        <x:v>Completed</x:v>
      </x:c>
      <x:c r="T467" s="8" t="str">
        <x:f>TEXT(B467,"mmm yyyy")</x:f>
        <x:v>Sep 2025</x:v>
      </x:c>
      <x:c r="U467" s="8" t="n">
        <x:f>YEAR(B467)</x:f>
        <x:v>2025</x:v>
      </x:c>
    </x:row>
    <x:row r="468">
      <x:c r="A468" s="8" t="str">
        <x:v>ORD-0464</x:v>
      </x:c>
      <x:c r="B468" s="22" t="n">
        <x:v>45967.05180166667</x:v>
      </x:c>
      <x:c r="C468" s="8" t="str">
        <x:v>CUS-024</x:v>
      </x:c>
      <x:c r="D468" s="8" t="str">
        <x:f>IFERROR(INDEX('Lookup Tables'!$B$5:$B$84,MATCH(C468,'Lookup Tables'!$A$5:$A$84,0)),"Unknown Customer")</x:f>
        <x:v>Ananya Gupta 2</x:v>
      </x:c>
      <x:c r="E468" s="8" t="str">
        <x:f>IFERROR(INDEX('Lookup Tables'!$C$5:$C$84,MATCH(C468,'Lookup Tables'!$A$5:$A$84,0)),"Unknown")</x:f>
        <x:v>Small Business</x:v>
      </x:c>
      <x:c r="F468" s="8" t="str">
        <x:v>Pune</x:v>
      </x:c>
      <x:c r="G468" s="8" t="str">
        <x:f>IFERROR(INDEX('Lookup Tables'!$N$5:$N$14,MATCH(F468,'Lookup Tables'!$M$5:$M$14,0)),"Unknown")</x:f>
        <x:v>West</x:v>
      </x:c>
      <x:c r="H468" s="8" t="str">
        <x:v>PRD-005</x:v>
      </x:c>
      <x:c r="I468" s="8" t="str">
        <x:f>IFERROR(INDEX('Lookup Tables'!$G$5:$G$16,MATCH(H468,'Lookup Tables'!$F$5:$F$16,0)),"Unknown Product")</x:f>
        <x:v>Executive Notebook</x:v>
      </x:c>
      <x:c r="J468" s="8" t="str">
        <x:f>IFERROR(INDEX('Lookup Tables'!$H$5:$H$16,MATCH(H468,'Lookup Tables'!$F$5:$F$16,0)),"Unknown")</x:f>
        <x:v>Office Supplies</x:v>
      </x:c>
      <x:c r="K468" s="8" t="n">
        <x:v>4</x:v>
      </x:c>
      <x:c r="L468" s="9" t="n">
        <x:f>IFERROR(INDEX('Lookup Tables'!$I$5:$I$16,MATCH(H468,'Lookup Tables'!$F$5:$F$16,0)),0)</x:f>
        <x:v>349</x:v>
      </x:c>
      <x:c r="M468" s="23" t="n">
        <x:f>IF('Raw Data'!M468="",0,'Raw Data'!M468)</x:f>
        <x:v>0</x:v>
      </x:c>
      <x:c r="N468" s="9" t="n">
        <x:f>IF(S468="Completed",K468*L468*(1-M468),0)</x:f>
        <x:v>0</x:v>
      </x:c>
      <x:c r="O468" s="9" t="n">
        <x:f>IFERROR(INDEX('Lookup Tables'!$J$5:$J$16,MATCH(H468,'Lookup Tables'!$F$5:$F$16,0)),0)</x:f>
        <x:v>170</x:v>
      </x:c>
      <x:c r="P468" s="9" t="n">
        <x:f>IF(S468="Completed",K468*O468,0)</x:f>
        <x:v>0</x:v>
      </x:c>
      <x:c r="Q468" s="9" t="n">
        <x:f>N468-P468</x:f>
        <x:v>0</x:v>
      </x:c>
      <x:c r="R468" s="8" t="str">
        <x:f>IF(LOWER('Raw Data'!N468)="upi","UPI",'Raw Data'!N468)</x:f>
        <x:v>Net Banking</x:v>
      </x:c>
      <x:c r="S468" s="8" t="str">
        <x:v>Cancelled</x:v>
      </x:c>
      <x:c r="T468" s="8" t="str">
        <x:f>TEXT(B468,"mmm yyyy")</x:f>
        <x:v>Nov 2025</x:v>
      </x:c>
      <x:c r="U468" s="8" t="n">
        <x:f>YEAR(B468)</x:f>
        <x:v>2025</x:v>
      </x:c>
    </x:row>
    <x:row r="469">
      <x:c r="A469" s="8" t="str">
        <x:v>ORD-0465</x:v>
      </x:c>
      <x:c r="B469" s="22" t="n">
        <x:v>45702.88916918982</x:v>
      </x:c>
      <x:c r="C469" s="8" t="str">
        <x:v>CUS-022</x:v>
      </x:c>
      <x:c r="D469" s="8" t="str">
        <x:f>IFERROR(INDEX('Lookup Tables'!$B$5:$B$84,MATCH(C469,'Lookup Tables'!$A$5:$A$84,0)),"Unknown Customer")</x:f>
        <x:v>Diya Patel 2</x:v>
      </x:c>
      <x:c r="E469" s="8" t="str">
        <x:f>IFERROR(INDEX('Lookup Tables'!$C$5:$C$84,MATCH(C469,'Lookup Tables'!$A$5:$A$84,0)),"Unknown")</x:f>
        <x:v>Consumer</x:v>
      </x:c>
      <x:c r="F469" s="8" t="str">
        <x:v>Delhi</x:v>
      </x:c>
      <x:c r="G469" s="8" t="str">
        <x:f>IFERROR(INDEX('Lookup Tables'!$N$5:$N$14,MATCH(F469,'Lookup Tables'!$M$5:$M$14,0)),"Unknown")</x:f>
        <x:v>North</x:v>
      </x:c>
      <x:c r="H469" s="8" t="str">
        <x:v>PRD-002</x:v>
      </x:c>
      <x:c r="I469" s="8" t="str">
        <x:f>IFERROR(INDEX('Lookup Tables'!$G$5:$G$16,MATCH(H469,'Lookup Tables'!$F$5:$F$16,0)),"Unknown Product")</x:f>
        <x:v>Bluetooth Headphones</x:v>
      </x:c>
      <x:c r="J469" s="8" t="str">
        <x:f>IFERROR(INDEX('Lookup Tables'!$H$5:$H$16,MATCH(H469,'Lookup Tables'!$F$5:$F$16,0)),"Unknown")</x:f>
        <x:v>Electronics</x:v>
      </x:c>
      <x:c r="K469" s="8" t="n">
        <x:v>5</x:v>
      </x:c>
      <x:c r="L469" s="9" t="n">
        <x:f>IFERROR(INDEX('Lookup Tables'!$I$5:$I$16,MATCH(H469,'Lookup Tables'!$F$5:$F$16,0)),0)</x:f>
        <x:v>2499</x:v>
      </x:c>
      <x:c r="M469" s="23" t="n">
        <x:f>IF('Raw Data'!M469="",0,'Raw Data'!M469)</x:f>
        <x:v>0.2</x:v>
      </x:c>
      <x:c r="N469" s="9" t="n">
        <x:f>IF(S469="Completed",K469*L469*(1-M469),0)</x:f>
        <x:v>9996</x:v>
      </x:c>
      <x:c r="O469" s="9" t="n">
        <x:f>IFERROR(INDEX('Lookup Tables'!$J$5:$J$16,MATCH(H469,'Lookup Tables'!$F$5:$F$16,0)),0)</x:f>
        <x:v>1620</x:v>
      </x:c>
      <x:c r="P469" s="9" t="n">
        <x:f>IF(S469="Completed",K469*O469,0)</x:f>
        <x:v>8100</x:v>
      </x:c>
      <x:c r="Q469" s="9" t="n">
        <x:f>N469-P469</x:f>
        <x:v>1896</x:v>
      </x:c>
      <x:c r="R469" s="8" t="str">
        <x:f>IF(LOWER('Raw Data'!N469)="upi","UPI",'Raw Data'!N469)</x:f>
        <x:v>UPI</x:v>
      </x:c>
      <x:c r="S469" s="8" t="str">
        <x:v>Completed</x:v>
      </x:c>
      <x:c r="T469" s="8" t="str">
        <x:f>TEXT(B469,"mmm yyyy")</x:f>
        <x:v>Feb 2025</x:v>
      </x:c>
      <x:c r="U469" s="8" t="n">
        <x:f>YEAR(B469)</x:f>
        <x:v>2025</x:v>
      </x:c>
    </x:row>
    <x:row r="470">
      <x:c r="A470" s="8" t="str">
        <x:v>ORD-0466</x:v>
      </x:c>
      <x:c r="B470" s="22" t="n">
        <x:v>45978.190844571756</x:v>
      </x:c>
      <x:c r="C470" s="8" t="str">
        <x:v>CUS-029</x:v>
      </x:c>
      <x:c r="D470" s="8" t="str">
        <x:f>IFERROR(INDEX('Lookup Tables'!$B$5:$B$84,MATCH(C470,'Lookup Tables'!$A$5:$A$84,0)),"Unknown Customer")</x:f>
        <x:v>Rohan Das 2</x:v>
      </x:c>
      <x:c r="E470" s="8" t="str">
        <x:f>IFERROR(INDEX('Lookup Tables'!$C$5:$C$84,MATCH(C470,'Lookup Tables'!$A$5:$A$84,0)),"Unknown")</x:f>
        <x:v>Corporate</x:v>
      </x:c>
      <x:c r="F470" s="8" t="str">
        <x:v>Jaipur</x:v>
      </x:c>
      <x:c r="G470" s="8" t="str">
        <x:f>IFERROR(INDEX('Lookup Tables'!$N$5:$N$14,MATCH(F470,'Lookup Tables'!$M$5:$M$14,0)),"Unknown")</x:f>
        <x:v>North</x:v>
      </x:c>
      <x:c r="H470" s="8" t="str">
        <x:v>PRD-012</x:v>
      </x:c>
      <x:c r="I470" s="8" t="str">
        <x:f>IFERROR(INDEX('Lookup Tables'!$G$5:$G$16,MATCH(H470,'Lookup Tables'!$F$5:$F$16,0)),"Unknown Product")</x:f>
        <x:v>Stainless Water Bottle</x:v>
      </x:c>
      <x:c r="J470" s="8" t="str">
        <x:f>IFERROR(INDEX('Lookup Tables'!$H$5:$H$16,MATCH(H470,'Lookup Tables'!$F$5:$F$16,0)),"Unknown")</x:f>
        <x:v>Lifestyle</x:v>
      </x:c>
      <x:c r="K470" s="8" t="n">
        <x:v>2</x:v>
      </x:c>
      <x:c r="L470" s="9" t="n">
        <x:f>IFERROR(INDEX('Lookup Tables'!$I$5:$I$16,MATCH(H470,'Lookup Tables'!$F$5:$F$16,0)),0)</x:f>
        <x:v>799</x:v>
      </x:c>
      <x:c r="M470" s="23" t="n">
        <x:f>IF('Raw Data'!M470="",0,'Raw Data'!M470)</x:f>
        <x:v>0</x:v>
      </x:c>
      <x:c r="N470" s="9" t="n">
        <x:f>IF(S470="Completed",K470*L470*(1-M470),0)</x:f>
        <x:v>0</x:v>
      </x:c>
      <x:c r="O470" s="9" t="n">
        <x:f>IFERROR(INDEX('Lookup Tables'!$J$5:$J$16,MATCH(H470,'Lookup Tables'!$F$5:$F$16,0)),0)</x:f>
        <x:v>410</x:v>
      </x:c>
      <x:c r="P470" s="9" t="n">
        <x:f>IF(S470="Completed",K470*O470,0)</x:f>
        <x:v>0</x:v>
      </x:c>
      <x:c r="Q470" s="9" t="n">
        <x:f>N470-P470</x:f>
        <x:v>0</x:v>
      </x:c>
      <x:c r="R470" s="8" t="str">
        <x:f>IF(LOWER('Raw Data'!N470)="upi","UPI",'Raw Data'!N470)</x:f>
        <x:v>Cash on Delivery</x:v>
      </x:c>
      <x:c r="S470" s="8" t="str">
        <x:v>Returned</x:v>
      </x:c>
      <x:c r="T470" s="8" t="str">
        <x:f>TEXT(B470,"mmm yyyy")</x:f>
        <x:v>Nov 2025</x:v>
      </x:c>
      <x:c r="U470" s="8" t="n">
        <x:f>YEAR(B470)</x:f>
        <x:v>2025</x:v>
      </x:c>
    </x:row>
    <x:row r="471">
      <x:c r="A471" s="8" t="str">
        <x:v>ORD-0467</x:v>
      </x:c>
      <x:c r="B471" s="22" t="n">
        <x:v>45679.01905613426</x:v>
      </x:c>
      <x:c r="C471" s="8" t="str">
        <x:v>CUS-001</x:v>
      </x:c>
      <x:c r="D471" s="8" t="str">
        <x:f>IFERROR(INDEX('Lookup Tables'!$B$5:$B$84,MATCH(C471,'Lookup Tables'!$A$5:$A$84,0)),"Unknown Customer")</x:f>
        <x:v>Aarav Sharma</x:v>
      </x:c>
      <x:c r="E471" s="8" t="str">
        <x:f>IFERROR(INDEX('Lookup Tables'!$C$5:$C$84,MATCH(C471,'Lookup Tables'!$A$5:$A$84,0)),"Unknown")</x:f>
        <x:v>Consumer</x:v>
      </x:c>
      <x:c r="F471" s="8" t="str">
        <x:v>Lucknow</x:v>
      </x:c>
      <x:c r="G471" s="8" t="str">
        <x:f>IFERROR(INDEX('Lookup Tables'!$N$5:$N$14,MATCH(F471,'Lookup Tables'!$M$5:$M$14,0)),"Unknown")</x:f>
        <x:v>North</x:v>
      </x:c>
      <x:c r="H471" s="8" t="str">
        <x:v>PRD-007</x:v>
      </x:c>
      <x:c r="I471" s="8" t="str">
        <x:f>IFERROR(INDEX('Lookup Tables'!$G$5:$G$16,MATCH(H471,'Lookup Tables'!$F$5:$F$16,0)),"Unknown Product")</x:f>
        <x:v>Electric Kettle</x:v>
      </x:c>
      <x:c r="J471" s="8" t="str">
        <x:f>IFERROR(INDEX('Lookup Tables'!$H$5:$H$16,MATCH(H471,'Lookup Tables'!$F$5:$F$16,0)),"Unknown")</x:f>
        <x:v>Home &amp; Kitchen</x:v>
      </x:c>
      <x:c r="K471" s="8" t="n">
        <x:v>5</x:v>
      </x:c>
      <x:c r="L471" s="9" t="n">
        <x:f>IFERROR(INDEX('Lookup Tables'!$I$5:$I$16,MATCH(H471,'Lookup Tables'!$F$5:$F$16,0)),0)</x:f>
        <x:v>1699</x:v>
      </x:c>
      <x:c r="M471" s="23" t="n">
        <x:f>IF('Raw Data'!M471="",0,'Raw Data'!M471)</x:f>
        <x:v>0.1</x:v>
      </x:c>
      <x:c r="N471" s="9" t="n">
        <x:f>IF(S471="Completed",K471*L471*(1-M471),0)</x:f>
        <x:v>0</x:v>
      </x:c>
      <x:c r="O471" s="9" t="n">
        <x:f>IFERROR(INDEX('Lookup Tables'!$J$5:$J$16,MATCH(H471,'Lookup Tables'!$F$5:$F$16,0)),0)</x:f>
        <x:v>1040</x:v>
      </x:c>
      <x:c r="P471" s="9" t="n">
        <x:f>IF(S471="Completed",K471*O471,0)</x:f>
        <x:v>0</x:v>
      </x:c>
      <x:c r="Q471" s="9" t="n">
        <x:f>N471-P471</x:f>
        <x:v>0</x:v>
      </x:c>
      <x:c r="R471" s="8" t="str">
        <x:f>IF(LOWER('Raw Data'!N471)="upi","UPI",'Raw Data'!N471)</x:f>
        <x:v>Credit Card</x:v>
      </x:c>
      <x:c r="S471" s="8" t="str">
        <x:v>Cancelled</x:v>
      </x:c>
      <x:c r="T471" s="8" t="str">
        <x:f>TEXT(B471,"mmm yyyy")</x:f>
        <x:v>Jan 2025</x:v>
      </x:c>
      <x:c r="U471" s="8" t="n">
        <x:f>YEAR(B471)</x:f>
        <x:v>2025</x:v>
      </x:c>
    </x:row>
    <x:row r="472">
      <x:c r="A472" s="8" t="str">
        <x:v>ORD-0468</x:v>
      </x:c>
      <x:c r="B472" s="22" t="n">
        <x:v>45796.92801332176</x:v>
      </x:c>
      <x:c r="C472" s="8" t="str">
        <x:v>CUS-064</x:v>
      </x:c>
      <x:c r="D472" s="8" t="str">
        <x:f>IFERROR(INDEX('Lookup Tables'!$B$5:$B$84,MATCH(C472,'Lookup Tables'!$A$5:$A$84,0)),"Unknown Customer")</x:f>
        <x:v>Ananya Gupta 4</x:v>
      </x:c>
      <x:c r="E472" s="8" t="str">
        <x:f>IFERROR(INDEX('Lookup Tables'!$C$5:$C$84,MATCH(C472,'Lookup Tables'!$A$5:$A$84,0)),"Unknown")</x:f>
        <x:v>Consumer</x:v>
      </x:c>
      <x:c r="F472" s="8" t="str">
        <x:v>Hyderabad</x:v>
      </x:c>
      <x:c r="G472" s="8" t="str">
        <x:f>IFERROR(INDEX('Lookup Tables'!$N$5:$N$14,MATCH(F472,'Lookup Tables'!$M$5:$M$14,0)),"Unknown")</x:f>
        <x:v>South</x:v>
      </x:c>
      <x:c r="H472" s="8" t="str">
        <x:v>PRD-001</x:v>
      </x:c>
      <x:c r="I472" s="8" t="str">
        <x:f>IFERROR(INDEX('Lookup Tables'!$G$5:$G$16,MATCH(H472,'Lookup Tables'!$F$5:$F$16,0)),"Unknown Product")</x:f>
        <x:v>Wireless Mouse</x:v>
      </x:c>
      <x:c r="J472" s="8" t="str">
        <x:f>IFERROR(INDEX('Lookup Tables'!$H$5:$H$16,MATCH(H472,'Lookup Tables'!$F$5:$F$16,0)),"Unknown")</x:f>
        <x:v>Electronics</x:v>
      </x:c>
      <x:c r="K472" s="8" t="n">
        <x:v>2</x:v>
      </x:c>
      <x:c r="L472" s="9" t="n">
        <x:f>IFERROR(INDEX('Lookup Tables'!$I$5:$I$16,MATCH(H472,'Lookup Tables'!$F$5:$F$16,0)),0)</x:f>
        <x:v>899</x:v>
      </x:c>
      <x:c r="M472" s="23" t="n">
        <x:f>IF('Raw Data'!M472="",0,'Raw Data'!M472)</x:f>
        <x:v>0</x:v>
      </x:c>
      <x:c r="N472" s="9" t="n">
        <x:f>IF(S472="Completed",K472*L472*(1-M472),0)</x:f>
        <x:v>1798</x:v>
      </x:c>
      <x:c r="O472" s="9" t="n">
        <x:f>IFERROR(INDEX('Lookup Tables'!$J$5:$J$16,MATCH(H472,'Lookup Tables'!$F$5:$F$16,0)),0)</x:f>
        <x:v>540</x:v>
      </x:c>
      <x:c r="P472" s="9" t="n">
        <x:f>IF(S472="Completed",K472*O472,0)</x:f>
        <x:v>1080</x:v>
      </x:c>
      <x:c r="Q472" s="9" t="n">
        <x:f>N472-P472</x:f>
        <x:v>718</x:v>
      </x:c>
      <x:c r="R472" s="8" t="str">
        <x:f>IF(LOWER('Raw Data'!N472)="upi","UPI",'Raw Data'!N472)</x:f>
        <x:v>Net Banking</x:v>
      </x:c>
      <x:c r="S472" s="8" t="str">
        <x:v>Completed</x:v>
      </x:c>
      <x:c r="T472" s="8" t="str">
        <x:f>TEXT(B472,"mmm yyyy")</x:f>
        <x:v>May 2025</x:v>
      </x:c>
      <x:c r="U472" s="8" t="n">
        <x:f>YEAR(B472)</x:f>
        <x:v>2025</x:v>
      </x:c>
    </x:row>
    <x:row r="473">
      <x:c r="A473" s="8" t="str">
        <x:v>ORD-0469</x:v>
      </x:c>
      <x:c r="B473" s="22" t="n">
        <x:v>45908.88976211806</x:v>
      </x:c>
      <x:c r="C473" s="8" t="str">
        <x:v>CUS-072</x:v>
      </x:c>
      <x:c r="D473" s="8" t="str">
        <x:f>IFERROR(INDEX('Lookup Tables'!$B$5:$B$84,MATCH(C473,'Lookup Tables'!$A$5:$A$84,0)),"Unknown Customer")</x:f>
        <x:v>Priya Kapoor 4</x:v>
      </x:c>
      <x:c r="E473" s="8" t="str">
        <x:f>IFERROR(INDEX('Lookup Tables'!$C$5:$C$84,MATCH(C473,'Lookup Tables'!$A$5:$A$84,0)),"Unknown")</x:f>
        <x:v>Small Business</x:v>
      </x:c>
      <x:c r="F473" s="8" t="str">
        <x:v>Bengaluru</x:v>
      </x:c>
      <x:c r="G473" s="8" t="str">
        <x:f>IFERROR(INDEX('Lookup Tables'!$N$5:$N$14,MATCH(F473,'Lookup Tables'!$M$5:$M$14,0)),"Unknown")</x:f>
        <x:v>South</x:v>
      </x:c>
      <x:c r="H473" s="8" t="str">
        <x:v>PRD-001</x:v>
      </x:c>
      <x:c r="I473" s="8" t="str">
        <x:f>IFERROR(INDEX('Lookup Tables'!$G$5:$G$16,MATCH(H473,'Lookup Tables'!$F$5:$F$16,0)),"Unknown Product")</x:f>
        <x:v>Wireless Mouse</x:v>
      </x:c>
      <x:c r="J473" s="8" t="str">
        <x:f>IFERROR(INDEX('Lookup Tables'!$H$5:$H$16,MATCH(H473,'Lookup Tables'!$F$5:$F$16,0)),"Unknown")</x:f>
        <x:v>Electronics</x:v>
      </x:c>
      <x:c r="K473" s="8" t="n">
        <x:v>2</x:v>
      </x:c>
      <x:c r="L473" s="9" t="n">
        <x:f>IFERROR(INDEX('Lookup Tables'!$I$5:$I$16,MATCH(H473,'Lookup Tables'!$F$5:$F$16,0)),0)</x:f>
        <x:v>899</x:v>
      </x:c>
      <x:c r="M473" s="23" t="n">
        <x:f>IF('Raw Data'!M473="",0,'Raw Data'!M473)</x:f>
        <x:v>0</x:v>
      </x:c>
      <x:c r="N473" s="9" t="n">
        <x:f>IF(S473="Completed",K473*L473*(1-M473),0)</x:f>
        <x:v>1798</x:v>
      </x:c>
      <x:c r="O473" s="9" t="n">
        <x:f>IFERROR(INDEX('Lookup Tables'!$J$5:$J$16,MATCH(H473,'Lookup Tables'!$F$5:$F$16,0)),0)</x:f>
        <x:v>540</x:v>
      </x:c>
      <x:c r="P473" s="9" t="n">
        <x:f>IF(S473="Completed",K473*O473,0)</x:f>
        <x:v>1080</x:v>
      </x:c>
      <x:c r="Q473" s="9" t="n">
        <x:f>N473-P473</x:f>
        <x:v>718</x:v>
      </x:c>
      <x:c r="R473" s="8" t="str">
        <x:f>IF(LOWER('Raw Data'!N473)="upi","UPI",'Raw Data'!N473)</x:f>
        <x:v>UPI</x:v>
      </x:c>
      <x:c r="S473" s="8" t="str">
        <x:v>Completed</x:v>
      </x:c>
      <x:c r="T473" s="8" t="str">
        <x:f>TEXT(B473,"mmm yyyy")</x:f>
        <x:v>Sep 2025</x:v>
      </x:c>
      <x:c r="U473" s="8" t="n">
        <x:f>YEAR(B473)</x:f>
        <x:v>2025</x:v>
      </x:c>
    </x:row>
    <x:row r="474">
      <x:c r="A474" s="8" t="str">
        <x:v>ORD-0470</x:v>
      </x:c>
      <x:c r="B474" s="22" t="n">
        <x:v>45983.41567483796</x:v>
      </x:c>
      <x:c r="C474" s="8" t="str">
        <x:v>CUS-080</x:v>
      </x:c>
      <x:c r="D474" s="8" t="str">
        <x:f>IFERROR(INDEX('Lookup Tables'!$B$5:$B$84,MATCH(C474,'Lookup Tables'!$A$5:$A$84,0)),"Unknown Customer")</x:f>
        <x:v>Kavya Reddy 4</x:v>
      </x:c>
      <x:c r="E474" s="8" t="str">
        <x:f>IFERROR(INDEX('Lookup Tables'!$C$5:$C$84,MATCH(C474,'Lookup Tables'!$A$5:$A$84,0)),"Unknown")</x:f>
        <x:v>Corporate</x:v>
      </x:c>
      <x:c r="F474" s="8" t="str">
        <x:v>Lucknow</x:v>
      </x:c>
      <x:c r="G474" s="8" t="str">
        <x:f>IFERROR(INDEX('Lookup Tables'!$N$5:$N$14,MATCH(F474,'Lookup Tables'!$M$5:$M$14,0)),"Unknown")</x:f>
        <x:v>North</x:v>
      </x:c>
      <x:c r="H474" s="8" t="str">
        <x:v>PRD-012</x:v>
      </x:c>
      <x:c r="I474" s="8" t="str">
        <x:f>IFERROR(INDEX('Lookup Tables'!$G$5:$G$16,MATCH(H474,'Lookup Tables'!$F$5:$F$16,0)),"Unknown Product")</x:f>
        <x:v>Stainless Water Bottle</x:v>
      </x:c>
      <x:c r="J474" s="8" t="str">
        <x:f>IFERROR(INDEX('Lookup Tables'!$H$5:$H$16,MATCH(H474,'Lookup Tables'!$F$5:$F$16,0)),"Unknown")</x:f>
        <x:v>Lifestyle</x:v>
      </x:c>
      <x:c r="K474" s="8" t="n">
        <x:v>1</x:v>
      </x:c>
      <x:c r="L474" s="9" t="n">
        <x:f>IFERROR(INDEX('Lookup Tables'!$I$5:$I$16,MATCH(H474,'Lookup Tables'!$F$5:$F$16,0)),0)</x:f>
        <x:v>799</x:v>
      </x:c>
      <x:c r="M474" s="23" t="n">
        <x:f>IF('Raw Data'!M474="",0,'Raw Data'!M474)</x:f>
        <x:v>0.15</x:v>
      </x:c>
      <x:c r="N474" s="9" t="n">
        <x:f>IF(S474="Completed",K474*L474*(1-M474),0)</x:f>
        <x:v>0</x:v>
      </x:c>
      <x:c r="O474" s="9" t="n">
        <x:f>IFERROR(INDEX('Lookup Tables'!$J$5:$J$16,MATCH(H474,'Lookup Tables'!$F$5:$F$16,0)),0)</x:f>
        <x:v>410</x:v>
      </x:c>
      <x:c r="P474" s="9" t="n">
        <x:f>IF(S474="Completed",K474*O474,0)</x:f>
        <x:v>0</x:v>
      </x:c>
      <x:c r="Q474" s="9" t="n">
        <x:f>N474-P474</x:f>
        <x:v>0</x:v>
      </x:c>
      <x:c r="R474" s="8" t="str">
        <x:f>IF(LOWER('Raw Data'!N474)="upi","UPI",'Raw Data'!N474)</x:f>
        <x:v>Credit Card</x:v>
      </x:c>
      <x:c r="S474" s="8" t="str">
        <x:v>Returned</x:v>
      </x:c>
      <x:c r="T474" s="8" t="str">
        <x:f>TEXT(B474,"mmm yyyy")</x:f>
        <x:v>Nov 2025</x:v>
      </x:c>
      <x:c r="U474" s="8" t="n">
        <x:f>YEAR(B474)</x:f>
        <x:v>2025</x:v>
      </x:c>
    </x:row>
    <x:row r="475">
      <x:c r="A475" s="8" t="str">
        <x:v>ORD-0471</x:v>
      </x:c>
      <x:c r="B475" s="22" t="n">
        <x:v>45857.67047081018</x:v>
      </x:c>
      <x:c r="C475" s="8" t="str">
        <x:v>CUS-010</x:v>
      </x:c>
      <x:c r="D475" s="8" t="str">
        <x:f>IFERROR(INDEX('Lookup Tables'!$B$5:$B$84,MATCH(C475,'Lookup Tables'!$A$5:$A$84,0)),"Unknown Customer")</x:f>
        <x:v>Saanvi Iyer</x:v>
      </x:c>
      <x:c r="E475" s="8" t="str">
        <x:f>IFERROR(INDEX('Lookup Tables'!$C$5:$C$84,MATCH(C475,'Lookup Tables'!$A$5:$A$84,0)),"Unknown")</x:f>
        <x:v>Consumer</x:v>
      </x:c>
      <x:c r="F475" s="8" t="str">
        <x:v>Kolkata</x:v>
      </x:c>
      <x:c r="G475" s="8" t="str">
        <x:f>IFERROR(INDEX('Lookup Tables'!$N$5:$N$14,MATCH(F475,'Lookup Tables'!$M$5:$M$14,0)),"Unknown")</x:f>
        <x:v>East</x:v>
      </x:c>
      <x:c r="H475" s="8" t="str">
        <x:v>PRD-007</x:v>
      </x:c>
      <x:c r="I475" s="8" t="str">
        <x:f>IFERROR(INDEX('Lookup Tables'!$G$5:$G$16,MATCH(H475,'Lookup Tables'!$F$5:$F$16,0)),"Unknown Product")</x:f>
        <x:v>Electric Kettle</x:v>
      </x:c>
      <x:c r="J475" s="8" t="str">
        <x:f>IFERROR(INDEX('Lookup Tables'!$H$5:$H$16,MATCH(H475,'Lookup Tables'!$F$5:$F$16,0)),"Unknown")</x:f>
        <x:v>Home &amp; Kitchen</x:v>
      </x:c>
      <x:c r="K475" s="8" t="n">
        <x:v>5</x:v>
      </x:c>
      <x:c r="L475" s="9" t="n">
        <x:f>IFERROR(INDEX('Lookup Tables'!$I$5:$I$16,MATCH(H475,'Lookup Tables'!$F$5:$F$16,0)),0)</x:f>
        <x:v>1699</x:v>
      </x:c>
      <x:c r="M475" s="23" t="n">
        <x:f>IF('Raw Data'!M475="",0,'Raw Data'!M475)</x:f>
        <x:v>0.1</x:v>
      </x:c>
      <x:c r="N475" s="9" t="n">
        <x:f>IF(S475="Completed",K475*L475*(1-M475),0)</x:f>
        <x:v>7645.5</x:v>
      </x:c>
      <x:c r="O475" s="9" t="n">
        <x:f>IFERROR(INDEX('Lookup Tables'!$J$5:$J$16,MATCH(H475,'Lookup Tables'!$F$5:$F$16,0)),0)</x:f>
        <x:v>1040</x:v>
      </x:c>
      <x:c r="P475" s="9" t="n">
        <x:f>IF(S475="Completed",K475*O475,0)</x:f>
        <x:v>5200</x:v>
      </x:c>
      <x:c r="Q475" s="9" t="n">
        <x:f>N475-P475</x:f>
        <x:v>2445.5</x:v>
      </x:c>
      <x:c r="R475" s="8" t="str">
        <x:f>IF(LOWER('Raw Data'!N475)="upi","UPI",'Raw Data'!N475)</x:f>
        <x:v>Cash on Delivery</x:v>
      </x:c>
      <x:c r="S475" s="8" t="str">
        <x:v>Completed</x:v>
      </x:c>
      <x:c r="T475" s="8" t="str">
        <x:f>TEXT(B475,"mmm yyyy")</x:f>
        <x:v>Jul 2025</x:v>
      </x:c>
      <x:c r="U475" s="8" t="n">
        <x:f>YEAR(B475)</x:f>
        <x:v>2025</x:v>
      </x:c>
    </x:row>
    <x:row r="476">
      <x:c r="A476" s="8" t="str">
        <x:v>ORD-0472</x:v>
      </x:c>
      <x:c r="B476" s="22" t="n">
        <x:v>45738.99335311342</x:v>
      </x:c>
      <x:c r="C476" s="8" t="str">
        <x:v>CUS-078</x:v>
      </x:c>
      <x:c r="D476" s="8" t="str">
        <x:f>IFERROR(INDEX('Lookup Tables'!$B$5:$B$84,MATCH(C476,'Lookup Tables'!$A$5:$A$84,0)),"Unknown Customer")</x:f>
        <x:v>Nisha Bansal 4</x:v>
      </x:c>
      <x:c r="E476" s="8" t="str">
        <x:f>IFERROR(INDEX('Lookup Tables'!$C$5:$C$84,MATCH(C476,'Lookup Tables'!$A$5:$A$84,0)),"Unknown")</x:f>
        <x:v>Small Business</x:v>
      </x:c>
      <x:c r="F476" s="8" t="str">
        <x:v>Lucknow</x:v>
      </x:c>
      <x:c r="G476" s="8" t="str">
        <x:f>IFERROR(INDEX('Lookup Tables'!$N$5:$N$14,MATCH(F476,'Lookup Tables'!$M$5:$M$14,0)),"Unknown")</x:f>
        <x:v>North</x:v>
      </x:c>
      <x:c r="H476" s="8" t="str">
        <x:v>PRD-007</x:v>
      </x:c>
      <x:c r="I476" s="8" t="str">
        <x:f>IFERROR(INDEX('Lookup Tables'!$G$5:$G$16,MATCH(H476,'Lookup Tables'!$F$5:$F$16,0)),"Unknown Product")</x:f>
        <x:v>Electric Kettle</x:v>
      </x:c>
      <x:c r="J476" s="8" t="str">
        <x:f>IFERROR(INDEX('Lookup Tables'!$H$5:$H$16,MATCH(H476,'Lookup Tables'!$F$5:$F$16,0)),"Unknown")</x:f>
        <x:v>Home &amp; Kitchen</x:v>
      </x:c>
      <x:c r="K476" s="8" t="n">
        <x:v>5</x:v>
      </x:c>
      <x:c r="L476" s="9" t="n">
        <x:f>IFERROR(INDEX('Lookup Tables'!$I$5:$I$16,MATCH(H476,'Lookup Tables'!$F$5:$F$16,0)),0)</x:f>
        <x:v>1699</x:v>
      </x:c>
      <x:c r="M476" s="23" t="n">
        <x:f>IF('Raw Data'!M476="",0,'Raw Data'!M476)</x:f>
        <x:v>0</x:v>
      </x:c>
      <x:c r="N476" s="9" t="n">
        <x:f>IF(S476="Completed",K476*L476*(1-M476),0)</x:f>
        <x:v>0</x:v>
      </x:c>
      <x:c r="O476" s="9" t="n">
        <x:f>IFERROR(INDEX('Lookup Tables'!$J$5:$J$16,MATCH(H476,'Lookup Tables'!$F$5:$F$16,0)),0)</x:f>
        <x:v>1040</x:v>
      </x:c>
      <x:c r="P476" s="9" t="n">
        <x:f>IF(S476="Completed",K476*O476,0)</x:f>
        <x:v>0</x:v>
      </x:c>
      <x:c r="Q476" s="9" t="n">
        <x:f>N476-P476</x:f>
        <x:v>0</x:v>
      </x:c>
      <x:c r="R476" s="8" t="str">
        <x:f>IF(LOWER('Raw Data'!N476)="upi","UPI",'Raw Data'!N476)</x:f>
        <x:v>Debit Card</x:v>
      </x:c>
      <x:c r="S476" s="8" t="str">
        <x:v>Cancelled</x:v>
      </x:c>
      <x:c r="T476" s="8" t="str">
        <x:f>TEXT(B476,"mmm yyyy")</x:f>
        <x:v>Mar 2025</x:v>
      </x:c>
      <x:c r="U476" s="8" t="n">
        <x:f>YEAR(B476)</x:f>
        <x:v>2025</x:v>
      </x:c>
    </x:row>
    <x:row r="477">
      <x:c r="A477" s="8" t="str">
        <x:v>ORD-0473</x:v>
      </x:c>
      <x:c r="B477" s="22" t="n">
        <x:v>45920.73778256944</x:v>
      </x:c>
      <x:c r="C477" s="8" t="str">
        <x:v>CUS-048</x:v>
      </x:c>
      <x:c r="D477" s="8" t="str">
        <x:f>IFERROR(INDEX('Lookup Tables'!$B$5:$B$84,MATCH(C477,'Lookup Tables'!$A$5:$A$84,0)),"Unknown Customer")</x:f>
        <x:v>Meera Nair 3</x:v>
      </x:c>
      <x:c r="E477" s="8" t="str">
        <x:f>IFERROR(INDEX('Lookup Tables'!$C$5:$C$84,MATCH(C477,'Lookup Tables'!$A$5:$A$84,0)),"Unknown")</x:f>
        <x:v>Small Business</x:v>
      </x:c>
      <x:c r="F477" s="8" t="str">
        <x:v>Hyderabad</x:v>
      </x:c>
      <x:c r="G477" s="8" t="str">
        <x:f>IFERROR(INDEX('Lookup Tables'!$N$5:$N$14,MATCH(F477,'Lookup Tables'!$M$5:$M$14,0)),"Unknown")</x:f>
        <x:v>South</x:v>
      </x:c>
      <x:c r="H477" s="8" t="str">
        <x:v>PRD-004</x:v>
      </x:c>
      <x:c r="I477" s="8" t="str">
        <x:f>IFERROR(INDEX('Lookup Tables'!$G$5:$G$16,MATCH(H477,'Lookup Tables'!$F$5:$F$16,0)),"Unknown Product")</x:f>
        <x:v>Laptop Stand</x:v>
      </x:c>
      <x:c r="J477" s="8" t="str">
        <x:f>IFERROR(INDEX('Lookup Tables'!$H$5:$H$16,MATCH(H477,'Lookup Tables'!$F$5:$F$16,0)),"Unknown")</x:f>
        <x:v>Office Supplies</x:v>
      </x:c>
      <x:c r="K477" s="8" t="n">
        <x:v>2</x:v>
      </x:c>
      <x:c r="L477" s="9" t="n">
        <x:f>IFERROR(INDEX('Lookup Tables'!$I$5:$I$16,MATCH(H477,'Lookup Tables'!$F$5:$F$16,0)),0)</x:f>
        <x:v>1299</x:v>
      </x:c>
      <x:c r="M477" s="23" t="n">
        <x:f>IF('Raw Data'!M477="",0,'Raw Data'!M477)</x:f>
        <x:v>0</x:v>
      </x:c>
      <x:c r="N477" s="9" t="n">
        <x:f>IF(S477="Completed",K477*L477*(1-M477),0)</x:f>
        <x:v>2598</x:v>
      </x:c>
      <x:c r="O477" s="9" t="n">
        <x:f>IFERROR(INDEX('Lookup Tables'!$J$5:$J$16,MATCH(H477,'Lookup Tables'!$F$5:$F$16,0)),0)</x:f>
        <x:v>760</x:v>
      </x:c>
      <x:c r="P477" s="9" t="n">
        <x:f>IF(S477="Completed",K477*O477,0)</x:f>
        <x:v>1520</x:v>
      </x:c>
      <x:c r="Q477" s="9" t="n">
        <x:f>N477-P477</x:f>
        <x:v>1078</x:v>
      </x:c>
      <x:c r="R477" s="8" t="str">
        <x:f>IF(LOWER('Raw Data'!N477)="upi","UPI",'Raw Data'!N477)</x:f>
        <x:v>UPI</x:v>
      </x:c>
      <x:c r="S477" s="8" t="str">
        <x:v>Completed</x:v>
      </x:c>
      <x:c r="T477" s="8" t="str">
        <x:f>TEXT(B477,"mmm yyyy")</x:f>
        <x:v>Sep 2025</x:v>
      </x:c>
      <x:c r="U477" s="8" t="n">
        <x:f>YEAR(B477)</x:f>
        <x:v>2025</x:v>
      </x:c>
    </x:row>
    <x:row r="478">
      <x:c r="A478" s="8" t="str">
        <x:v>ORD-0474</x:v>
      </x:c>
      <x:c r="B478" s="22" t="n">
        <x:v>46007.84767791667</x:v>
      </x:c>
      <x:c r="C478" s="8" t="str">
        <x:v>CUS-010</x:v>
      </x:c>
      <x:c r="D478" s="8" t="str">
        <x:f>IFERROR(INDEX('Lookup Tables'!$B$5:$B$84,MATCH(C478,'Lookup Tables'!$A$5:$A$84,0)),"Unknown Customer")</x:f>
        <x:v>Saanvi Iyer</x:v>
      </x:c>
      <x:c r="E478" s="8" t="str">
        <x:f>IFERROR(INDEX('Lookup Tables'!$C$5:$C$84,MATCH(C478,'Lookup Tables'!$A$5:$A$84,0)),"Unknown")</x:f>
        <x:v>Consumer</x:v>
      </x:c>
      <x:c r="F478" s="8" t="str">
        <x:v>Lucknow</x:v>
      </x:c>
      <x:c r="G478" s="8" t="str">
        <x:f>IFERROR(INDEX('Lookup Tables'!$N$5:$N$14,MATCH(F478,'Lookup Tables'!$M$5:$M$14,0)),"Unknown")</x:f>
        <x:v>North</x:v>
      </x:c>
      <x:c r="H478" s="8" t="str">
        <x:v>PRD-003</x:v>
      </x:c>
      <x:c r="I478" s="8" t="str">
        <x:f>IFERROR(INDEX('Lookup Tables'!$G$5:$G$16,MATCH(H478,'Lookup Tables'!$F$5:$F$16,0)),"Unknown Product")</x:f>
        <x:v>USB-C Hub</x:v>
      </x:c>
      <x:c r="J478" s="8" t="str">
        <x:f>IFERROR(INDEX('Lookup Tables'!$H$5:$H$16,MATCH(H478,'Lookup Tables'!$F$5:$F$16,0)),"Unknown")</x:f>
        <x:v>Electronics</x:v>
      </x:c>
      <x:c r="K478" s="8" t="n">
        <x:v>3</x:v>
      </x:c>
      <x:c r="L478" s="9" t="n">
        <x:f>IFERROR(INDEX('Lookup Tables'!$I$5:$I$16,MATCH(H478,'Lookup Tables'!$F$5:$F$16,0)),0)</x:f>
        <x:v>1899</x:v>
      </x:c>
      <x:c r="M478" s="23" t="n">
        <x:f>IF('Raw Data'!M478="",0,'Raw Data'!M478)</x:f>
        <x:v>0.2</x:v>
      </x:c>
      <x:c r="N478" s="9" t="n">
        <x:f>IF(S478="Completed",K478*L478*(1-M478),0)</x:f>
        <x:v>4557.6</x:v>
      </x:c>
      <x:c r="O478" s="9" t="n">
        <x:f>IFERROR(INDEX('Lookup Tables'!$J$5:$J$16,MATCH(H478,'Lookup Tables'!$F$5:$F$16,0)),0)</x:f>
        <x:v>1180</x:v>
      </x:c>
      <x:c r="P478" s="9" t="n">
        <x:f>IF(S478="Completed",K478*O478,0)</x:f>
        <x:v>3540</x:v>
      </x:c>
      <x:c r="Q478" s="9" t="n">
        <x:f>N478-P478</x:f>
        <x:v>1017.6000000000004</x:v>
      </x:c>
      <x:c r="R478" s="8" t="str">
        <x:f>IF(LOWER('Raw Data'!N478)="upi","UPI",'Raw Data'!N478)</x:f>
        <x:v>UPI</x:v>
      </x:c>
      <x:c r="S478" s="8" t="str">
        <x:v>Completed</x:v>
      </x:c>
      <x:c r="T478" s="8" t="str">
        <x:f>TEXT(B478,"mmm yyyy")</x:f>
        <x:v>Dec 2025</x:v>
      </x:c>
      <x:c r="U478" s="8" t="n">
        <x:f>YEAR(B478)</x:f>
        <x:v>2025</x:v>
      </x:c>
    </x:row>
    <x:row r="479">
      <x:c r="A479" s="8" t="str">
        <x:v>ORD-0475</x:v>
      </x:c>
      <x:c r="B479" s="22" t="n">
        <x:v>45913.50091236111</x:v>
      </x:c>
      <x:c r="C479" s="8" t="str">
        <x:v>CUS-030</x:v>
      </x:c>
      <x:c r="D479" s="8" t="str">
        <x:f>IFERROR(INDEX('Lookup Tables'!$B$5:$B$84,MATCH(C479,'Lookup Tables'!$A$5:$A$84,0)),"Unknown Customer")</x:f>
        <x:v>Saanvi Iyer 2</x:v>
      </x:c>
      <x:c r="E479" s="8" t="str">
        <x:f>IFERROR(INDEX('Lookup Tables'!$C$5:$C$84,MATCH(C479,'Lookup Tables'!$A$5:$A$84,0)),"Unknown")</x:f>
        <x:v>Small Business</x:v>
      </x:c>
      <x:c r="F479" s="8" t="str">
        <x:v>Hyderabad</x:v>
      </x:c>
      <x:c r="G479" s="8" t="str">
        <x:f>IFERROR(INDEX('Lookup Tables'!$N$5:$N$14,MATCH(F479,'Lookup Tables'!$M$5:$M$14,0)),"Unknown")</x:f>
        <x:v>South</x:v>
      </x:c>
      <x:c r="H479" s="8" t="str">
        <x:v>PRD-008</x:v>
      </x:c>
      <x:c r="I479" s="8" t="str">
        <x:f>IFERROR(INDEX('Lookup Tables'!$G$5:$G$16,MATCH(H479,'Lookup Tables'!$F$5:$F$16,0)),"Unknown Product")</x:f>
        <x:v>Storage Container Set</x:v>
      </x:c>
      <x:c r="J479" s="8" t="str">
        <x:f>IFERROR(INDEX('Lookup Tables'!$H$5:$H$16,MATCH(H479,'Lookup Tables'!$F$5:$F$16,0)),"Unknown")</x:f>
        <x:v>Home &amp; Kitchen</x:v>
      </x:c>
      <x:c r="K479" s="8" t="n">
        <x:v>1</x:v>
      </x:c>
      <x:c r="L479" s="9" t="n">
        <x:f>IFERROR(INDEX('Lookup Tables'!$I$5:$I$16,MATCH(H479,'Lookup Tables'!$F$5:$F$16,0)),0)</x:f>
        <x:v>999</x:v>
      </x:c>
      <x:c r="M479" s="23" t="n">
        <x:f>IF('Raw Data'!M479="",0,'Raw Data'!M479)</x:f>
        <x:v>0</x:v>
      </x:c>
      <x:c r="N479" s="9" t="n">
        <x:f>IF(S479="Completed",K479*L479*(1-M479),0)</x:f>
        <x:v>999</x:v>
      </x:c>
      <x:c r="O479" s="9" t="n">
        <x:f>IFERROR(INDEX('Lookup Tables'!$J$5:$J$16,MATCH(H479,'Lookup Tables'!$F$5:$F$16,0)),0)</x:f>
        <x:v>580</x:v>
      </x:c>
      <x:c r="P479" s="9" t="n">
        <x:f>IF(S479="Completed",K479*O479,0)</x:f>
        <x:v>580</x:v>
      </x:c>
      <x:c r="Q479" s="9" t="n">
        <x:f>N479-P479</x:f>
        <x:v>419</x:v>
      </x:c>
      <x:c r="R479" s="8" t="str">
        <x:f>IF(LOWER('Raw Data'!N479)="upi","UPI",'Raw Data'!N479)</x:f>
        <x:v>Net Banking</x:v>
      </x:c>
      <x:c r="S479" s="8" t="str">
        <x:v>Completed</x:v>
      </x:c>
      <x:c r="T479" s="8" t="str">
        <x:f>TEXT(B479,"mmm yyyy")</x:f>
        <x:v>Sep 2025</x:v>
      </x:c>
      <x:c r="U479" s="8" t="n">
        <x:f>YEAR(B479)</x:f>
        <x:v>2025</x:v>
      </x:c>
    </x:row>
    <x:row r="480">
      <x:c r="A480" s="8" t="str">
        <x:v>ORD-0476</x:v>
      </x:c>
      <x:c r="B480" s="22" t="n">
        <x:v>45818.93466549768</x:v>
      </x:c>
      <x:c r="C480" s="8" t="str">
        <x:v>CUS-066</x:v>
      </x:c>
      <x:c r="D480" s="8" t="str">
        <x:f>IFERROR(INDEX('Lookup Tables'!$B$5:$B$84,MATCH(C480,'Lookup Tables'!$A$5:$A$84,0)),"Unknown Customer")</x:f>
        <x:v>Isha Mehta 4</x:v>
      </x:c>
      <x:c r="E480" s="8" t="str">
        <x:f>IFERROR(INDEX('Lookup Tables'!$C$5:$C$84,MATCH(C480,'Lookup Tables'!$A$5:$A$84,0)),"Unknown")</x:f>
        <x:v>Small Business</x:v>
      </x:c>
      <x:c r="F480" s="8" t="str">
        <x:v>Delhi</x:v>
      </x:c>
      <x:c r="G480" s="8" t="str">
        <x:f>IFERROR(INDEX('Lookup Tables'!$N$5:$N$14,MATCH(F480,'Lookup Tables'!$M$5:$M$14,0)),"Unknown")</x:f>
        <x:v>North</x:v>
      </x:c>
      <x:c r="H480" s="8" t="str">
        <x:v>PRD-010</x:v>
      </x:c>
      <x:c r="I480" s="8" t="str">
        <x:f>IFERROR(INDEX('Lookup Tables'!$G$5:$G$16,MATCH(H480,'Lookup Tables'!$F$5:$F$16,0)),"Unknown Product")</x:f>
        <x:v>Travel Backpack</x:v>
      </x:c>
      <x:c r="J480" s="8" t="str">
        <x:f>IFERROR(INDEX('Lookup Tables'!$H$5:$H$16,MATCH(H480,'Lookup Tables'!$F$5:$F$16,0)),"Unknown")</x:f>
        <x:v>Fashion</x:v>
      </x:c>
      <x:c r="K480" s="8" t="n">
        <x:v>3</x:v>
      </x:c>
      <x:c r="L480" s="9" t="n">
        <x:f>IFERROR(INDEX('Lookup Tables'!$I$5:$I$16,MATCH(H480,'Lookup Tables'!$F$5:$F$16,0)),0)</x:f>
        <x:v>2199</x:v>
      </x:c>
      <x:c r="M480" s="23" t="n">
        <x:f>IF('Raw Data'!M480="",0,'Raw Data'!M480)</x:f>
        <x:v>0.05</x:v>
      </x:c>
      <x:c r="N480" s="9" t="n">
        <x:f>IF(S480="Completed",K480*L480*(1-M480),0)</x:f>
        <x:v>6267.15</x:v>
      </x:c>
      <x:c r="O480" s="9" t="n">
        <x:f>IFERROR(INDEX('Lookup Tables'!$J$5:$J$16,MATCH(H480,'Lookup Tables'!$F$5:$F$16,0)),0)</x:f>
        <x:v>1380</x:v>
      </x:c>
      <x:c r="P480" s="9" t="n">
        <x:f>IF(S480="Completed",K480*O480,0)</x:f>
        <x:v>4140</x:v>
      </x:c>
      <x:c r="Q480" s="9" t="n">
        <x:f>N480-P480</x:f>
        <x:v>2127.1499999999996</x:v>
      </x:c>
      <x:c r="R480" s="8" t="str">
        <x:f>IF(LOWER('Raw Data'!N480)="upi","UPI",'Raw Data'!N480)</x:f>
        <x:v>Cash on Delivery</x:v>
      </x:c>
      <x:c r="S480" s="8" t="str">
        <x:v>Completed</x:v>
      </x:c>
      <x:c r="T480" s="8" t="str">
        <x:f>TEXT(B480,"mmm yyyy")</x:f>
        <x:v>Jun 2025</x:v>
      </x:c>
      <x:c r="U480" s="8" t="n">
        <x:f>YEAR(B480)</x:f>
        <x:v>2025</x:v>
      </x:c>
    </x:row>
    <x:row r="481">
      <x:c r="A481" s="8" t="str">
        <x:v>ORD-0477</x:v>
      </x:c>
      <x:c r="B481" s="22" t="n">
        <x:v>45986.13120391204</x:v>
      </x:c>
      <x:c r="C481" s="8" t="str">
        <x:v>CUS-077</x:v>
      </x:c>
      <x:c r="D481" s="8" t="str">
        <x:f>IFERROR(INDEX('Lookup Tables'!$B$5:$B$84,MATCH(C481,'Lookup Tables'!$A$5:$A$84,0)),"Unknown Customer")</x:f>
        <x:v>Vikram Yadav 4</x:v>
      </x:c>
      <x:c r="E481" s="8" t="str">
        <x:f>IFERROR(INDEX('Lookup Tables'!$C$5:$C$84,MATCH(C481,'Lookup Tables'!$A$5:$A$84,0)),"Unknown")</x:f>
        <x:v>Corporate</x:v>
      </x:c>
      <x:c r="F481" s="8" t="str">
        <x:v>Bengaluru</x:v>
      </x:c>
      <x:c r="G481" s="8" t="str">
        <x:f>IFERROR(INDEX('Lookup Tables'!$N$5:$N$14,MATCH(F481,'Lookup Tables'!$M$5:$M$14,0)),"Unknown")</x:f>
        <x:v>South</x:v>
      </x:c>
      <x:c r="H481" s="8" t="str">
        <x:v>PRD-001</x:v>
      </x:c>
      <x:c r="I481" s="8" t="str">
        <x:f>IFERROR(INDEX('Lookup Tables'!$G$5:$G$16,MATCH(H481,'Lookup Tables'!$F$5:$F$16,0)),"Unknown Product")</x:f>
        <x:v>Wireless Mouse</x:v>
      </x:c>
      <x:c r="J481" s="8" t="str">
        <x:f>IFERROR(INDEX('Lookup Tables'!$H$5:$H$16,MATCH(H481,'Lookup Tables'!$F$5:$F$16,0)),"Unknown")</x:f>
        <x:v>Electronics</x:v>
      </x:c>
      <x:c r="K481" s="8" t="n">
        <x:v>1</x:v>
      </x:c>
      <x:c r="L481" s="9" t="n">
        <x:f>IFERROR(INDEX('Lookup Tables'!$I$5:$I$16,MATCH(H481,'Lookup Tables'!$F$5:$F$16,0)),0)</x:f>
        <x:v>899</x:v>
      </x:c>
      <x:c r="M481" s="23" t="n">
        <x:f>IF('Raw Data'!M481="",0,'Raw Data'!M481)</x:f>
        <x:v>0.2</x:v>
      </x:c>
      <x:c r="N481" s="9" t="n">
        <x:f>IF(S481="Completed",K481*L481*(1-M481),0)</x:f>
        <x:v>719.2</x:v>
      </x:c>
      <x:c r="O481" s="9" t="n">
        <x:f>IFERROR(INDEX('Lookup Tables'!$J$5:$J$16,MATCH(H481,'Lookup Tables'!$F$5:$F$16,0)),0)</x:f>
        <x:v>540</x:v>
      </x:c>
      <x:c r="P481" s="9" t="n">
        <x:f>IF(S481="Completed",K481*O481,0)</x:f>
        <x:v>540</x:v>
      </x:c>
      <x:c r="Q481" s="9" t="n">
        <x:f>N481-P481</x:f>
        <x:v>179.20000000000005</x:v>
      </x:c>
      <x:c r="R481" s="8" t="str">
        <x:f>IF(LOWER('Raw Data'!N481)="upi","UPI",'Raw Data'!N481)</x:f>
        <x:v>Cash on Delivery</x:v>
      </x:c>
      <x:c r="S481" s="8" t="str">
        <x:v>Completed</x:v>
      </x:c>
      <x:c r="T481" s="8" t="str">
        <x:f>TEXT(B481,"mmm yyyy")</x:f>
        <x:v>Nov 2025</x:v>
      </x:c>
      <x:c r="U481" s="8" t="n">
        <x:f>YEAR(B481)</x:f>
        <x:v>2025</x:v>
      </x:c>
    </x:row>
    <x:row r="482">
      <x:c r="A482" s="8" t="str">
        <x:v>ORD-0478</x:v>
      </x:c>
      <x:c r="B482" s="22" t="n">
        <x:v>45786.27476521991</x:v>
      </x:c>
      <x:c r="C482" s="8" t="str">
        <x:v>CUS-005</x:v>
      </x:c>
      <x:c r="D482" s="8" t="str">
        <x:f>IFERROR(INDEX('Lookup Tables'!$B$5:$B$84,MATCH(C482,'Lookup Tables'!$A$5:$A$84,0)),"Unknown Customer")</x:f>
        <x:v>Arjun Verma</x:v>
      </x:c>
      <x:c r="E482" s="8" t="str">
        <x:f>IFERROR(INDEX('Lookup Tables'!$C$5:$C$84,MATCH(C482,'Lookup Tables'!$A$5:$A$84,0)),"Unknown")</x:f>
        <x:v>Corporate</x:v>
      </x:c>
      <x:c r="F482" s="8" t="str">
        <x:v>Delhi</x:v>
      </x:c>
      <x:c r="G482" s="8" t="str">
        <x:f>IFERROR(INDEX('Lookup Tables'!$N$5:$N$14,MATCH(F482,'Lookup Tables'!$M$5:$M$14,0)),"Unknown")</x:f>
        <x:v>North</x:v>
      </x:c>
      <x:c r="H482" s="8" t="str">
        <x:v>PRD-006</x:v>
      </x:c>
      <x:c r="I482" s="8" t="str">
        <x:f>IFERROR(INDEX('Lookup Tables'!$G$5:$G$16,MATCH(H482,'Lookup Tables'!$F$5:$F$16,0)),"Unknown Product")</x:f>
        <x:v>Desk Organiser</x:v>
      </x:c>
      <x:c r="J482" s="8" t="str">
        <x:f>IFERROR(INDEX('Lookup Tables'!$H$5:$H$16,MATCH(H482,'Lookup Tables'!$F$5:$F$16,0)),"Unknown")</x:f>
        <x:v>Office Supplies</x:v>
      </x:c>
      <x:c r="K482" s="8" t="n">
        <x:v>1</x:v>
      </x:c>
      <x:c r="L482" s="9" t="n">
        <x:f>IFERROR(INDEX('Lookup Tables'!$I$5:$I$16,MATCH(H482,'Lookup Tables'!$F$5:$F$16,0)),0)</x:f>
        <x:v>699</x:v>
      </x:c>
      <x:c r="M482" s="23" t="n">
        <x:f>IF('Raw Data'!M482="",0,'Raw Data'!M482)</x:f>
        <x:v>0</x:v>
      </x:c>
      <x:c r="N482" s="9" t="n">
        <x:f>IF(S482="Completed",K482*L482*(1-M482),0)</x:f>
        <x:v>0</x:v>
      </x:c>
      <x:c r="O482" s="9" t="n">
        <x:f>IFERROR(INDEX('Lookup Tables'!$J$5:$J$16,MATCH(H482,'Lookup Tables'!$F$5:$F$16,0)),0)</x:f>
        <x:v>390</x:v>
      </x:c>
      <x:c r="P482" s="9" t="n">
        <x:f>IF(S482="Completed",K482*O482,0)</x:f>
        <x:v>0</x:v>
      </x:c>
      <x:c r="Q482" s="9" t="n">
        <x:f>N482-P482</x:f>
        <x:v>0</x:v>
      </x:c>
      <x:c r="R482" s="8" t="str">
        <x:f>IF(LOWER('Raw Data'!N482)="upi","UPI",'Raw Data'!N482)</x:f>
        <x:v>Credit Card</x:v>
      </x:c>
      <x:c r="S482" s="8" t="str">
        <x:v>Returned</x:v>
      </x:c>
      <x:c r="T482" s="8" t="str">
        <x:f>TEXT(B482,"mmm yyyy")</x:f>
        <x:v>May 2025</x:v>
      </x:c>
      <x:c r="U482" s="8" t="n">
        <x:f>YEAR(B482)</x:f>
        <x:v>2025</x:v>
      </x:c>
    </x:row>
    <x:row r="483">
      <x:c r="A483" s="8" t="str">
        <x:v>ORD-0479</x:v>
      </x:c>
      <x:c r="B483" s="22" t="n">
        <x:v>45971.776284583335</x:v>
      </x:c>
      <x:c r="C483" s="8" t="str">
        <x:v>CUS-030</x:v>
      </x:c>
      <x:c r="D483" s="8" t="str">
        <x:f>IFERROR(INDEX('Lookup Tables'!$B$5:$B$84,MATCH(C483,'Lookup Tables'!$A$5:$A$84,0)),"Unknown Customer")</x:f>
        <x:v>Saanvi Iyer 2</x:v>
      </x:c>
      <x:c r="E483" s="8" t="str">
        <x:f>IFERROR(INDEX('Lookup Tables'!$C$5:$C$84,MATCH(C483,'Lookup Tables'!$A$5:$A$84,0)),"Unknown")</x:f>
        <x:v>Small Business</x:v>
      </x:c>
      <x:c r="F483" s="8" t="str">
        <x:v>Bengaluru</x:v>
      </x:c>
      <x:c r="G483" s="8" t="str">
        <x:f>IFERROR(INDEX('Lookup Tables'!$N$5:$N$14,MATCH(F483,'Lookup Tables'!$M$5:$M$14,0)),"Unknown")</x:f>
        <x:v>South</x:v>
      </x:c>
      <x:c r="H483" s="8" t="str">
        <x:v>PRD-008</x:v>
      </x:c>
      <x:c r="I483" s="8" t="str">
        <x:f>IFERROR(INDEX('Lookup Tables'!$G$5:$G$16,MATCH(H483,'Lookup Tables'!$F$5:$F$16,0)),"Unknown Product")</x:f>
        <x:v>Storage Container Set</x:v>
      </x:c>
      <x:c r="J483" s="8" t="str">
        <x:f>IFERROR(INDEX('Lookup Tables'!$H$5:$H$16,MATCH(H483,'Lookup Tables'!$F$5:$F$16,0)),"Unknown")</x:f>
        <x:v>Home &amp; Kitchen</x:v>
      </x:c>
      <x:c r="K483" s="8" t="n">
        <x:v>3</x:v>
      </x:c>
      <x:c r="L483" s="9" t="n">
        <x:f>IFERROR(INDEX('Lookup Tables'!$I$5:$I$16,MATCH(H483,'Lookup Tables'!$F$5:$F$16,0)),0)</x:f>
        <x:v>999</x:v>
      </x:c>
      <x:c r="M483" s="23" t="n">
        <x:f>IF('Raw Data'!M483="",0,'Raw Data'!M483)</x:f>
        <x:v>0.15</x:v>
      </x:c>
      <x:c r="N483" s="9" t="n">
        <x:f>IF(S483="Completed",K483*L483*(1-M483),0)</x:f>
        <x:v>0</x:v>
      </x:c>
      <x:c r="O483" s="9" t="n">
        <x:f>IFERROR(INDEX('Lookup Tables'!$J$5:$J$16,MATCH(H483,'Lookup Tables'!$F$5:$F$16,0)),0)</x:f>
        <x:v>580</x:v>
      </x:c>
      <x:c r="P483" s="9" t="n">
        <x:f>IF(S483="Completed",K483*O483,0)</x:f>
        <x:v>0</x:v>
      </x:c>
      <x:c r="Q483" s="9" t="n">
        <x:f>N483-P483</x:f>
        <x:v>0</x:v>
      </x:c>
      <x:c r="R483" s="8" t="str">
        <x:f>IF(LOWER('Raw Data'!N483)="upi","UPI",'Raw Data'!N483)</x:f>
        <x:v>Debit Card</x:v>
      </x:c>
      <x:c r="S483" s="8" t="str">
        <x:v>Cancelled</x:v>
      </x:c>
      <x:c r="T483" s="8" t="str">
        <x:f>TEXT(B483,"mmm yyyy")</x:f>
        <x:v>Nov 2025</x:v>
      </x:c>
      <x:c r="U483" s="8" t="n">
        <x:f>YEAR(B483)</x:f>
        <x:v>2025</x:v>
      </x:c>
    </x:row>
    <x:row r="484">
      <x:c r="A484" s="8" t="str">
        <x:v>ORD-0480</x:v>
      </x:c>
      <x:c r="B484" s="22" t="n">
        <x:v>46007.33740738426</x:v>
      </x:c>
      <x:c r="C484" s="8" t="str">
        <x:v>CUS-039</x:v>
      </x:c>
      <x:c r="D484" s="8" t="str">
        <x:f>IFERROR(INDEX('Lookup Tables'!$B$5:$B$84,MATCH(C484,'Lookup Tables'!$A$5:$A$84,0)),"Unknown Customer")</x:f>
        <x:v>Siddharth Jain 2</x:v>
      </x:c>
      <x:c r="E484" s="8" t="str">
        <x:f>IFERROR(INDEX('Lookup Tables'!$C$5:$C$84,MATCH(C484,'Lookup Tables'!$A$5:$A$84,0)),"Unknown")</x:f>
        <x:v>Small Business</x:v>
      </x:c>
      <x:c r="F484" s="8" t="str">
        <x:v>Pune</x:v>
      </x:c>
      <x:c r="G484" s="8" t="str">
        <x:f>IFERROR(INDEX('Lookup Tables'!$N$5:$N$14,MATCH(F484,'Lookup Tables'!$M$5:$M$14,0)),"Unknown")</x:f>
        <x:v>West</x:v>
      </x:c>
      <x:c r="H484" s="8" t="str">
        <x:v>PRD-004</x:v>
      </x:c>
      <x:c r="I484" s="8" t="str">
        <x:f>IFERROR(INDEX('Lookup Tables'!$G$5:$G$16,MATCH(H484,'Lookup Tables'!$F$5:$F$16,0)),"Unknown Product")</x:f>
        <x:v>Laptop Stand</x:v>
      </x:c>
      <x:c r="J484" s="8" t="str">
        <x:f>IFERROR(INDEX('Lookup Tables'!$H$5:$H$16,MATCH(H484,'Lookup Tables'!$F$5:$F$16,0)),"Unknown")</x:f>
        <x:v>Office Supplies</x:v>
      </x:c>
      <x:c r="K484" s="8" t="n">
        <x:v>3</x:v>
      </x:c>
      <x:c r="L484" s="9" t="n">
        <x:f>IFERROR(INDEX('Lookup Tables'!$I$5:$I$16,MATCH(H484,'Lookup Tables'!$F$5:$F$16,0)),0)</x:f>
        <x:v>1299</x:v>
      </x:c>
      <x:c r="M484" s="23" t="n">
        <x:f>IF('Raw Data'!M484="",0,'Raw Data'!M484)</x:f>
        <x:v>0.15</x:v>
      </x:c>
      <x:c r="N484" s="9" t="n">
        <x:f>IF(S484="Completed",K484*L484*(1-M484),0)</x:f>
        <x:v>3312.45</x:v>
      </x:c>
      <x:c r="O484" s="9" t="n">
        <x:f>IFERROR(INDEX('Lookup Tables'!$J$5:$J$16,MATCH(H484,'Lookup Tables'!$F$5:$F$16,0)),0)</x:f>
        <x:v>760</x:v>
      </x:c>
      <x:c r="P484" s="9" t="n">
        <x:f>IF(S484="Completed",K484*O484,0)</x:f>
        <x:v>2280</x:v>
      </x:c>
      <x:c r="Q484" s="9" t="n">
        <x:f>N484-P484</x:f>
        <x:v>1032.4499999999998</x:v>
      </x:c>
      <x:c r="R484" s="8" t="str">
        <x:f>IF(LOWER('Raw Data'!N484)="upi","UPI",'Raw Data'!N484)</x:f>
        <x:v>Cash on Delivery</x:v>
      </x:c>
      <x:c r="S484" s="8" t="str">
        <x:v>Completed</x:v>
      </x:c>
      <x:c r="T484" s="8" t="str">
        <x:f>TEXT(B484,"mmm yyyy")</x:f>
        <x:v>Dec 2025</x:v>
      </x:c>
      <x:c r="U484" s="8" t="n">
        <x:f>YEAR(B484)</x:f>
        <x:v>2025</x:v>
      </x:c>
    </x:row>
    <x:row r="485">
      <x:c r="A485" s="8" t="str">
        <x:v>ORD-0481</x:v>
      </x:c>
      <x:c r="B485" s="22" t="n">
        <x:v>45949.668188599535</x:v>
      </x:c>
      <x:c r="C485" s="8" t="str">
        <x:v>CUS-018</x:v>
      </x:c>
      <x:c r="D485" s="8" t="str">
        <x:f>IFERROR(INDEX('Lookup Tables'!$B$5:$B$84,MATCH(C485,'Lookup Tables'!$A$5:$A$84,0)),"Unknown Customer")</x:f>
        <x:v>Nisha Bansal</x:v>
      </x:c>
      <x:c r="E485" s="8" t="str">
        <x:f>IFERROR(INDEX('Lookup Tables'!$C$5:$C$84,MATCH(C485,'Lookup Tables'!$A$5:$A$84,0)),"Unknown")</x:f>
        <x:v>Small Business</x:v>
      </x:c>
      <x:c r="F485" s="8" t="str">
        <x:v>Chennai</x:v>
      </x:c>
      <x:c r="G485" s="8" t="str">
        <x:f>IFERROR(INDEX('Lookup Tables'!$N$5:$N$14,MATCH(F485,'Lookup Tables'!$M$5:$M$14,0)),"Unknown")</x:f>
        <x:v>South</x:v>
      </x:c>
      <x:c r="H485" s="8" t="str">
        <x:v>PRD-009</x:v>
      </x:c>
      <x:c r="I485" s="8" t="str">
        <x:f>IFERROR(INDEX('Lookup Tables'!$G$5:$G$16,MATCH(H485,'Lookup Tables'!$F$5:$F$16,0)),"Unknown Product")</x:f>
        <x:v>Table Lamp</x:v>
      </x:c>
      <x:c r="J485" s="8" t="str">
        <x:f>IFERROR(INDEX('Lookup Tables'!$H$5:$H$16,MATCH(H485,'Lookup Tables'!$F$5:$F$16,0)),"Unknown")</x:f>
        <x:v>Home &amp; Kitchen</x:v>
      </x:c>
      <x:c r="K485" s="8" t="n">
        <x:v>3</x:v>
      </x:c>
      <x:c r="L485" s="9" t="n">
        <x:f>IFERROR(INDEX('Lookup Tables'!$I$5:$I$16,MATCH(H485,'Lookup Tables'!$F$5:$F$16,0)),0)</x:f>
        <x:v>1499</x:v>
      </x:c>
      <x:c r="M485" s="23" t="n">
        <x:f>IF('Raw Data'!M485="",0,'Raw Data'!M485)</x:f>
        <x:v>0.2</x:v>
      </x:c>
      <x:c r="N485" s="9" t="n">
        <x:f>IF(S485="Completed",K485*L485*(1-M485),0)</x:f>
        <x:v>0</x:v>
      </x:c>
      <x:c r="O485" s="9" t="n">
        <x:f>IFERROR(INDEX('Lookup Tables'!$J$5:$J$16,MATCH(H485,'Lookup Tables'!$F$5:$F$16,0)),0)</x:f>
        <x:v>920</x:v>
      </x:c>
      <x:c r="P485" s="9" t="n">
        <x:f>IF(S485="Completed",K485*O485,0)</x:f>
        <x:v>0</x:v>
      </x:c>
      <x:c r="Q485" s="9" t="n">
        <x:f>N485-P485</x:f>
        <x:v>0</x:v>
      </x:c>
      <x:c r="R485" s="8" t="str">
        <x:f>IF(LOWER('Raw Data'!N485)="upi","UPI",'Raw Data'!N485)</x:f>
        <x:v>Net Banking</x:v>
      </x:c>
      <x:c r="S485" s="8" t="str">
        <x:v>Cancelled</x:v>
      </x:c>
      <x:c r="T485" s="8" t="str">
        <x:f>TEXT(B485,"mmm yyyy")</x:f>
        <x:v>Oct 2025</x:v>
      </x:c>
      <x:c r="U485" s="8" t="n">
        <x:f>YEAR(B485)</x:f>
        <x:v>2025</x:v>
      </x:c>
    </x:row>
    <x:row r="486">
      <x:c r="A486" s="8" t="str">
        <x:v>ORD-0482</x:v>
      </x:c>
      <x:c r="B486" s="22" t="n">
        <x:v>45777.82018606481</x:v>
      </x:c>
      <x:c r="C486" s="8" t="str">
        <x:v>CUS-030</x:v>
      </x:c>
      <x:c r="D486" s="8" t="str">
        <x:f>IFERROR(INDEX('Lookup Tables'!$B$5:$B$84,MATCH(C486,'Lookup Tables'!$A$5:$A$84,0)),"Unknown Customer")</x:f>
        <x:v>Saanvi Iyer 2</x:v>
      </x:c>
      <x:c r="E486" s="8" t="str">
        <x:f>IFERROR(INDEX('Lookup Tables'!$C$5:$C$84,MATCH(C486,'Lookup Tables'!$A$5:$A$84,0)),"Unknown")</x:f>
        <x:v>Small Business</x:v>
      </x:c>
      <x:c r="F486" s="8" t="str">
        <x:v>Lucknow</x:v>
      </x:c>
      <x:c r="G486" s="8" t="str">
        <x:f>IFERROR(INDEX('Lookup Tables'!$N$5:$N$14,MATCH(F486,'Lookup Tables'!$M$5:$M$14,0)),"Unknown")</x:f>
        <x:v>North</x:v>
      </x:c>
      <x:c r="H486" s="8" t="str">
        <x:v>PRD-008</x:v>
      </x:c>
      <x:c r="I486" s="8" t="str">
        <x:f>IFERROR(INDEX('Lookup Tables'!$G$5:$G$16,MATCH(H486,'Lookup Tables'!$F$5:$F$16,0)),"Unknown Product")</x:f>
        <x:v>Storage Container Set</x:v>
      </x:c>
      <x:c r="J486" s="8" t="str">
        <x:f>IFERROR(INDEX('Lookup Tables'!$H$5:$H$16,MATCH(H486,'Lookup Tables'!$F$5:$F$16,0)),"Unknown")</x:f>
        <x:v>Home &amp; Kitchen</x:v>
      </x:c>
      <x:c r="K486" s="8" t="n">
        <x:v>3</x:v>
      </x:c>
      <x:c r="L486" s="9" t="n">
        <x:f>IFERROR(INDEX('Lookup Tables'!$I$5:$I$16,MATCH(H486,'Lookup Tables'!$F$5:$F$16,0)),0)</x:f>
        <x:v>999</x:v>
      </x:c>
      <x:c r="M486" s="23" t="n">
        <x:f>IF('Raw Data'!M486="",0,'Raw Data'!M486)</x:f>
        <x:v>0</x:v>
      </x:c>
      <x:c r="N486" s="9" t="n">
        <x:f>IF(S486="Completed",K486*L486*(1-M486),0)</x:f>
        <x:v>0</x:v>
      </x:c>
      <x:c r="O486" s="9" t="n">
        <x:f>IFERROR(INDEX('Lookup Tables'!$J$5:$J$16,MATCH(H486,'Lookup Tables'!$F$5:$F$16,0)),0)</x:f>
        <x:v>580</x:v>
      </x:c>
      <x:c r="P486" s="9" t="n">
        <x:f>IF(S486="Completed",K486*O486,0)</x:f>
        <x:v>0</x:v>
      </x:c>
      <x:c r="Q486" s="9" t="n">
        <x:f>N486-P486</x:f>
        <x:v>0</x:v>
      </x:c>
      <x:c r="R486" s="8" t="str">
        <x:f>IF(LOWER('Raw Data'!N486)="upi","UPI",'Raw Data'!N486)</x:f>
        <x:v>Cash on Delivery</x:v>
      </x:c>
      <x:c r="S486" s="8" t="str">
        <x:v>Cancelled</x:v>
      </x:c>
      <x:c r="T486" s="8" t="str">
        <x:f>TEXT(B486,"mmm yyyy")</x:f>
        <x:v>Apr 2025</x:v>
      </x:c>
      <x:c r="U486" s="8" t="n">
        <x:f>YEAR(B486)</x:f>
        <x:v>2025</x:v>
      </x:c>
    </x:row>
    <x:row r="487">
      <x:c r="A487" s="8" t="str">
        <x:v>ORD-0483</x:v>
      </x:c>
      <x:c r="B487" s="22" t="n">
        <x:v>45959.88739945602</x:v>
      </x:c>
      <x:c r="C487" s="8" t="str">
        <x:v>CUS-048</x:v>
      </x:c>
      <x:c r="D487" s="8" t="str">
        <x:f>IFERROR(INDEX('Lookup Tables'!$B$5:$B$84,MATCH(C487,'Lookup Tables'!$A$5:$A$84,0)),"Unknown Customer")</x:f>
        <x:v>Meera Nair 3</x:v>
      </x:c>
      <x:c r="E487" s="8" t="str">
        <x:f>IFERROR(INDEX('Lookup Tables'!$C$5:$C$84,MATCH(C487,'Lookup Tables'!$A$5:$A$84,0)),"Unknown")</x:f>
        <x:v>Small Business</x:v>
      </x:c>
      <x:c r="F487" s="8" t="str">
        <x:v>Kolkata</x:v>
      </x:c>
      <x:c r="G487" s="8" t="str">
        <x:f>IFERROR(INDEX('Lookup Tables'!$N$5:$N$14,MATCH(F487,'Lookup Tables'!$M$5:$M$14,0)),"Unknown")</x:f>
        <x:v>East</x:v>
      </x:c>
      <x:c r="H487" s="8" t="str">
        <x:v>PRD-006</x:v>
      </x:c>
      <x:c r="I487" s="8" t="str">
        <x:f>IFERROR(INDEX('Lookup Tables'!$G$5:$G$16,MATCH(H487,'Lookup Tables'!$F$5:$F$16,0)),"Unknown Product")</x:f>
        <x:v>Desk Organiser</x:v>
      </x:c>
      <x:c r="J487" s="8" t="str">
        <x:f>IFERROR(INDEX('Lookup Tables'!$H$5:$H$16,MATCH(H487,'Lookup Tables'!$F$5:$F$16,0)),"Unknown")</x:f>
        <x:v>Office Supplies</x:v>
      </x:c>
      <x:c r="K487" s="8" t="n">
        <x:v>5</x:v>
      </x:c>
      <x:c r="L487" s="9" t="n">
        <x:f>IFERROR(INDEX('Lookup Tables'!$I$5:$I$16,MATCH(H487,'Lookup Tables'!$F$5:$F$16,0)),0)</x:f>
        <x:v>699</x:v>
      </x:c>
      <x:c r="M487" s="23" t="n">
        <x:f>IF('Raw Data'!M487="",0,'Raw Data'!M487)</x:f>
        <x:v>0.05</x:v>
      </x:c>
      <x:c r="N487" s="9" t="n">
        <x:f>IF(S487="Completed",K487*L487*(1-M487),0)</x:f>
        <x:v>0</x:v>
      </x:c>
      <x:c r="O487" s="9" t="n">
        <x:f>IFERROR(INDEX('Lookup Tables'!$J$5:$J$16,MATCH(H487,'Lookup Tables'!$F$5:$F$16,0)),0)</x:f>
        <x:v>390</x:v>
      </x:c>
      <x:c r="P487" s="9" t="n">
        <x:f>IF(S487="Completed",K487*O487,0)</x:f>
        <x:v>0</x:v>
      </x:c>
      <x:c r="Q487" s="9" t="n">
        <x:f>N487-P487</x:f>
        <x:v>0</x:v>
      </x:c>
      <x:c r="R487" s="8" t="str">
        <x:f>IF(LOWER('Raw Data'!N487)="upi","UPI",'Raw Data'!N487)</x:f>
        <x:v>Debit Card</x:v>
      </x:c>
      <x:c r="S487" s="8" t="str">
        <x:v>Cancelled</x:v>
      </x:c>
      <x:c r="T487" s="8" t="str">
        <x:f>TEXT(B487,"mmm yyyy")</x:f>
        <x:v>Oct 2025</x:v>
      </x:c>
      <x:c r="U487" s="8" t="n">
        <x:f>YEAR(B487)</x:f>
        <x:v>2025</x:v>
      </x:c>
    </x:row>
    <x:row r="488">
      <x:c r="A488" s="8" t="str">
        <x:v>ORD-0484</x:v>
      </x:c>
      <x:c r="B488" s="22" t="n">
        <x:v>45981.813826018515</x:v>
      </x:c>
      <x:c r="C488" s="8" t="str">
        <x:v>CUS-020</x:v>
      </x:c>
      <x:c r="D488" s="8" t="str">
        <x:f>IFERROR(INDEX('Lookup Tables'!$B$5:$B$84,MATCH(C488,'Lookup Tables'!$A$5:$A$84,0)),"Unknown Customer")</x:f>
        <x:v>Kavya Reddy</x:v>
      </x:c>
      <x:c r="E488" s="8" t="str">
        <x:f>IFERROR(INDEX('Lookup Tables'!$C$5:$C$84,MATCH(C488,'Lookup Tables'!$A$5:$A$84,0)),"Unknown")</x:f>
        <x:v>Corporate</x:v>
      </x:c>
      <x:c r="F488" s="8" t="str">
        <x:v>Lucknow</x:v>
      </x:c>
      <x:c r="G488" s="8" t="str">
        <x:f>IFERROR(INDEX('Lookup Tables'!$N$5:$N$14,MATCH(F488,'Lookup Tables'!$M$5:$M$14,0)),"Unknown")</x:f>
        <x:v>North</x:v>
      </x:c>
      <x:c r="H488" s="8" t="str">
        <x:v>PRD-004</x:v>
      </x:c>
      <x:c r="I488" s="8" t="str">
        <x:f>IFERROR(INDEX('Lookup Tables'!$G$5:$G$16,MATCH(H488,'Lookup Tables'!$F$5:$F$16,0)),"Unknown Product")</x:f>
        <x:v>Laptop Stand</x:v>
      </x:c>
      <x:c r="J488" s="8" t="str">
        <x:f>IFERROR(INDEX('Lookup Tables'!$H$5:$H$16,MATCH(H488,'Lookup Tables'!$F$5:$F$16,0)),"Unknown")</x:f>
        <x:v>Office Supplies</x:v>
      </x:c>
      <x:c r="K488" s="8" t="n">
        <x:v>2</x:v>
      </x:c>
      <x:c r="L488" s="9" t="n">
        <x:f>IFERROR(INDEX('Lookup Tables'!$I$5:$I$16,MATCH(H488,'Lookup Tables'!$F$5:$F$16,0)),0)</x:f>
        <x:v>1299</x:v>
      </x:c>
      <x:c r="M488" s="23" t="n">
        <x:f>IF('Raw Data'!M488="",0,'Raw Data'!M488)</x:f>
        <x:v>0</x:v>
      </x:c>
      <x:c r="N488" s="9" t="n">
        <x:f>IF(S488="Completed",K488*L488*(1-M488),0)</x:f>
        <x:v>0</x:v>
      </x:c>
      <x:c r="O488" s="9" t="n">
        <x:f>IFERROR(INDEX('Lookup Tables'!$J$5:$J$16,MATCH(H488,'Lookup Tables'!$F$5:$F$16,0)),0)</x:f>
        <x:v>760</x:v>
      </x:c>
      <x:c r="P488" s="9" t="n">
        <x:f>IF(S488="Completed",K488*O488,0)</x:f>
        <x:v>0</x:v>
      </x:c>
      <x:c r="Q488" s="9" t="n">
        <x:f>N488-P488</x:f>
        <x:v>0</x:v>
      </x:c>
      <x:c r="R488" s="8" t="str">
        <x:f>IF(LOWER('Raw Data'!N488)="upi","UPI",'Raw Data'!N488)</x:f>
        <x:v>Cash on Delivery</x:v>
      </x:c>
      <x:c r="S488" s="8" t="str">
        <x:v>Cancelled</x:v>
      </x:c>
      <x:c r="T488" s="8" t="str">
        <x:f>TEXT(B488,"mmm yyyy")</x:f>
        <x:v>Nov 2025</x:v>
      </x:c>
      <x:c r="U488" s="8" t="n">
        <x:f>YEAR(B488)</x:f>
        <x:v>2025</x:v>
      </x:c>
    </x:row>
    <x:row r="489">
      <x:c r="A489" s="8" t="str">
        <x:v>ORD-0485</x:v>
      </x:c>
      <x:c r="B489" s="22" t="n">
        <x:v>45734.94285925926</x:v>
      </x:c>
      <x:c r="C489" s="8" t="str">
        <x:v>CUS-009</x:v>
      </x:c>
      <x:c r="D489" s="8" t="str">
        <x:f>IFERROR(INDEX('Lookup Tables'!$B$5:$B$84,MATCH(C489,'Lookup Tables'!$A$5:$A$84,0)),"Unknown Customer")</x:f>
        <x:v>Rohan Das</x:v>
      </x:c>
      <x:c r="E489" s="8" t="str">
        <x:f>IFERROR(INDEX('Lookup Tables'!$C$5:$C$84,MATCH(C489,'Lookup Tables'!$A$5:$A$84,0)),"Unknown")</x:f>
        <x:v>Small Business</x:v>
      </x:c>
      <x:c r="F489" s="8" t="str">
        <x:v>Lucknow</x:v>
      </x:c>
      <x:c r="G489" s="8" t="str">
        <x:f>IFERROR(INDEX('Lookup Tables'!$N$5:$N$14,MATCH(F489,'Lookup Tables'!$M$5:$M$14,0)),"Unknown")</x:f>
        <x:v>North</x:v>
      </x:c>
      <x:c r="H489" s="8" t="str">
        <x:v>PRD-006</x:v>
      </x:c>
      <x:c r="I489" s="8" t="str">
        <x:f>IFERROR(INDEX('Lookup Tables'!$G$5:$G$16,MATCH(H489,'Lookup Tables'!$F$5:$F$16,0)),"Unknown Product")</x:f>
        <x:v>Desk Organiser</x:v>
      </x:c>
      <x:c r="J489" s="8" t="str">
        <x:f>IFERROR(INDEX('Lookup Tables'!$H$5:$H$16,MATCH(H489,'Lookup Tables'!$F$5:$F$16,0)),"Unknown")</x:f>
        <x:v>Office Supplies</x:v>
      </x:c>
      <x:c r="K489" s="8" t="n">
        <x:v>2</x:v>
      </x:c>
      <x:c r="L489" s="9" t="n">
        <x:f>IFERROR(INDEX('Lookup Tables'!$I$5:$I$16,MATCH(H489,'Lookup Tables'!$F$5:$F$16,0)),0)</x:f>
        <x:v>699</x:v>
      </x:c>
      <x:c r="M489" s="23" t="n">
        <x:f>IF('Raw Data'!M489="",0,'Raw Data'!M489)</x:f>
        <x:v>0.1</x:v>
      </x:c>
      <x:c r="N489" s="9" t="n">
        <x:f>IF(S489="Completed",K489*L489*(1-M489),0)</x:f>
        <x:v>1258.2</x:v>
      </x:c>
      <x:c r="O489" s="9" t="n">
        <x:f>IFERROR(INDEX('Lookup Tables'!$J$5:$J$16,MATCH(H489,'Lookup Tables'!$F$5:$F$16,0)),0)</x:f>
        <x:v>390</x:v>
      </x:c>
      <x:c r="P489" s="9" t="n">
        <x:f>IF(S489="Completed",K489*O489,0)</x:f>
        <x:v>780</x:v>
      </x:c>
      <x:c r="Q489" s="9" t="n">
        <x:f>N489-P489</x:f>
        <x:v>478.20000000000005</x:v>
      </x:c>
      <x:c r="R489" s="8" t="str">
        <x:f>IF(LOWER('Raw Data'!N489)="upi","UPI",'Raw Data'!N489)</x:f>
        <x:v>Net Banking</x:v>
      </x:c>
      <x:c r="S489" s="8" t="str">
        <x:v>Completed</x:v>
      </x:c>
      <x:c r="T489" s="8" t="str">
        <x:f>TEXT(B489,"mmm yyyy")</x:f>
        <x:v>Mar 2025</x:v>
      </x:c>
      <x:c r="U489" s="8" t="n">
        <x:f>YEAR(B489)</x:f>
        <x:v>2025</x:v>
      </x:c>
    </x:row>
    <x:row r="490">
      <x:c r="A490" s="8" t="str">
        <x:v>ORD-0486</x:v>
      </x:c>
      <x:c r="B490" s="22" t="n">
        <x:v>45924.08258886574</x:v>
      </x:c>
      <x:c r="C490" s="8" t="str">
        <x:v>CUS-031</x:v>
      </x:c>
      <x:c r="D490" s="8" t="str">
        <x:f>IFERROR(INDEX('Lookup Tables'!$B$5:$B$84,MATCH(C490,'Lookup Tables'!$A$5:$A$84,0)),"Unknown Customer")</x:f>
        <x:v>Aditya Joshi 2</x:v>
      </x:c>
      <x:c r="E490" s="8" t="str">
        <x:f>IFERROR(INDEX('Lookup Tables'!$C$5:$C$84,MATCH(C490,'Lookup Tables'!$A$5:$A$84,0)),"Unknown")</x:f>
        <x:v>Consumer</x:v>
      </x:c>
      <x:c r="F490" s="8" t="str">
        <x:v>Kolkata</x:v>
      </x:c>
      <x:c r="G490" s="8" t="str">
        <x:f>IFERROR(INDEX('Lookup Tables'!$N$5:$N$14,MATCH(F490,'Lookup Tables'!$M$5:$M$14,0)),"Unknown")</x:f>
        <x:v>East</x:v>
      </x:c>
      <x:c r="H490" s="8" t="str">
        <x:v>PRD-003</x:v>
      </x:c>
      <x:c r="I490" s="8" t="str">
        <x:f>IFERROR(INDEX('Lookup Tables'!$G$5:$G$16,MATCH(H490,'Lookup Tables'!$F$5:$F$16,0)),"Unknown Product")</x:f>
        <x:v>USB-C Hub</x:v>
      </x:c>
      <x:c r="J490" s="8" t="str">
        <x:f>IFERROR(INDEX('Lookup Tables'!$H$5:$H$16,MATCH(H490,'Lookup Tables'!$F$5:$F$16,0)),"Unknown")</x:f>
        <x:v>Electronics</x:v>
      </x:c>
      <x:c r="K490" s="8" t="n">
        <x:v>4</x:v>
      </x:c>
      <x:c r="L490" s="9" t="n">
        <x:f>IFERROR(INDEX('Lookup Tables'!$I$5:$I$16,MATCH(H490,'Lookup Tables'!$F$5:$F$16,0)),0)</x:f>
        <x:v>1899</x:v>
      </x:c>
      <x:c r="M490" s="23" t="n">
        <x:f>IF('Raw Data'!M490="",0,'Raw Data'!M490)</x:f>
        <x:v>0.1</x:v>
      </x:c>
      <x:c r="N490" s="9" t="n">
        <x:f>IF(S490="Completed",K490*L490*(1-M490),0)</x:f>
        <x:v>6836.400000000001</x:v>
      </x:c>
      <x:c r="O490" s="9" t="n">
        <x:f>IFERROR(INDEX('Lookup Tables'!$J$5:$J$16,MATCH(H490,'Lookup Tables'!$F$5:$F$16,0)),0)</x:f>
        <x:v>1180</x:v>
      </x:c>
      <x:c r="P490" s="9" t="n">
        <x:f>IF(S490="Completed",K490*O490,0)</x:f>
        <x:v>4720</x:v>
      </x:c>
      <x:c r="Q490" s="9" t="n">
        <x:f>N490-P490</x:f>
        <x:v>2116.4000000000005</x:v>
      </x:c>
      <x:c r="R490" s="8" t="str">
        <x:f>IF(LOWER('Raw Data'!N490)="upi","UPI",'Raw Data'!N490)</x:f>
        <x:v>Debit Card</x:v>
      </x:c>
      <x:c r="S490" s="8" t="str">
        <x:v>Completed</x:v>
      </x:c>
      <x:c r="T490" s="8" t="str">
        <x:f>TEXT(B490,"mmm yyyy")</x:f>
        <x:v>Sep 2025</x:v>
      </x:c>
      <x:c r="U490" s="8" t="n">
        <x:f>YEAR(B490)</x:f>
        <x:v>2025</x:v>
      </x:c>
    </x:row>
    <x:row r="491">
      <x:c r="A491" s="8" t="str">
        <x:v>ORD-0487</x:v>
      </x:c>
      <x:c r="B491" s="22" t="n">
        <x:v>45702.48446548611</x:v>
      </x:c>
      <x:c r="C491" s="8" t="str">
        <x:v>CUS-026</x:v>
      </x:c>
      <x:c r="D491" s="8" t="str">
        <x:f>IFERROR(INDEX('Lookup Tables'!$B$5:$B$84,MATCH(C491,'Lookup Tables'!$A$5:$A$84,0)),"Unknown Customer")</x:f>
        <x:v>Isha Mehta 2</x:v>
      </x:c>
      <x:c r="E491" s="8" t="str">
        <x:f>IFERROR(INDEX('Lookup Tables'!$C$5:$C$84,MATCH(C491,'Lookup Tables'!$A$5:$A$84,0)),"Unknown")</x:f>
        <x:v>Corporate</x:v>
      </x:c>
      <x:c r="F491" s="8" t="str">
        <x:v>Bengaluru</x:v>
      </x:c>
      <x:c r="G491" s="8" t="str">
        <x:f>IFERROR(INDEX('Lookup Tables'!$N$5:$N$14,MATCH(F491,'Lookup Tables'!$M$5:$M$14,0)),"Unknown")</x:f>
        <x:v>South</x:v>
      </x:c>
      <x:c r="H491" s="8" t="str">
        <x:v>PRD-002</x:v>
      </x:c>
      <x:c r="I491" s="8" t="str">
        <x:f>IFERROR(INDEX('Lookup Tables'!$G$5:$G$16,MATCH(H491,'Lookup Tables'!$F$5:$F$16,0)),"Unknown Product")</x:f>
        <x:v>Bluetooth Headphones</x:v>
      </x:c>
      <x:c r="J491" s="8" t="str">
        <x:f>IFERROR(INDEX('Lookup Tables'!$H$5:$H$16,MATCH(H491,'Lookup Tables'!$F$5:$F$16,0)),"Unknown")</x:f>
        <x:v>Electronics</x:v>
      </x:c>
      <x:c r="K491" s="8" t="n">
        <x:v>5</x:v>
      </x:c>
      <x:c r="L491" s="9" t="n">
        <x:f>IFERROR(INDEX('Lookup Tables'!$I$5:$I$16,MATCH(H491,'Lookup Tables'!$F$5:$F$16,0)),0)</x:f>
        <x:v>2499</x:v>
      </x:c>
      <x:c r="M491" s="23" t="n">
        <x:f>IF('Raw Data'!M491="",0,'Raw Data'!M491)</x:f>
        <x:v>0.1</x:v>
      </x:c>
      <x:c r="N491" s="9" t="n">
        <x:f>IF(S491="Completed",K491*L491*(1-M491),0)</x:f>
        <x:v>0</x:v>
      </x:c>
      <x:c r="O491" s="9" t="n">
        <x:f>IFERROR(INDEX('Lookup Tables'!$J$5:$J$16,MATCH(H491,'Lookup Tables'!$F$5:$F$16,0)),0)</x:f>
        <x:v>1620</x:v>
      </x:c>
      <x:c r="P491" s="9" t="n">
        <x:f>IF(S491="Completed",K491*O491,0)</x:f>
        <x:v>0</x:v>
      </x:c>
      <x:c r="Q491" s="9" t="n">
        <x:f>N491-P491</x:f>
        <x:v>0</x:v>
      </x:c>
      <x:c r="R491" s="8" t="str">
        <x:f>IF(LOWER('Raw Data'!N491)="upi","UPI",'Raw Data'!N491)</x:f>
        <x:v>Cash on Delivery</x:v>
      </x:c>
      <x:c r="S491" s="8" t="str">
        <x:v>Returned</x:v>
      </x:c>
      <x:c r="T491" s="8" t="str">
        <x:f>TEXT(B491,"mmm yyyy")</x:f>
        <x:v>Feb 2025</x:v>
      </x:c>
      <x:c r="U491" s="8" t="n">
        <x:f>YEAR(B491)</x:f>
        <x:v>2025</x:v>
      </x:c>
    </x:row>
    <x:row r="492">
      <x:c r="A492" s="8" t="str">
        <x:v>ORD-0488</x:v>
      </x:c>
      <x:c r="B492" s="22" t="n">
        <x:v>45849.94106324074</x:v>
      </x:c>
      <x:c r="C492" s="8" t="str">
        <x:v>CUS-030</x:v>
      </x:c>
      <x:c r="D492" s="8" t="str">
        <x:f>IFERROR(INDEX('Lookup Tables'!$B$5:$B$84,MATCH(C492,'Lookup Tables'!$A$5:$A$84,0)),"Unknown Customer")</x:f>
        <x:v>Saanvi Iyer 2</x:v>
      </x:c>
      <x:c r="E492" s="8" t="str">
        <x:f>IFERROR(INDEX('Lookup Tables'!$C$5:$C$84,MATCH(C492,'Lookup Tables'!$A$5:$A$84,0)),"Unknown")</x:f>
        <x:v>Small Business</x:v>
      </x:c>
      <x:c r="F492" s="8" t="str">
        <x:v>Delhi</x:v>
      </x:c>
      <x:c r="G492" s="8" t="str">
        <x:f>IFERROR(INDEX('Lookup Tables'!$N$5:$N$14,MATCH(F492,'Lookup Tables'!$M$5:$M$14,0)),"Unknown")</x:f>
        <x:v>North</x:v>
      </x:c>
      <x:c r="H492" s="8" t="str">
        <x:v>PRD-003</x:v>
      </x:c>
      <x:c r="I492" s="8" t="str">
        <x:f>IFERROR(INDEX('Lookup Tables'!$G$5:$G$16,MATCH(H492,'Lookup Tables'!$F$5:$F$16,0)),"Unknown Product")</x:f>
        <x:v>USB-C Hub</x:v>
      </x:c>
      <x:c r="J492" s="8" t="str">
        <x:f>IFERROR(INDEX('Lookup Tables'!$H$5:$H$16,MATCH(H492,'Lookup Tables'!$F$5:$F$16,0)),"Unknown")</x:f>
        <x:v>Electronics</x:v>
      </x:c>
      <x:c r="K492" s="8" t="n">
        <x:v>3</x:v>
      </x:c>
      <x:c r="L492" s="9" t="n">
        <x:f>IFERROR(INDEX('Lookup Tables'!$I$5:$I$16,MATCH(H492,'Lookup Tables'!$F$5:$F$16,0)),0)</x:f>
        <x:v>1899</x:v>
      </x:c>
      <x:c r="M492" s="23" t="n">
        <x:f>IF('Raw Data'!M492="",0,'Raw Data'!M492)</x:f>
        <x:v>0</x:v>
      </x:c>
      <x:c r="N492" s="9" t="n">
        <x:f>IF(S492="Completed",K492*L492*(1-M492),0)</x:f>
        <x:v>5697</x:v>
      </x:c>
      <x:c r="O492" s="9" t="n">
        <x:f>IFERROR(INDEX('Lookup Tables'!$J$5:$J$16,MATCH(H492,'Lookup Tables'!$F$5:$F$16,0)),0)</x:f>
        <x:v>1180</x:v>
      </x:c>
      <x:c r="P492" s="9" t="n">
        <x:f>IF(S492="Completed",K492*O492,0)</x:f>
        <x:v>3540</x:v>
      </x:c>
      <x:c r="Q492" s="9" t="n">
        <x:f>N492-P492</x:f>
        <x:v>2157</x:v>
      </x:c>
      <x:c r="R492" s="8" t="str">
        <x:f>IF(LOWER('Raw Data'!N492)="upi","UPI",'Raw Data'!N492)</x:f>
        <x:v>Net Banking</x:v>
      </x:c>
      <x:c r="S492" s="8" t="str">
        <x:v>Completed</x:v>
      </x:c>
      <x:c r="T492" s="8" t="str">
        <x:f>TEXT(B492,"mmm yyyy")</x:f>
        <x:v>Jul 2025</x:v>
      </x:c>
      <x:c r="U492" s="8" t="n">
        <x:f>YEAR(B492)</x:f>
        <x:v>2025</x:v>
      </x:c>
    </x:row>
    <x:row r="493">
      <x:c r="A493" s="8" t="str">
        <x:v>ORD-0489</x:v>
      </x:c>
      <x:c r="B493" s="22" t="n">
        <x:v>45852.32455304398</x:v>
      </x:c>
      <x:c r="C493" s="8" t="str">
        <x:v>CUS-022</x:v>
      </x:c>
      <x:c r="D493" s="8" t="str">
        <x:f>IFERROR(INDEX('Lookup Tables'!$B$5:$B$84,MATCH(C493,'Lookup Tables'!$A$5:$A$84,0)),"Unknown Customer")</x:f>
        <x:v>Diya Patel 2</x:v>
      </x:c>
      <x:c r="E493" s="8" t="str">
        <x:f>IFERROR(INDEX('Lookup Tables'!$C$5:$C$84,MATCH(C493,'Lookup Tables'!$A$5:$A$84,0)),"Unknown")</x:f>
        <x:v>Consumer</x:v>
      </x:c>
      <x:c r="F493" s="8" t="str">
        <x:v>Kolkata</x:v>
      </x:c>
      <x:c r="G493" s="8" t="str">
        <x:f>IFERROR(INDEX('Lookup Tables'!$N$5:$N$14,MATCH(F493,'Lookup Tables'!$M$5:$M$14,0)),"Unknown")</x:f>
        <x:v>East</x:v>
      </x:c>
      <x:c r="H493" s="8" t="str">
        <x:v>PRD-004</x:v>
      </x:c>
      <x:c r="I493" s="8" t="str">
        <x:f>IFERROR(INDEX('Lookup Tables'!$G$5:$G$16,MATCH(H493,'Lookup Tables'!$F$5:$F$16,0)),"Unknown Product")</x:f>
        <x:v>Laptop Stand</x:v>
      </x:c>
      <x:c r="J493" s="8" t="str">
        <x:f>IFERROR(INDEX('Lookup Tables'!$H$5:$H$16,MATCH(H493,'Lookup Tables'!$F$5:$F$16,0)),"Unknown")</x:f>
        <x:v>Office Supplies</x:v>
      </x:c>
      <x:c r="K493" s="8" t="n">
        <x:v>1</x:v>
      </x:c>
      <x:c r="L493" s="9" t="n">
        <x:f>IFERROR(INDEX('Lookup Tables'!$I$5:$I$16,MATCH(H493,'Lookup Tables'!$F$5:$F$16,0)),0)</x:f>
        <x:v>1299</x:v>
      </x:c>
      <x:c r="M493" s="23" t="n">
        <x:f>IF('Raw Data'!M493="",0,'Raw Data'!M493)</x:f>
        <x:v>0.1</x:v>
      </x:c>
      <x:c r="N493" s="9" t="n">
        <x:f>IF(S493="Completed",K493*L493*(1-M493),0)</x:f>
        <x:v>1169.1000000000001</x:v>
      </x:c>
      <x:c r="O493" s="9" t="n">
        <x:f>IFERROR(INDEX('Lookup Tables'!$J$5:$J$16,MATCH(H493,'Lookup Tables'!$F$5:$F$16,0)),0)</x:f>
        <x:v>760</x:v>
      </x:c>
      <x:c r="P493" s="9" t="n">
        <x:f>IF(S493="Completed",K493*O493,0)</x:f>
        <x:v>760</x:v>
      </x:c>
      <x:c r="Q493" s="9" t="n">
        <x:f>N493-P493</x:f>
        <x:v>409.10000000000014</x:v>
      </x:c>
      <x:c r="R493" s="8" t="str">
        <x:f>IF(LOWER('Raw Data'!N493)="upi","UPI",'Raw Data'!N493)</x:f>
        <x:v>Cash on Delivery</x:v>
      </x:c>
      <x:c r="S493" s="8" t="str">
        <x:v>Completed</x:v>
      </x:c>
      <x:c r="T493" s="8" t="str">
        <x:f>TEXT(B493,"mmm yyyy")</x:f>
        <x:v>Jul 2025</x:v>
      </x:c>
      <x:c r="U493" s="8" t="n">
        <x:f>YEAR(B493)</x:f>
        <x:v>2025</x:v>
      </x:c>
    </x:row>
    <x:row r="494">
      <x:c r="A494" s="8" t="str">
        <x:v>ORD-0490</x:v>
      </x:c>
      <x:c r="B494" s="22" t="n">
        <x:v>45759.487573356484</x:v>
      </x:c>
      <x:c r="C494" s="8" t="str">
        <x:v>CUS-046</x:v>
      </x:c>
      <x:c r="D494" s="8" t="str">
        <x:f>IFERROR(INDEX('Lookup Tables'!$B$5:$B$84,MATCH(C494,'Lookup Tables'!$A$5:$A$84,0)),"Unknown Customer")</x:f>
        <x:v>Isha Mehta 3</x:v>
      </x:c>
      <x:c r="E494" s="8" t="str">
        <x:f>IFERROR(INDEX('Lookup Tables'!$C$5:$C$84,MATCH(C494,'Lookup Tables'!$A$5:$A$84,0)),"Unknown")</x:f>
        <x:v>Consumer</x:v>
      </x:c>
      <x:c r="F494" s="8" t="str">
        <x:v>Chennai</x:v>
      </x:c>
      <x:c r="G494" s="8" t="str">
        <x:f>IFERROR(INDEX('Lookup Tables'!$N$5:$N$14,MATCH(F494,'Lookup Tables'!$M$5:$M$14,0)),"Unknown")</x:f>
        <x:v>South</x:v>
      </x:c>
      <x:c r="H494" s="8" t="str">
        <x:v>PRD-002</x:v>
      </x:c>
      <x:c r="I494" s="8" t="str">
        <x:f>IFERROR(INDEX('Lookup Tables'!$G$5:$G$16,MATCH(H494,'Lookup Tables'!$F$5:$F$16,0)),"Unknown Product")</x:f>
        <x:v>Bluetooth Headphones</x:v>
      </x:c>
      <x:c r="J494" s="8" t="str">
        <x:f>IFERROR(INDEX('Lookup Tables'!$H$5:$H$16,MATCH(H494,'Lookup Tables'!$F$5:$F$16,0)),"Unknown")</x:f>
        <x:v>Electronics</x:v>
      </x:c>
      <x:c r="K494" s="8" t="n">
        <x:v>3</x:v>
      </x:c>
      <x:c r="L494" s="9" t="n">
        <x:f>IFERROR(INDEX('Lookup Tables'!$I$5:$I$16,MATCH(H494,'Lookup Tables'!$F$5:$F$16,0)),0)</x:f>
        <x:v>2499</x:v>
      </x:c>
      <x:c r="M494" s="23" t="n">
        <x:f>IF('Raw Data'!M494="",0,'Raw Data'!M494)</x:f>
        <x:v>0.15</x:v>
      </x:c>
      <x:c r="N494" s="9" t="n">
        <x:f>IF(S494="Completed",K494*L494*(1-M494),0)</x:f>
        <x:v>6372.45</x:v>
      </x:c>
      <x:c r="O494" s="9" t="n">
        <x:f>IFERROR(INDEX('Lookup Tables'!$J$5:$J$16,MATCH(H494,'Lookup Tables'!$F$5:$F$16,0)),0)</x:f>
        <x:v>1620</x:v>
      </x:c>
      <x:c r="P494" s="9" t="n">
        <x:f>IF(S494="Completed",K494*O494,0)</x:f>
        <x:v>4860</x:v>
      </x:c>
      <x:c r="Q494" s="9" t="n">
        <x:f>N494-P494</x:f>
        <x:v>1512.4499999999998</x:v>
      </x:c>
      <x:c r="R494" s="8" t="str">
        <x:f>IF(LOWER('Raw Data'!N494)="upi","UPI",'Raw Data'!N494)</x:f>
        <x:v>Cash on Delivery</x:v>
      </x:c>
      <x:c r="S494" s="8" t="str">
        <x:v>Completed</x:v>
      </x:c>
      <x:c r="T494" s="8" t="str">
        <x:f>TEXT(B494,"mmm yyyy")</x:f>
        <x:v>Apr 2025</x:v>
      </x:c>
      <x:c r="U494" s="8" t="n">
        <x:f>YEAR(B494)</x:f>
        <x:v>2025</x:v>
      </x:c>
    </x:row>
    <x:row r="495">
      <x:c r="A495" s="8" t="str">
        <x:v>ORD-0491</x:v>
      </x:c>
      <x:c r="B495" s="22" t="n">
        <x:v>45779.63945386574</x:v>
      </x:c>
      <x:c r="C495" s="8" t="str">
        <x:v>CUS-057</x:v>
      </x:c>
      <x:c r="D495" s="8" t="str">
        <x:f>IFERROR(INDEX('Lookup Tables'!$B$5:$B$84,MATCH(C495,'Lookup Tables'!$A$5:$A$84,0)),"Unknown Customer")</x:f>
        <x:v>Vikram Yadav 3</x:v>
      </x:c>
      <x:c r="E495" s="8" t="str">
        <x:f>IFERROR(INDEX('Lookup Tables'!$C$5:$C$84,MATCH(C495,'Lookup Tables'!$A$5:$A$84,0)),"Unknown")</x:f>
        <x:v>Small Business</x:v>
      </x:c>
      <x:c r="F495" s="8" t="str">
        <x:v>Pune</x:v>
      </x:c>
      <x:c r="G495" s="8" t="str">
        <x:f>IFERROR(INDEX('Lookup Tables'!$N$5:$N$14,MATCH(F495,'Lookup Tables'!$M$5:$M$14,0)),"Unknown")</x:f>
        <x:v>West</x:v>
      </x:c>
      <x:c r="H495" s="8" t="str">
        <x:v>PRD-004</x:v>
      </x:c>
      <x:c r="I495" s="8" t="str">
        <x:f>IFERROR(INDEX('Lookup Tables'!$G$5:$G$16,MATCH(H495,'Lookup Tables'!$F$5:$F$16,0)),"Unknown Product")</x:f>
        <x:v>Laptop Stand</x:v>
      </x:c>
      <x:c r="J495" s="8" t="str">
        <x:f>IFERROR(INDEX('Lookup Tables'!$H$5:$H$16,MATCH(H495,'Lookup Tables'!$F$5:$F$16,0)),"Unknown")</x:f>
        <x:v>Office Supplies</x:v>
      </x:c>
      <x:c r="K495" s="8" t="n">
        <x:v>2</x:v>
      </x:c>
      <x:c r="L495" s="9" t="n">
        <x:f>IFERROR(INDEX('Lookup Tables'!$I$5:$I$16,MATCH(H495,'Lookup Tables'!$F$5:$F$16,0)),0)</x:f>
        <x:v>1299</x:v>
      </x:c>
      <x:c r="M495" s="23" t="n">
        <x:f>IF('Raw Data'!M495="",0,'Raw Data'!M495)</x:f>
        <x:v>0.2</x:v>
      </x:c>
      <x:c r="N495" s="9" t="n">
        <x:f>IF(S495="Completed",K495*L495*(1-M495),0)</x:f>
        <x:v>2078.4</x:v>
      </x:c>
      <x:c r="O495" s="9" t="n">
        <x:f>IFERROR(INDEX('Lookup Tables'!$J$5:$J$16,MATCH(H495,'Lookup Tables'!$F$5:$F$16,0)),0)</x:f>
        <x:v>760</x:v>
      </x:c>
      <x:c r="P495" s="9" t="n">
        <x:f>IF(S495="Completed",K495*O495,0)</x:f>
        <x:v>1520</x:v>
      </x:c>
      <x:c r="Q495" s="9" t="n">
        <x:f>N495-P495</x:f>
        <x:v>558.4000000000001</x:v>
      </x:c>
      <x:c r="R495" s="8" t="str">
        <x:f>IF(LOWER('Raw Data'!N495)="upi","UPI",'Raw Data'!N495)</x:f>
        <x:v>Credit Card</x:v>
      </x:c>
      <x:c r="S495" s="8" t="str">
        <x:v>Completed</x:v>
      </x:c>
      <x:c r="T495" s="8" t="str">
        <x:f>TEXT(B495,"mmm yyyy")</x:f>
        <x:v>May 2025</x:v>
      </x:c>
      <x:c r="U495" s="8" t="n">
        <x:f>YEAR(B495)</x:f>
        <x:v>2025</x:v>
      </x:c>
    </x:row>
    <x:row r="496">
      <x:c r="A496" s="8" t="str">
        <x:v>ORD-0492</x:v>
      </x:c>
      <x:c r="B496" s="22" t="n">
        <x:v>45691.06620771991</x:v>
      </x:c>
      <x:c r="C496" s="8" t="str">
        <x:v>CUS-069</x:v>
      </x:c>
      <x:c r="D496" s="8" t="str">
        <x:f>IFERROR(INDEX('Lookup Tables'!$B$5:$B$84,MATCH(C496,'Lookup Tables'!$A$5:$A$84,0)),"Unknown Customer")</x:f>
        <x:v>Rohan Das 4</x:v>
      </x:c>
      <x:c r="E496" s="8" t="str">
        <x:f>IFERROR(INDEX('Lookup Tables'!$C$5:$C$84,MATCH(C496,'Lookup Tables'!$A$5:$A$84,0)),"Unknown")</x:f>
        <x:v>Small Business</x:v>
      </x:c>
      <x:c r="F496" s="8" t="str">
        <x:v>Hyderabad</x:v>
      </x:c>
      <x:c r="G496" s="8" t="str">
        <x:f>IFERROR(INDEX('Lookup Tables'!$N$5:$N$14,MATCH(F496,'Lookup Tables'!$M$5:$M$14,0)),"Unknown")</x:f>
        <x:v>South</x:v>
      </x:c>
      <x:c r="H496" s="8" t="str">
        <x:v>PRD-007</x:v>
      </x:c>
      <x:c r="I496" s="8" t="str">
        <x:f>IFERROR(INDEX('Lookup Tables'!$G$5:$G$16,MATCH(H496,'Lookup Tables'!$F$5:$F$16,0)),"Unknown Product")</x:f>
        <x:v>Electric Kettle</x:v>
      </x:c>
      <x:c r="J496" s="8" t="str">
        <x:f>IFERROR(INDEX('Lookup Tables'!$H$5:$H$16,MATCH(H496,'Lookup Tables'!$F$5:$F$16,0)),"Unknown")</x:f>
        <x:v>Home &amp; Kitchen</x:v>
      </x:c>
      <x:c r="K496" s="8" t="n">
        <x:v>3</x:v>
      </x:c>
      <x:c r="L496" s="9" t="n">
        <x:f>IFERROR(INDEX('Lookup Tables'!$I$5:$I$16,MATCH(H496,'Lookup Tables'!$F$5:$F$16,0)),0)</x:f>
        <x:v>1699</x:v>
      </x:c>
      <x:c r="M496" s="23" t="n">
        <x:f>IF('Raw Data'!M496="",0,'Raw Data'!M496)</x:f>
        <x:v>0.05</x:v>
      </x:c>
      <x:c r="N496" s="9" t="n">
        <x:f>IF(S496="Completed",K496*L496*(1-M496),0)</x:f>
        <x:v>4842.15</x:v>
      </x:c>
      <x:c r="O496" s="9" t="n">
        <x:f>IFERROR(INDEX('Lookup Tables'!$J$5:$J$16,MATCH(H496,'Lookup Tables'!$F$5:$F$16,0)),0)</x:f>
        <x:v>1040</x:v>
      </x:c>
      <x:c r="P496" s="9" t="n">
        <x:f>IF(S496="Completed",K496*O496,0)</x:f>
        <x:v>3120</x:v>
      </x:c>
      <x:c r="Q496" s="9" t="n">
        <x:f>N496-P496</x:f>
        <x:v>1722.1499999999996</x:v>
      </x:c>
      <x:c r="R496" s="8" t="str">
        <x:f>IF(LOWER('Raw Data'!N496)="upi","UPI",'Raw Data'!N496)</x:f>
        <x:v>Cash on Delivery</x:v>
      </x:c>
      <x:c r="S496" s="8" t="str">
        <x:v>Completed</x:v>
      </x:c>
      <x:c r="T496" s="8" t="str">
        <x:f>TEXT(B496,"mmm yyyy")</x:f>
        <x:v>Feb 2025</x:v>
      </x:c>
      <x:c r="U496" s="8" t="n">
        <x:f>YEAR(B496)</x:f>
        <x:v>2025</x:v>
      </x:c>
    </x:row>
    <x:row r="497">
      <x:c r="A497" s="8" t="str">
        <x:v>ORD-0493</x:v>
      </x:c>
      <x:c r="B497" s="22" t="n">
        <x:v>45980.008466770836</x:v>
      </x:c>
      <x:c r="C497" s="8" t="str">
        <x:v>CUS-032</x:v>
      </x:c>
      <x:c r="D497" s="8" t="str">
        <x:f>IFERROR(INDEX('Lookup Tables'!$B$5:$B$84,MATCH(C497,'Lookup Tables'!$A$5:$A$84,0)),"Unknown Customer")</x:f>
        <x:v>Priya Kapoor 2</x:v>
      </x:c>
      <x:c r="E497" s="8" t="str">
        <x:f>IFERROR(INDEX('Lookup Tables'!$C$5:$C$84,MATCH(C497,'Lookup Tables'!$A$5:$A$84,0)),"Unknown")</x:f>
        <x:v>Corporate</x:v>
      </x:c>
      <x:c r="F497" s="8" t="str">
        <x:v>Chennai</x:v>
      </x:c>
      <x:c r="G497" s="8" t="str">
        <x:f>IFERROR(INDEX('Lookup Tables'!$N$5:$N$14,MATCH(F497,'Lookup Tables'!$M$5:$M$14,0)),"Unknown")</x:f>
        <x:v>South</x:v>
      </x:c>
      <x:c r="H497" s="8" t="str">
        <x:v>PRD-010</x:v>
      </x:c>
      <x:c r="I497" s="8" t="str">
        <x:f>IFERROR(INDEX('Lookup Tables'!$G$5:$G$16,MATCH(H497,'Lookup Tables'!$F$5:$F$16,0)),"Unknown Product")</x:f>
        <x:v>Travel Backpack</x:v>
      </x:c>
      <x:c r="J497" s="8" t="str">
        <x:f>IFERROR(INDEX('Lookup Tables'!$H$5:$H$16,MATCH(H497,'Lookup Tables'!$F$5:$F$16,0)),"Unknown")</x:f>
        <x:v>Fashion</x:v>
      </x:c>
      <x:c r="K497" s="8" t="n">
        <x:v>3</x:v>
      </x:c>
      <x:c r="L497" s="9" t="n">
        <x:f>IFERROR(INDEX('Lookup Tables'!$I$5:$I$16,MATCH(H497,'Lookup Tables'!$F$5:$F$16,0)),0)</x:f>
        <x:v>2199</x:v>
      </x:c>
      <x:c r="M497" s="23" t="n">
        <x:f>IF('Raw Data'!M497="",0,'Raw Data'!M497)</x:f>
        <x:v>0.2</x:v>
      </x:c>
      <x:c r="N497" s="9" t="n">
        <x:f>IF(S497="Completed",K497*L497*(1-M497),0)</x:f>
        <x:v>5277.6</x:v>
      </x:c>
      <x:c r="O497" s="9" t="n">
        <x:f>IFERROR(INDEX('Lookup Tables'!$J$5:$J$16,MATCH(H497,'Lookup Tables'!$F$5:$F$16,0)),0)</x:f>
        <x:v>1380</x:v>
      </x:c>
      <x:c r="P497" s="9" t="n">
        <x:f>IF(S497="Completed",K497*O497,0)</x:f>
        <x:v>4140</x:v>
      </x:c>
      <x:c r="Q497" s="9" t="n">
        <x:f>N497-P497</x:f>
        <x:v>1137.6000000000004</x:v>
      </x:c>
      <x:c r="R497" s="8" t="str">
        <x:f>IF(LOWER('Raw Data'!N497)="upi","UPI",'Raw Data'!N497)</x:f>
        <x:v>Debit Card</x:v>
      </x:c>
      <x:c r="S497" s="8" t="str">
        <x:v>Completed</x:v>
      </x:c>
      <x:c r="T497" s="8" t="str">
        <x:f>TEXT(B497,"mmm yyyy")</x:f>
        <x:v>Nov 2025</x:v>
      </x:c>
      <x:c r="U497" s="8" t="n">
        <x:f>YEAR(B497)</x:f>
        <x:v>2025</x:v>
      </x:c>
    </x:row>
    <x:row r="498">
      <x:c r="A498" s="8" t="str">
        <x:v>ORD-0494</x:v>
      </x:c>
      <x:c r="B498" s="22" t="n">
        <x:v>45871.39958513889</x:v>
      </x:c>
      <x:c r="C498" s="8" t="str">
        <x:v>CUS-007</x:v>
      </x:c>
      <x:c r="D498" s="8" t="str">
        <x:f>IFERROR(INDEX('Lookup Tables'!$B$5:$B$84,MATCH(C498,'Lookup Tables'!$A$5:$A$84,0)),"Unknown Customer")</x:f>
        <x:v>Kabir Khan</x:v>
      </x:c>
      <x:c r="E498" s="8" t="str">
        <x:f>IFERROR(INDEX('Lookup Tables'!$C$5:$C$84,MATCH(C498,'Lookup Tables'!$A$5:$A$84,0)),"Unknown")</x:f>
        <x:v>Consumer</x:v>
      </x:c>
      <x:c r="F498" s="8" t="str">
        <x:v>Delhi</x:v>
      </x:c>
      <x:c r="G498" s="8" t="str">
        <x:f>IFERROR(INDEX('Lookup Tables'!$N$5:$N$14,MATCH(F498,'Lookup Tables'!$M$5:$M$14,0)),"Unknown")</x:f>
        <x:v>North</x:v>
      </x:c>
      <x:c r="H498" s="8" t="str">
        <x:v>PRD-012</x:v>
      </x:c>
      <x:c r="I498" s="8" t="str">
        <x:f>IFERROR(INDEX('Lookup Tables'!$G$5:$G$16,MATCH(H498,'Lookup Tables'!$F$5:$F$16,0)),"Unknown Product")</x:f>
        <x:v>Stainless Water Bottle</x:v>
      </x:c>
      <x:c r="J498" s="8" t="str">
        <x:f>IFERROR(INDEX('Lookup Tables'!$H$5:$H$16,MATCH(H498,'Lookup Tables'!$F$5:$F$16,0)),"Unknown")</x:f>
        <x:v>Lifestyle</x:v>
      </x:c>
      <x:c r="K498" s="8" t="n">
        <x:v>5</x:v>
      </x:c>
      <x:c r="L498" s="9" t="n">
        <x:f>IFERROR(INDEX('Lookup Tables'!$I$5:$I$16,MATCH(H498,'Lookup Tables'!$F$5:$F$16,0)),0)</x:f>
        <x:v>799</x:v>
      </x:c>
      <x:c r="M498" s="23" t="n">
        <x:f>IF('Raw Data'!M498="",0,'Raw Data'!M498)</x:f>
        <x:v>0</x:v>
      </x:c>
      <x:c r="N498" s="9" t="n">
        <x:f>IF(S498="Completed",K498*L498*(1-M498),0)</x:f>
        <x:v>3995</x:v>
      </x:c>
      <x:c r="O498" s="9" t="n">
        <x:f>IFERROR(INDEX('Lookup Tables'!$J$5:$J$16,MATCH(H498,'Lookup Tables'!$F$5:$F$16,0)),0)</x:f>
        <x:v>410</x:v>
      </x:c>
      <x:c r="P498" s="9" t="n">
        <x:f>IF(S498="Completed",K498*O498,0)</x:f>
        <x:v>2050</x:v>
      </x:c>
      <x:c r="Q498" s="9" t="n">
        <x:f>N498-P498</x:f>
        <x:v>1945</x:v>
      </x:c>
      <x:c r="R498" s="8" t="str">
        <x:f>IF(LOWER('Raw Data'!N498)="upi","UPI",'Raw Data'!N498)</x:f>
        <x:v>Credit Card</x:v>
      </x:c>
      <x:c r="S498" s="8" t="str">
        <x:v>Completed</x:v>
      </x:c>
      <x:c r="T498" s="8" t="str">
        <x:f>TEXT(B498,"mmm yyyy")</x:f>
        <x:v>Aug 2025</x:v>
      </x:c>
      <x:c r="U498" s="8" t="n">
        <x:f>YEAR(B498)</x:f>
        <x:v>2025</x:v>
      </x:c>
    </x:row>
    <x:row r="499">
      <x:c r="A499" s="8" t="str">
        <x:v>ORD-0495</x:v>
      </x:c>
      <x:c r="B499" s="22" t="n">
        <x:v>45909.74475114583</x:v>
      </x:c>
      <x:c r="C499" s="8" t="str">
        <x:v>CUS-023</x:v>
      </x:c>
      <x:c r="D499" s="8" t="str">
        <x:f>IFERROR(INDEX('Lookup Tables'!$B$5:$B$84,MATCH(C499,'Lookup Tables'!$A$5:$A$84,0)),"Unknown Customer")</x:f>
        <x:v>Vihaan Singh 2</x:v>
      </x:c>
      <x:c r="E499" s="8" t="str">
        <x:f>IFERROR(INDEX('Lookup Tables'!$C$5:$C$84,MATCH(C499,'Lookup Tables'!$A$5:$A$84,0)),"Unknown")</x:f>
        <x:v>Corporate</x:v>
      </x:c>
      <x:c r="F499" s="8" t="str">
        <x:v>Jaipur</x:v>
      </x:c>
      <x:c r="G499" s="8" t="str">
        <x:f>IFERROR(INDEX('Lookup Tables'!$N$5:$N$14,MATCH(F499,'Lookup Tables'!$M$5:$M$14,0)),"Unknown")</x:f>
        <x:v>North</x:v>
      </x:c>
      <x:c r="H499" s="8" t="str">
        <x:v>PRD-007</x:v>
      </x:c>
      <x:c r="I499" s="8" t="str">
        <x:f>IFERROR(INDEX('Lookup Tables'!$G$5:$G$16,MATCH(H499,'Lookup Tables'!$F$5:$F$16,0)),"Unknown Product")</x:f>
        <x:v>Electric Kettle</x:v>
      </x:c>
      <x:c r="J499" s="8" t="str">
        <x:f>IFERROR(INDEX('Lookup Tables'!$H$5:$H$16,MATCH(H499,'Lookup Tables'!$F$5:$F$16,0)),"Unknown")</x:f>
        <x:v>Home &amp; Kitchen</x:v>
      </x:c>
      <x:c r="K499" s="8" t="n">
        <x:v>1</x:v>
      </x:c>
      <x:c r="L499" s="9" t="n">
        <x:f>IFERROR(INDEX('Lookup Tables'!$I$5:$I$16,MATCH(H499,'Lookup Tables'!$F$5:$F$16,0)),0)</x:f>
        <x:v>1699</x:v>
      </x:c>
      <x:c r="M499" s="23" t="n">
        <x:f>IF('Raw Data'!M499="",0,'Raw Data'!M499)</x:f>
        <x:v>0</x:v>
      </x:c>
      <x:c r="N499" s="9" t="n">
        <x:f>IF(S499="Completed",K499*L499*(1-M499),0)</x:f>
        <x:v>1699</x:v>
      </x:c>
      <x:c r="O499" s="9" t="n">
        <x:f>IFERROR(INDEX('Lookup Tables'!$J$5:$J$16,MATCH(H499,'Lookup Tables'!$F$5:$F$16,0)),0)</x:f>
        <x:v>1040</x:v>
      </x:c>
      <x:c r="P499" s="9" t="n">
        <x:f>IF(S499="Completed",K499*O499,0)</x:f>
        <x:v>1040</x:v>
      </x:c>
      <x:c r="Q499" s="9" t="n">
        <x:f>N499-P499</x:f>
        <x:v>659</x:v>
      </x:c>
      <x:c r="R499" s="8" t="str">
        <x:f>IF(LOWER('Raw Data'!N499)="upi","UPI",'Raw Data'!N499)</x:f>
        <x:v>UPI</x:v>
      </x:c>
      <x:c r="S499" s="8" t="str">
        <x:v>Completed</x:v>
      </x:c>
      <x:c r="T499" s="8" t="str">
        <x:f>TEXT(B499,"mmm yyyy")</x:f>
        <x:v>Sep 2025</x:v>
      </x:c>
      <x:c r="U499" s="8" t="n">
        <x:f>YEAR(B499)</x:f>
        <x:v>2025</x:v>
      </x:c>
    </x:row>
    <x:row r="500">
      <x:c r="A500" s="8" t="str">
        <x:v>ORD-0496</x:v>
      </x:c>
      <x:c r="B500" s="22" t="n">
        <x:v>45713.22303616898</x:v>
      </x:c>
      <x:c r="C500" s="8" t="str">
        <x:v>CUS-060</x:v>
      </x:c>
      <x:c r="D500" s="8" t="str">
        <x:f>IFERROR(INDEX('Lookup Tables'!$B$5:$B$84,MATCH(C500,'Lookup Tables'!$A$5:$A$84,0)),"Unknown Customer")</x:f>
        <x:v>Kavya Reddy 3</x:v>
      </x:c>
      <x:c r="E500" s="8" t="str">
        <x:f>IFERROR(INDEX('Lookup Tables'!$C$5:$C$84,MATCH(C500,'Lookup Tables'!$A$5:$A$84,0)),"Unknown")</x:f>
        <x:v>Small Business</x:v>
      </x:c>
      <x:c r="F500" s="8" t="str">
        <x:v>Delhi</x:v>
      </x:c>
      <x:c r="G500" s="8" t="str">
        <x:f>IFERROR(INDEX('Lookup Tables'!$N$5:$N$14,MATCH(F500,'Lookup Tables'!$M$5:$M$14,0)),"Unknown")</x:f>
        <x:v>North</x:v>
      </x:c>
      <x:c r="H500" s="8" t="str">
        <x:v>PRD-001</x:v>
      </x:c>
      <x:c r="I500" s="8" t="str">
        <x:f>IFERROR(INDEX('Lookup Tables'!$G$5:$G$16,MATCH(H500,'Lookup Tables'!$F$5:$F$16,0)),"Unknown Product")</x:f>
        <x:v>Wireless Mouse</x:v>
      </x:c>
      <x:c r="J500" s="8" t="str">
        <x:f>IFERROR(INDEX('Lookup Tables'!$H$5:$H$16,MATCH(H500,'Lookup Tables'!$F$5:$F$16,0)),"Unknown")</x:f>
        <x:v>Electronics</x:v>
      </x:c>
      <x:c r="K500" s="8" t="n">
        <x:v>1</x:v>
      </x:c>
      <x:c r="L500" s="9" t="n">
        <x:f>IFERROR(INDEX('Lookup Tables'!$I$5:$I$16,MATCH(H500,'Lookup Tables'!$F$5:$F$16,0)),0)</x:f>
        <x:v>899</x:v>
      </x:c>
      <x:c r="M500" s="23" t="n">
        <x:f>IF('Raw Data'!M500="",0,'Raw Data'!M500)</x:f>
        <x:v>0.2</x:v>
      </x:c>
      <x:c r="N500" s="9" t="n">
        <x:f>IF(S500="Completed",K500*L500*(1-M500),0)</x:f>
        <x:v>0</x:v>
      </x:c>
      <x:c r="O500" s="9" t="n">
        <x:f>IFERROR(INDEX('Lookup Tables'!$J$5:$J$16,MATCH(H500,'Lookup Tables'!$F$5:$F$16,0)),0)</x:f>
        <x:v>540</x:v>
      </x:c>
      <x:c r="P500" s="9" t="n">
        <x:f>IF(S500="Completed",K500*O500,0)</x:f>
        <x:v>0</x:v>
      </x:c>
      <x:c r="Q500" s="9" t="n">
        <x:f>N500-P500</x:f>
        <x:v>0</x:v>
      </x:c>
      <x:c r="R500" s="8" t="str">
        <x:f>IF(LOWER('Raw Data'!N500)="upi","UPI",'Raw Data'!N500)</x:f>
        <x:v>Net Banking</x:v>
      </x:c>
      <x:c r="S500" s="8" t="str">
        <x:v>Returned</x:v>
      </x:c>
      <x:c r="T500" s="8" t="str">
        <x:f>TEXT(B500,"mmm yyyy")</x:f>
        <x:v>Feb 2025</x:v>
      </x:c>
      <x:c r="U500" s="8" t="n">
        <x:f>YEAR(B500)</x:f>
        <x:v>2025</x:v>
      </x:c>
    </x:row>
    <x:row r="501">
      <x:c r="A501" s="8" t="str">
        <x:v>ORD-0497</x:v>
      </x:c>
      <x:c r="B501" s="22" t="n">
        <x:v>45698.4193071875</x:v>
      </x:c>
      <x:c r="C501" s="8" t="str">
        <x:v>CUS-005</x:v>
      </x:c>
      <x:c r="D501" s="8" t="str">
        <x:f>IFERROR(INDEX('Lookup Tables'!$B$5:$B$84,MATCH(C501,'Lookup Tables'!$A$5:$A$84,0)),"Unknown Customer")</x:f>
        <x:v>Arjun Verma</x:v>
      </x:c>
      <x:c r="E501" s="8" t="str">
        <x:f>IFERROR(INDEX('Lookup Tables'!$C$5:$C$84,MATCH(C501,'Lookup Tables'!$A$5:$A$84,0)),"Unknown")</x:f>
        <x:v>Corporate</x:v>
      </x:c>
      <x:c r="F501" s="8" t="str">
        <x:v>Chennai</x:v>
      </x:c>
      <x:c r="G501" s="8" t="str">
        <x:f>IFERROR(INDEX('Lookup Tables'!$N$5:$N$14,MATCH(F501,'Lookup Tables'!$M$5:$M$14,0)),"Unknown")</x:f>
        <x:v>South</x:v>
      </x:c>
      <x:c r="H501" s="8" t="str">
        <x:v>PRD-004</x:v>
      </x:c>
      <x:c r="I501" s="8" t="str">
        <x:f>IFERROR(INDEX('Lookup Tables'!$G$5:$G$16,MATCH(H501,'Lookup Tables'!$F$5:$F$16,0)),"Unknown Product")</x:f>
        <x:v>Laptop Stand</x:v>
      </x:c>
      <x:c r="J501" s="8" t="str">
        <x:f>IFERROR(INDEX('Lookup Tables'!$H$5:$H$16,MATCH(H501,'Lookup Tables'!$F$5:$F$16,0)),"Unknown")</x:f>
        <x:v>Office Supplies</x:v>
      </x:c>
      <x:c r="K501" s="8" t="n">
        <x:v>3</x:v>
      </x:c>
      <x:c r="L501" s="9" t="n">
        <x:f>IFERROR(INDEX('Lookup Tables'!$I$5:$I$16,MATCH(H501,'Lookup Tables'!$F$5:$F$16,0)),0)</x:f>
        <x:v>1299</x:v>
      </x:c>
      <x:c r="M501" s="23" t="n">
        <x:f>IF('Raw Data'!M501="",0,'Raw Data'!M501)</x:f>
        <x:v>0.15</x:v>
      </x:c>
      <x:c r="N501" s="9" t="n">
        <x:f>IF(S501="Completed",K501*L501*(1-M501),0)</x:f>
        <x:v>0</x:v>
      </x:c>
      <x:c r="O501" s="9" t="n">
        <x:f>IFERROR(INDEX('Lookup Tables'!$J$5:$J$16,MATCH(H501,'Lookup Tables'!$F$5:$F$16,0)),0)</x:f>
        <x:v>760</x:v>
      </x:c>
      <x:c r="P501" s="9" t="n">
        <x:f>IF(S501="Completed",K501*O501,0)</x:f>
        <x:v>0</x:v>
      </x:c>
      <x:c r="Q501" s="9" t="n">
        <x:f>N501-P501</x:f>
        <x:v>0</x:v>
      </x:c>
      <x:c r="R501" s="8" t="str">
        <x:f>IF(LOWER('Raw Data'!N501)="upi","UPI",'Raw Data'!N501)</x:f>
        <x:v>UPI</x:v>
      </x:c>
      <x:c r="S501" s="8" t="str">
        <x:v>Returned</x:v>
      </x:c>
      <x:c r="T501" s="8" t="str">
        <x:f>TEXT(B501,"mmm yyyy")</x:f>
        <x:v>Feb 2025</x:v>
      </x:c>
      <x:c r="U501" s="8" t="n">
        <x:f>YEAR(B501)</x:f>
        <x:v>2025</x:v>
      </x:c>
    </x:row>
    <x:row r="502">
      <x:c r="A502" s="8" t="str">
        <x:v>ORD-0498</x:v>
      </x:c>
      <x:c r="B502" s="22" t="n">
        <x:v>45835.73179121528</x:v>
      </x:c>
      <x:c r="C502" s="8" t="str">
        <x:v>CUS-027</x:v>
      </x:c>
      <x:c r="D502" s="8" t="str">
        <x:f>IFERROR(INDEX('Lookup Tables'!$B$5:$B$84,MATCH(C502,'Lookup Tables'!$A$5:$A$84,0)),"Unknown Customer")</x:f>
        <x:v>Kabir Khan 2</x:v>
      </x:c>
      <x:c r="E502" s="8" t="str">
        <x:f>IFERROR(INDEX('Lookup Tables'!$C$5:$C$84,MATCH(C502,'Lookup Tables'!$A$5:$A$84,0)),"Unknown")</x:f>
        <x:v>Small Business</x:v>
      </x:c>
      <x:c r="F502" s="8" t="str">
        <x:v>Bengaluru</x:v>
      </x:c>
      <x:c r="G502" s="8" t="str">
        <x:f>IFERROR(INDEX('Lookup Tables'!$N$5:$N$14,MATCH(F502,'Lookup Tables'!$M$5:$M$14,0)),"Unknown")</x:f>
        <x:v>South</x:v>
      </x:c>
      <x:c r="H502" s="8" t="str">
        <x:v>PRD-006</x:v>
      </x:c>
      <x:c r="I502" s="8" t="str">
        <x:f>IFERROR(INDEX('Lookup Tables'!$G$5:$G$16,MATCH(H502,'Lookup Tables'!$F$5:$F$16,0)),"Unknown Product")</x:f>
        <x:v>Desk Organiser</x:v>
      </x:c>
      <x:c r="J502" s="8" t="str">
        <x:f>IFERROR(INDEX('Lookup Tables'!$H$5:$H$16,MATCH(H502,'Lookup Tables'!$F$5:$F$16,0)),"Unknown")</x:f>
        <x:v>Office Supplies</x:v>
      </x:c>
      <x:c r="K502" s="8" t="n">
        <x:v>3</x:v>
      </x:c>
      <x:c r="L502" s="9" t="n">
        <x:f>IFERROR(INDEX('Lookup Tables'!$I$5:$I$16,MATCH(H502,'Lookup Tables'!$F$5:$F$16,0)),0)</x:f>
        <x:v>699</x:v>
      </x:c>
      <x:c r="M502" s="23" t="n">
        <x:f>IF('Raw Data'!M502="",0,'Raw Data'!M502)</x:f>
        <x:v>0.15</x:v>
      </x:c>
      <x:c r="N502" s="9" t="n">
        <x:f>IF(S502="Completed",K502*L502*(1-M502),0)</x:f>
        <x:v>0</x:v>
      </x:c>
      <x:c r="O502" s="9" t="n">
        <x:f>IFERROR(INDEX('Lookup Tables'!$J$5:$J$16,MATCH(H502,'Lookup Tables'!$F$5:$F$16,0)),0)</x:f>
        <x:v>390</x:v>
      </x:c>
      <x:c r="P502" s="9" t="n">
        <x:f>IF(S502="Completed",K502*O502,0)</x:f>
        <x:v>0</x:v>
      </x:c>
      <x:c r="Q502" s="9" t="n">
        <x:f>N502-P502</x:f>
        <x:v>0</x:v>
      </x:c>
      <x:c r="R502" s="8" t="str">
        <x:f>IF(LOWER('Raw Data'!N502)="upi","UPI",'Raw Data'!N502)</x:f>
        <x:v>UPI</x:v>
      </x:c>
      <x:c r="S502" s="8" t="str">
        <x:v>Returned</x:v>
      </x:c>
      <x:c r="T502" s="8" t="str">
        <x:f>TEXT(B502,"mmm yyyy")</x:f>
        <x:v>Jun 2025</x:v>
      </x:c>
      <x:c r="U502" s="8" t="n">
        <x:f>YEAR(B502)</x:f>
        <x:v>2025</x:v>
      </x:c>
    </x:row>
    <x:row r="503">
      <x:c r="A503" s="8" t="str">
        <x:v>ORD-0499</x:v>
      </x:c>
      <x:c r="B503" s="22" t="n">
        <x:v>45901.76425733796</x:v>
      </x:c>
      <x:c r="C503" s="8" t="str">
        <x:v>CUS-079</x:v>
      </x:c>
      <x:c r="D503" s="8" t="str">
        <x:f>IFERROR(INDEX('Lookup Tables'!$B$5:$B$84,MATCH(C503,'Lookup Tables'!$A$5:$A$84,0)),"Unknown Customer")</x:f>
        <x:v>Siddharth Jain 4</x:v>
      </x:c>
      <x:c r="E503" s="8" t="str">
        <x:f>IFERROR(INDEX('Lookup Tables'!$C$5:$C$84,MATCH(C503,'Lookup Tables'!$A$5:$A$84,0)),"Unknown")</x:f>
        <x:v>Consumer</x:v>
      </x:c>
      <x:c r="F503" s="8" t="str">
        <x:v>Kolkata</x:v>
      </x:c>
      <x:c r="G503" s="8" t="str">
        <x:f>IFERROR(INDEX('Lookup Tables'!$N$5:$N$14,MATCH(F503,'Lookup Tables'!$M$5:$M$14,0)),"Unknown")</x:f>
        <x:v>East</x:v>
      </x:c>
      <x:c r="H503" s="8" t="str">
        <x:v>PRD-006</x:v>
      </x:c>
      <x:c r="I503" s="8" t="str">
        <x:f>IFERROR(INDEX('Lookup Tables'!$G$5:$G$16,MATCH(H503,'Lookup Tables'!$F$5:$F$16,0)),"Unknown Product")</x:f>
        <x:v>Desk Organiser</x:v>
      </x:c>
      <x:c r="J503" s="8" t="str">
        <x:f>IFERROR(INDEX('Lookup Tables'!$H$5:$H$16,MATCH(H503,'Lookup Tables'!$F$5:$F$16,0)),"Unknown")</x:f>
        <x:v>Office Supplies</x:v>
      </x:c>
      <x:c r="K503" s="8" t="n">
        <x:v>2</x:v>
      </x:c>
      <x:c r="L503" s="9" t="n">
        <x:f>IFERROR(INDEX('Lookup Tables'!$I$5:$I$16,MATCH(H503,'Lookup Tables'!$F$5:$F$16,0)),0)</x:f>
        <x:v>699</x:v>
      </x:c>
      <x:c r="M503" s="23" t="n">
        <x:f>IF('Raw Data'!M503="",0,'Raw Data'!M503)</x:f>
        <x:v>0.05</x:v>
      </x:c>
      <x:c r="N503" s="9" t="n">
        <x:f>IF(S503="Completed",K503*L503*(1-M503),0)</x:f>
        <x:v>0</x:v>
      </x:c>
      <x:c r="O503" s="9" t="n">
        <x:f>IFERROR(INDEX('Lookup Tables'!$J$5:$J$16,MATCH(H503,'Lookup Tables'!$F$5:$F$16,0)),0)</x:f>
        <x:v>390</x:v>
      </x:c>
      <x:c r="P503" s="9" t="n">
        <x:f>IF(S503="Completed",K503*O503,0)</x:f>
        <x:v>0</x:v>
      </x:c>
      <x:c r="Q503" s="9" t="n">
        <x:f>N503-P503</x:f>
        <x:v>0</x:v>
      </x:c>
      <x:c r="R503" s="8" t="str">
        <x:f>IF(LOWER('Raw Data'!N503)="upi","UPI",'Raw Data'!N503)</x:f>
        <x:v>UPI</x:v>
      </x:c>
      <x:c r="S503" s="8" t="str">
        <x:v>Returned</x:v>
      </x:c>
      <x:c r="T503" s="8" t="str">
        <x:f>TEXT(B503,"mmm yyyy")</x:f>
        <x:v>Sep 2025</x:v>
      </x:c>
      <x:c r="U503" s="8" t="n">
        <x:f>YEAR(B503)</x:f>
        <x:v>2025</x:v>
      </x:c>
    </x:row>
    <x:row r="504">
      <x:c r="A504" s="8" t="str">
        <x:v>ORD-0500</x:v>
      </x:c>
      <x:c r="B504" s="22" t="n">
        <x:v>45861.89736337963</x:v>
      </x:c>
      <x:c r="C504" s="8" t="str">
        <x:v>CUS-039</x:v>
      </x:c>
      <x:c r="D504" s="8" t="str">
        <x:f>IFERROR(INDEX('Lookup Tables'!$B$5:$B$84,MATCH(C504,'Lookup Tables'!$A$5:$A$84,0)),"Unknown Customer")</x:f>
        <x:v>Siddharth Jain 2</x:v>
      </x:c>
      <x:c r="E504" s="8" t="str">
        <x:f>IFERROR(INDEX('Lookup Tables'!$C$5:$C$84,MATCH(C504,'Lookup Tables'!$A$5:$A$84,0)),"Unknown")</x:f>
        <x:v>Small Business</x:v>
      </x:c>
      <x:c r="F504" s="8" t="str">
        <x:v>Pune</x:v>
      </x:c>
      <x:c r="G504" s="8" t="str">
        <x:f>IFERROR(INDEX('Lookup Tables'!$N$5:$N$14,MATCH(F504,'Lookup Tables'!$M$5:$M$14,0)),"Unknown")</x:f>
        <x:v>West</x:v>
      </x:c>
      <x:c r="H504" s="8" t="str">
        <x:v>PRD-004</x:v>
      </x:c>
      <x:c r="I504" s="8" t="str">
        <x:f>IFERROR(INDEX('Lookup Tables'!$G$5:$G$16,MATCH(H504,'Lookup Tables'!$F$5:$F$16,0)),"Unknown Product")</x:f>
        <x:v>Laptop Stand</x:v>
      </x:c>
      <x:c r="J504" s="8" t="str">
        <x:f>IFERROR(INDEX('Lookup Tables'!$H$5:$H$16,MATCH(H504,'Lookup Tables'!$F$5:$F$16,0)),"Unknown")</x:f>
        <x:v>Office Supplies</x:v>
      </x:c>
      <x:c r="K504" s="8" t="n">
        <x:v>3</x:v>
      </x:c>
      <x:c r="L504" s="9" t="n">
        <x:f>IFERROR(INDEX('Lookup Tables'!$I$5:$I$16,MATCH(H504,'Lookup Tables'!$F$5:$F$16,0)),0)</x:f>
        <x:v>1299</x:v>
      </x:c>
      <x:c r="M504" s="23" t="n">
        <x:f>IF('Raw Data'!M504="",0,'Raw Data'!M504)</x:f>
        <x:v>0</x:v>
      </x:c>
      <x:c r="N504" s="9" t="n">
        <x:f>IF(S504="Completed",K504*L504*(1-M504),0)</x:f>
        <x:v>0</x:v>
      </x:c>
      <x:c r="O504" s="9" t="n">
        <x:f>IFERROR(INDEX('Lookup Tables'!$J$5:$J$16,MATCH(H504,'Lookup Tables'!$F$5:$F$16,0)),0)</x:f>
        <x:v>760</x:v>
      </x:c>
      <x:c r="P504" s="9" t="n">
        <x:f>IF(S504="Completed",K504*O504,0)</x:f>
        <x:v>0</x:v>
      </x:c>
      <x:c r="Q504" s="9" t="n">
        <x:f>N504-P504</x:f>
        <x:v>0</x:v>
      </x:c>
      <x:c r="R504" s="8" t="str">
        <x:f>IF(LOWER('Raw Data'!N504)="upi","UPI",'Raw Data'!N504)</x:f>
        <x:v>Debit Card</x:v>
      </x:c>
      <x:c r="S504" s="8" t="str">
        <x:v>Returned</x:v>
      </x:c>
      <x:c r="T504" s="8" t="str">
        <x:f>TEXT(B504,"mmm yyyy")</x:f>
        <x:v>Jul 2025</x:v>
      </x:c>
      <x:c r="U504" s="8" t="n">
        <x:f>YEAR(B504)</x:f>
        <x:v>2025</x:v>
      </x:c>
    </x:row>
  </x:sheetData>
  <x:mergeCells>
    <x:mergeCell ref="A1:U1"/>
    <x:mergeCell ref="A2:U2"/>
  </x:mergeCells>
  <x:conditionalFormatting sqref="Q5:Q504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S5:S504">
    <x:cfRule type="containsText" dxfId="2" priority="2" operator="containsText" text="Cancelled"/>
    <x:cfRule type="containsText" dxfId="3" priority="3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eb077025b52f4c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  <x:col min="3" max="3" width="95" hidden="0" customWidth="1"/>
    <x:col min="4" max="4" width="95" hidden="0" customWidth="1"/>
    <x:col min="5" max="5" width="25" hidden="0" customWidth="1"/>
    <x:col min="6" max="6" width="34" hidden="0" customWidth="1"/>
    <x:col min="7" max="7" width="22" hidden="0" customWidth="1"/>
    <x:col min="8" max="8" width="95" hidden="0" customWidth="1"/>
  </x:cols>
  <x:sheetData>
    <x:row r="1" ht="34" customHeight="1">
      <x:c r="A1" s="3" t="str">
        <x:v>DATA CLEANING SUMMARY</x:v>
      </x:c>
      <x:c r="B1" s="3" t="str">
        <x:v>DATA CLEANING SUMMARY</x:v>
      </x:c>
      <x:c r="C1" s="3" t="str">
        <x:v>DATA CLEANING SUMMARY</x:v>
      </x:c>
      <x:c r="D1" s="3" t="str">
        <x:v>DATA CLEANING SUMMARY</x:v>
      </x:c>
      <x:c r="E1" s="3" t="str">
        <x:v>DATA CLEANING SUMMARY</x:v>
      </x:c>
      <x:c r="F1" s="3" t="str">
        <x:v>DATA CLEANING SUMMARY</x:v>
      </x:c>
      <x:c r="G1" s="3" t="str">
        <x:v>DATA CLEANING SUMMARY</x:v>
      </x:c>
      <x:c r="H1" s="3" t="str">
        <x:v>DATA CLEANING SUMMARY</x:v>
      </x:c>
    </x:row>
    <x:row r="2" ht="22" customHeight="1">
      <x:c r="A2" s="5" t="str">
        <x:v>Quality checks and transformation record for the sample sales dataset</x:v>
      </x:c>
      <x:c r="B2" s="5" t="str">
        <x:v>Quality checks and transformation record for the sample sales dataset</x:v>
      </x:c>
      <x:c r="C2" s="5" t="str">
        <x:v>Quality checks and transformation record for the sample sales dataset</x:v>
      </x:c>
      <x:c r="D2" s="5" t="str">
        <x:v>Quality checks and transformation record for the sample sales dataset</x:v>
      </x:c>
      <x:c r="E2" s="5" t="str">
        <x:v>Quality checks and transformation record for the sample sales dataset</x:v>
      </x:c>
      <x:c r="F2" s="5" t="str">
        <x:v>Quality checks and transformation record for the sample sales dataset</x:v>
      </x:c>
      <x:c r="G2" s="5" t="str">
        <x:v>Quality checks and transformation record for the sample sales dataset</x:v>
      </x:c>
      <x:c r="H2" s="5" t="str">
        <x:v>Quality checks and transformation record for the sample sales dataset</x:v>
      </x:c>
    </x:row>
    <x:row r="4" ht="24" customHeight="1">
      <x:c r="A4" s="10" t="str">
        <x:v>Quality Metric</x:v>
      </x:c>
      <x:c r="B4" s="11" t="str">
        <x:v>Raw Data</x:v>
      </x:c>
      <x:c r="C4" s="12" t="str">
        <x:v>Clean Data</x:v>
      </x:c>
      <x:c r="E4" s="33" t="str">
        <x:v>Issue</x:v>
      </x:c>
      <x:c r="F4" s="34" t="str">
        <x:v>Cleaning Action</x:v>
      </x:c>
      <x:c r="G4" s="34" t="str">
        <x:v>Method</x:v>
      </x:c>
      <x:c r="H4" s="35" t="str">
        <x:v>Result</x:v>
      </x:c>
    </x:row>
    <x:row r="5">
      <x:c r="A5" s="28" t="str">
        <x:v>Total records</x:v>
      </x:c>
      <x:c r="B5" s="27" t="n">
        <x:f>COUNTA('Raw Data'!$A$5:$A$510)</x:f>
        <x:v>506</x:v>
      </x:c>
      <x:c r="C5" s="29" t="n">
        <x:f>COUNTA('Clean Data'!$A$5:$A$504)</x:f>
        <x:v>500</x:v>
      </x:c>
      <x:c r="D5" s="27"/>
      <x:c r="E5" s="28" t="str">
        <x:v>Exact duplicates</x:v>
      </x:c>
      <x:c r="F5" s="27" t="str">
        <x:v>Removed six repeated records</x:v>
      </x:c>
      <x:c r="G5" s="27" t="str">
        <x:v>Duplicate-key review</x:v>
      </x:c>
      <x:c r="H5" s="29" t="str">
        <x:v>Resolved</x:v>
      </x:c>
    </x:row>
    <x:row r="6">
      <x:c r="A6" s="28" t="str">
        <x:v>Exact duplicate records</x:v>
      </x:c>
      <x:c r="B6" s="27" t="n">
        <x:f>B5-C5</x:f>
        <x:v>6</x:v>
      </x:c>
      <x:c r="C6" s="29" t="n">
        <x:f>0</x:f>
        <x:v>0</x:v>
      </x:c>
      <x:c r="D6" s="27"/>
      <x:c r="E6" s="28" t="str">
        <x:v>Missing customer names</x:v>
      </x:c>
      <x:c r="F6" s="27" t="str">
        <x:v>Recovered names from Customer ID</x:v>
      </x:c>
      <x:c r="G6" s="27" t="str">
        <x:v>INDEX + MATCH</x:v>
      </x:c>
      <x:c r="H6" s="29" t="str">
        <x:v>Resolved</x:v>
      </x:c>
    </x:row>
    <x:row r="7">
      <x:c r="A7" s="28" t="str">
        <x:v>Blank customer names</x:v>
      </x:c>
      <x:c r="B7" s="27" t="n">
        <x:f>COUNTBLANK('Raw Data'!$D$5:$D$510)</x:f>
        <x:v>6</x:v>
      </x:c>
      <x:c r="C7" s="29" t="n">
        <x:f>COUNTBLANK('Clean Data'!$D$5:$D$504)</x:f>
        <x:v>0</x:v>
      </x:c>
      <x:c r="D7" s="27"/>
      <x:c r="E7" s="28" t="str">
        <x:v>Missing discounts</x:v>
      </x:c>
      <x:c r="F7" s="27" t="str">
        <x:v>Replaced blanks with 0%</x:v>
      </x:c>
      <x:c r="G7" s="27" t="str">
        <x:v>IF formula</x:v>
      </x:c>
      <x:c r="H7" s="29" t="str">
        <x:v>Resolved</x:v>
      </x:c>
    </x:row>
    <x:row r="8">
      <x:c r="A8" s="28" t="str">
        <x:v>Blank discounts</x:v>
      </x:c>
      <x:c r="B8" s="27" t="n">
        <x:f>COUNTBLANK('Raw Data'!$M$5:$M$510)</x:f>
        <x:v>4</x:v>
      </x:c>
      <x:c r="C8" s="29" t="n">
        <x:f>COUNTBLANK('Clean Data'!$M$5:$M$504)</x:f>
        <x:v>0</x:v>
      </x:c>
      <x:c r="D8" s="27"/>
      <x:c r="E8" s="28" t="str">
        <x:v>Category inconsistency</x:v>
      </x:c>
      <x:c r="F8" s="27" t="str">
        <x:v>Mapped Product ID to canonical category</x:v>
      </x:c>
      <x:c r="G8" s="27" t="str">
        <x:v>INDEX + MATCH</x:v>
      </x:c>
      <x:c r="H8" s="29" t="str">
        <x:v>Resolved</x:v>
      </x:c>
    </x:row>
    <x:row r="9">
      <x:c r="A9" s="28" t="str">
        <x:v>Invalid category labels</x:v>
      </x:c>
      <x:c r="B9" s="27" t="n">
        <x:f>COUNTIF('Raw Data'!$J$5:$J$510,"Electronic")</x:f>
        <x:v>1</x:v>
      </x:c>
      <x:c r="C9" s="29" t="n">
        <x:f>COUNTIF('Clean Data'!$J$5:$J$504,"Electronic")</x:f>
        <x:v>0</x:v>
      </x:c>
      <x:c r="D9" s="27"/>
      <x:c r="E9" s="28" t="str">
        <x:v>Product detail consistency</x:v>
      </x:c>
      <x:c r="F9" s="27" t="str">
        <x:v>Retrieved product names from master list</x:v>
      </x:c>
      <x:c r="G9" s="27" t="str">
        <x:v>INDEX + MATCH</x:v>
      </x:c>
      <x:c r="H9" s="29" t="str">
        <x:v>Resolved</x:v>
      </x:c>
    </x:row>
    <x:row r="10">
      <x:c r="A10" s="30" t="str">
        <x:v>Region labels with extra spaces</x:v>
      </x:c>
      <x:c r="B10" s="31" t="n">
        <x:f>COUNTIF('Raw Data'!$G$5:$G$510," north ")+COUNTIF('Raw Data'!$G$5:$G$510," south ")+COUNTIF('Raw Data'!$G$5:$G$510," east ")+COUNTIF('Raw Data'!$G$5:$G$510," west ")</x:f>
        <x:v>3</x:v>
      </x:c>
      <x:c r="C10" s="32" t="n">
        <x:f>0</x:f>
        <x:v>0</x:v>
      </x:c>
      <x:c r="D10" s="27"/>
      <x:c r="E10" s="30" t="str">
        <x:v>Region label inconsistency</x:v>
      </x:c>
      <x:c r="F10" s="31" t="str">
        <x:v>Mapped each city to its canonical region</x:v>
      </x:c>
      <x:c r="G10" s="31" t="str">
        <x:v>INDEX + MATCH</x:v>
      </x:c>
      <x:c r="H10" s="32" t="str">
        <x:v>Resolved</x:v>
      </x:c>
    </x:row>
    <x:row r="12" ht="34" customHeight="1">
      <x:c r="A12" s="38" t="str">
        <x:v>Source note: This is a simulated retail sales dataset created for Bluestock Fintech internship training. It does not contain Bluestock customer or operational data.</x:v>
      </x:c>
      <x:c r="B12" s="38" t="str">
        <x:v>Source note: This is a simulated retail sales dataset created for Bluestock Fintech internship training. It does not contain Bluestock customer or operational data.</x:v>
      </x:c>
      <x:c r="C12" s="38" t="str">
        <x:v>Source note: This is a simulated retail sales dataset created for Bluestock Fintech internship training. It does not contain Bluestock customer or operational data.</x:v>
      </x:c>
      <x:c r="D12" s="38" t="str">
        <x:v>Source note: This is a simulated retail sales dataset created for Bluestock Fintech internship training. It does not contain Bluestock customer or operational data.</x:v>
      </x:c>
      <x:c r="E12" s="38" t="str">
        <x:v>Source note: This is a simulated retail sales dataset created for Bluestock Fintech internship training. It does not contain Bluestock customer or operational data.</x:v>
      </x:c>
      <x:c r="F12" s="38" t="str">
        <x:v>Source note: This is a simulated retail sales dataset created for Bluestock Fintech internship training. It does not contain Bluestock customer or operational data.</x:v>
      </x:c>
      <x:c r="G12" s="38" t="str">
        <x:v>Source note: This is a simulated retail sales dataset created for Bluestock Fintech internship training. It does not contain Bluestock customer or operational data.</x:v>
      </x:c>
      <x:c r="H12" s="38" t="str">
        <x:v>Source note: This is a simulated retail sales dataset created for Bluestock Fintech internship training. It does not contain Bluestock customer or operational data.</x:v>
      </x:c>
    </x:row>
  </x:sheetData>
  <x:mergeCells>
    <x:mergeCell ref="A1:H1"/>
    <x:mergeCell ref="A2:H2"/>
    <x:mergeCell ref="A12:H12"/>
  </x:mergeCells>
  <x:conditionalFormatting sqref="C5:C10">
    <x:cfRule type="cellIs" dxfId="4" priority="1" operator="equal">
      <x:formula>0</x:formula>
    </x:cfRule>
  </x:conditionalFormatting>
  <x:conditionalFormatting sqref="H5:H10">
    <x:cfRule type="containsText" dxfId="5" priority="2" operator="containsText" text="Resolved"/>
  </x:conditionalFormatting>
  <x:pageMargins left="0.7" right="0.7" top="0.75" bottom="0.75" header="0.3" footer="0.3"/>
  <x:legacyDrawing xmlns:r="http://schemas.openxmlformats.org/officeDocument/2006/relationships" r:id="R996cced28f104bb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79998779296875" hidden="0" customWidth="1"/>
    <x:col min="2" max="2" width="48.779998779296875" hidden="0" customWidth="1"/>
    <x:col min="3" max="3" width="48.779998779296875" hidden="0" customWidth="1"/>
    <x:col min="4" max="4" width="48.779998779296875" hidden="0" customWidth="1"/>
    <x:col min="5" max="5" width="22" hidden="0" customWidth="1"/>
    <x:col min="6" max="6" width="48.779998779296875" hidden="0" customWidth="1"/>
    <x:col min="7" max="7" width="48.779998779296875" hidden="0" customWidth="1"/>
    <x:col min="8" max="8" width="48.779998779296875" hidden="0" customWidth="1"/>
    <x:col min="9" max="9" width="48.779998779296875" hidden="0" customWidth="1"/>
    <x:col min="10" max="10" width="48.779998779296875" hidden="0" customWidth="1"/>
    <x:col min="11" max="11" width="48.779998779296875" hidden="0" customWidth="1"/>
  </x:cols>
  <x:sheetData>
    <x:row r="1" ht="34" customHeight="1">
      <x:c r="A1" s="3" t="str">
        <x:v>PIVOT ANALYSIS</x:v>
      </x:c>
      <x:c r="B1" s="3" t="str">
        <x:v>PIVOT ANALYSIS</x:v>
      </x:c>
      <x:c r="C1" s="3" t="str">
        <x:v>PIVOT ANALYSIS</x:v>
      </x:c>
      <x:c r="D1" s="3" t="str">
        <x:v>PIVOT ANALYSIS</x:v>
      </x:c>
      <x:c r="E1" s="3" t="str">
        <x:v>PIVOT ANALYSIS</x:v>
      </x:c>
      <x:c r="F1" s="3" t="str">
        <x:v>PIVOT ANALYSIS</x:v>
      </x:c>
      <x:c r="G1" s="3" t="str">
        <x:v>PIVOT ANALYSIS</x:v>
      </x:c>
      <x:c r="H1" s="3" t="str">
        <x:v>PIVOT ANALYSIS</x:v>
      </x:c>
      <x:c r="I1" s="3" t="str">
        <x:v>PIVOT ANALYSIS</x:v>
      </x:c>
      <x:c r="J1" s="3" t="str">
        <x:v>PIVOT ANALYSIS</x:v>
      </x:c>
      <x:c r="K1" s="3" t="str">
        <x:v>PIVOT ANALYSIS</x:v>
      </x:c>
      <x:c r="L1" s="3" t="str">
        <x:v>PIVOT ANALYSIS</x:v>
      </x:c>
    </x:row>
    <x:row r="2" ht="22" customHeight="1">
      <x:c r="A2" s="5" t="str">
        <x:v>Formula-driven summaries linked to the Region and Category dashboard filters</x:v>
      </x:c>
      <x:c r="B2" s="5" t="str">
        <x:v>Formula-driven summaries linked to the Region and Category dashboard filters</x:v>
      </x:c>
      <x:c r="C2" s="5" t="str">
        <x:v>Formula-driven summaries linked to the Region and Category dashboard filters</x:v>
      </x:c>
      <x:c r="D2" s="5" t="str">
        <x:v>Formula-driven summaries linked to the Region and Category dashboard filters</x:v>
      </x:c>
      <x:c r="E2" s="5" t="str">
        <x:v>Formula-driven summaries linked to the Region and Category dashboard filters</x:v>
      </x:c>
      <x:c r="F2" s="5" t="str">
        <x:v>Formula-driven summaries linked to the Region and Category dashboard filters</x:v>
      </x:c>
      <x:c r="G2" s="5" t="str">
        <x:v>Formula-driven summaries linked to the Region and Category dashboard filters</x:v>
      </x:c>
      <x:c r="H2" s="5" t="str">
        <x:v>Formula-driven summaries linked to the Region and Category dashboard filters</x:v>
      </x:c>
      <x:c r="I2" s="5" t="str">
        <x:v>Formula-driven summaries linked to the Region and Category dashboard filters</x:v>
      </x:c>
      <x:c r="J2" s="5" t="str">
        <x:v>Formula-driven summaries linked to the Region and Category dashboard filters</x:v>
      </x:c>
      <x:c r="K2" s="5" t="str">
        <x:v>Formula-driven summaries linked to the Region and Category dashboard filters</x:v>
      </x:c>
      <x:c r="L2" s="5" t="str">
        <x:v>Formula-driven summaries linked to the Region and Category dashboard filters</x:v>
      </x:c>
    </x:row>
    <x:row r="4" ht="24" customHeight="1">
      <x:c r="A4" s="10" t="str">
        <x:v>Month</x:v>
      </x:c>
      <x:c r="B4" s="11" t="str">
        <x:v>Revenue</x:v>
      </x:c>
      <x:c r="C4" s="12" t="str">
        <x:v>Profit</x:v>
      </x:c>
      <x:c r="E4" s="10" t="str">
        <x:v>Category</x:v>
      </x:c>
      <x:c r="F4" s="11" t="str">
        <x:v>Revenue</x:v>
      </x:c>
      <x:c r="G4" s="12" t="str">
        <x:v>Profit</x:v>
      </x:c>
      <x:c r="I4" s="10" t="str">
        <x:v>Region</x:v>
      </x:c>
      <x:c r="J4" s="11" t="str">
        <x:v>Revenue</x:v>
      </x:c>
      <x:c r="K4" s="12" t="str">
        <x:v>Profit</x:v>
      </x:c>
    </x:row>
    <x:row r="5">
      <x:c r="A5" s="13" t="str">
        <x:v>Jan 2025</x:v>
      </x:c>
      <x:c r="B5" s="9" t="n">
        <x:f>ROUND(IF(AND(Dashboard!$C$5="All",Dashboard!$H$5="All"),SUMIFS('Clean Data'!$N$5:$N$504,'Clean Data'!$T$5:$T$504,A5),IF(Dashboard!$C$5="All",SUMIFS('Clean Data'!$N$5:$N$504,'Clean Data'!$T$5:$T$504,A5,'Clean Data'!$J$5:$J$504,Dashboard!$H$5),IF(Dashboard!$H$5="All",SUMIFS('Clean Data'!$N$5:$N$504,'Clean Data'!$T$5:$T$504,A5,'Clean Data'!$G$5:$G$504,Dashboard!$C$5),SUMIFS('Clean Data'!$N$5:$N$504,'Clean Data'!$T$5:$T$504,A5,'Clean Data'!$G$5:$G$504,Dashboard!$C$5,'Clean Data'!$J$5:$J$504,Dashboard!$H$5)))),0)</x:f>
        <x:v>122677</x:v>
      </x:c>
      <x:c r="C5" s="18" t="n">
        <x:f>ROUND(IF(AND(Dashboard!$C$5="All",Dashboard!$H$5="All"),SUMIFS('Clean Data'!$Q$5:$Q$504,'Clean Data'!$T$5:$T$504,A5),IF(Dashboard!$C$5="All",SUMIFS('Clean Data'!$Q$5:$Q$504,'Clean Data'!$T$5:$T$504,A5,'Clean Data'!$J$5:$J$504,Dashboard!$H$5),IF(Dashboard!$H$5="All",SUMIFS('Clean Data'!$Q$5:$Q$504,'Clean Data'!$T$5:$T$504,A5,'Clean Data'!$G$5:$G$504,Dashboard!$C$5),SUMIFS('Clean Data'!$Q$5:$Q$504,'Clean Data'!$T$5:$T$504,A5,'Clean Data'!$G$5:$G$504,Dashboard!$C$5,'Clean Data'!$J$5:$J$504,Dashboard!$H$5)))),0)</x:f>
        <x:v>42087</x:v>
      </x:c>
      <x:c r="D5" s="8"/>
      <x:c r="E5" s="13" t="str">
        <x:v>Electronics</x:v>
      </x:c>
      <x:c r="F5" s="9" t="n">
        <x:f>ROUND(IF(Dashboard!$H$5="All",IF(Dashboard!$C$5="All",SUMIFS('Clean Data'!$N$5:$N$504,'Clean Data'!$J$5:$J$504,E5),SUMIFS('Clean Data'!$N$5:$N$504,'Clean Data'!$J$5:$J$504,E5,'Clean Data'!$G$5:$G$504,Dashboard!$C$5)),IF(E5=Dashboard!$H$5,IF(Dashboard!$C$5="All",SUMIFS('Clean Data'!$N$5:$N$504,'Clean Data'!$J$5:$J$504,E5),SUMIFS('Clean Data'!$N$5:$N$504,'Clean Data'!$J$5:$J$504,E5,'Clean Data'!$G$5:$G$504,Dashboard!$C$5)),0)),0)</x:f>
        <x:v>372757</x:v>
      </x:c>
      <x:c r="G5" s="18" t="n">
        <x:f>ROUND(IF(Dashboard!$H$5="All",IF(Dashboard!$C$5="All",SUMIFS('Clean Data'!$Q$5:$Q$504,'Clean Data'!$J$5:$J$504,E5),SUMIFS('Clean Data'!$Q$5:$Q$504,'Clean Data'!$J$5:$J$504,E5,'Clean Data'!$G$5:$G$504,Dashboard!$C$5)),IF(E5=Dashboard!$H$5,IF(Dashboard!$C$5="All",SUMIFS('Clean Data'!$Q$5:$Q$504,'Clean Data'!$J$5:$J$504,E5),SUMIFS('Clean Data'!$Q$5:$Q$504,'Clean Data'!$J$5:$J$504,E5,'Clean Data'!$G$5:$G$504,Dashboard!$C$5)),0)),0)</x:f>
        <x:v>112597</x:v>
      </x:c>
      <x:c r="H5" s="8"/>
      <x:c r="I5" s="13" t="str">
        <x:v>North</x:v>
      </x:c>
      <x:c r="J5" s="9" t="n">
        <x:f>ROUND(IF(Dashboard!$C$5="All",IF(Dashboard!$H$5="All",SUMIFS('Clean Data'!$N$5:$N$504,'Clean Data'!$G$5:$G$504,I5),SUMIFS('Clean Data'!$N$5:$N$504,'Clean Data'!$G$5:$G$504,I5,'Clean Data'!$J$5:$J$504,Dashboard!$H$5)),IF(I5=Dashboard!$C$5,IF(Dashboard!$H$5="All",SUMIFS('Clean Data'!$N$5:$N$504,'Clean Data'!$G$5:$G$504,I5),SUMIFS('Clean Data'!$N$5:$N$504,'Clean Data'!$G$5:$G$504,I5,'Clean Data'!$J$5:$J$504,Dashboard!$H$5)),0)),0)</x:f>
        <x:v>391129</x:v>
      </x:c>
      <x:c r="K5" s="18" t="n">
        <x:f>ROUND(IF(Dashboard!$C$5="All",IF(Dashboard!$H$5="All",SUMIFS('Clean Data'!$Q$5:$Q$504,'Clean Data'!$G$5:$G$504,I5),SUMIFS('Clean Data'!$Q$5:$Q$504,'Clean Data'!$G$5:$G$504,I5,'Clean Data'!$J$5:$J$504,Dashboard!$H$5)),IF(I5=Dashboard!$C$5,IF(Dashboard!$H$5="All",SUMIFS('Clean Data'!$Q$5:$Q$504,'Clean Data'!$G$5:$G$504,I5),SUMIFS('Clean Data'!$Q$5:$Q$504,'Clean Data'!$G$5:$G$504,I5,'Clean Data'!$J$5:$J$504,Dashboard!$H$5)),0)),0)</x:f>
        <x:v>135889</x:v>
      </x:c>
    </x:row>
    <x:row r="6">
      <x:c r="A6" s="13" t="str">
        <x:v>Feb 2025</x:v>
      </x:c>
      <x:c r="B6" s="9" t="n">
        <x:f>ROUND(IF(AND(Dashboard!$C$5="All",Dashboard!$H$5="All"),SUMIFS('Clean Data'!$N$5:$N$504,'Clean Data'!$T$5:$T$504,A6),IF(Dashboard!$C$5="All",SUMIFS('Clean Data'!$N$5:$N$504,'Clean Data'!$T$5:$T$504,A6,'Clean Data'!$J$5:$J$504,Dashboard!$H$5),IF(Dashboard!$H$5="All",SUMIFS('Clean Data'!$N$5:$N$504,'Clean Data'!$T$5:$T$504,A6,'Clean Data'!$G$5:$G$504,Dashboard!$C$5),SUMIFS('Clean Data'!$N$5:$N$504,'Clean Data'!$T$5:$T$504,A6,'Clean Data'!$G$5:$G$504,Dashboard!$C$5,'Clean Data'!$J$5:$J$504,Dashboard!$H$5)))),0)</x:f>
        <x:v>103018</x:v>
      </x:c>
      <x:c r="C6" s="18" t="n">
        <x:f>ROUND(IF(AND(Dashboard!$C$5="All",Dashboard!$H$5="All"),SUMIFS('Clean Data'!$Q$5:$Q$504,'Clean Data'!$T$5:$T$504,A6),IF(Dashboard!$C$5="All",SUMIFS('Clean Data'!$Q$5:$Q$504,'Clean Data'!$T$5:$T$504,A6,'Clean Data'!$J$5:$J$504,Dashboard!$H$5),IF(Dashboard!$H$5="All",SUMIFS('Clean Data'!$Q$5:$Q$504,'Clean Data'!$T$5:$T$504,A6,'Clean Data'!$G$5:$G$504,Dashboard!$C$5),SUMIFS('Clean Data'!$Q$5:$Q$504,'Clean Data'!$T$5:$T$504,A6,'Clean Data'!$G$5:$G$504,Dashboard!$C$5,'Clean Data'!$J$5:$J$504,Dashboard!$H$5)))),0)</x:f>
        <x:v>34278</x:v>
      </x:c>
      <x:c r="D6" s="8"/>
      <x:c r="E6" s="13" t="str">
        <x:v>Office Supplies</x:v>
      </x:c>
      <x:c r="F6" s="9" t="n">
        <x:f>ROUND(IF(Dashboard!$H$5="All",IF(Dashboard!$C$5="All",SUMIFS('Clean Data'!$N$5:$N$504,'Clean Data'!$J$5:$J$504,E6),SUMIFS('Clean Data'!$N$5:$N$504,'Clean Data'!$J$5:$J$504,E6,'Clean Data'!$G$5:$G$504,Dashboard!$C$5)),IF(E6=Dashboard!$H$5,IF(Dashboard!$C$5="All",SUMIFS('Clean Data'!$N$5:$N$504,'Clean Data'!$J$5:$J$504,E6),SUMIFS('Clean Data'!$N$5:$N$504,'Clean Data'!$J$5:$J$504,E6,'Clean Data'!$G$5:$G$504,Dashboard!$C$5)),0)),0)</x:f>
        <x:v>160129</x:v>
      </x:c>
      <x:c r="G6" s="18" t="n">
        <x:f>ROUND(IF(Dashboard!$H$5="All",IF(Dashboard!$C$5="All",SUMIFS('Clean Data'!$Q$5:$Q$504,'Clean Data'!$J$5:$J$504,E6),SUMIFS('Clean Data'!$Q$5:$Q$504,'Clean Data'!$J$5:$J$504,E6,'Clean Data'!$G$5:$G$504,Dashboard!$C$5)),IF(E6=Dashboard!$H$5,IF(Dashboard!$C$5="All",SUMIFS('Clean Data'!$Q$5:$Q$504,'Clean Data'!$J$5:$J$504,E6),SUMIFS('Clean Data'!$Q$5:$Q$504,'Clean Data'!$J$5:$J$504,E6,'Clean Data'!$G$5:$G$504,Dashboard!$C$5)),0)),0)</x:f>
        <x:v>61119</x:v>
      </x:c>
      <x:c r="H6" s="8"/>
      <x:c r="I6" s="13" t="str">
        <x:v>South</x:v>
      </x:c>
      <x:c r="J6" s="9" t="n">
        <x:f>ROUND(IF(Dashboard!$C$5="All",IF(Dashboard!$H$5="All",SUMIFS('Clean Data'!$N$5:$N$504,'Clean Data'!$G$5:$G$504,I6),SUMIFS('Clean Data'!$N$5:$N$504,'Clean Data'!$G$5:$G$504,I6,'Clean Data'!$J$5:$J$504,Dashboard!$H$5)),IF(I6=Dashboard!$C$5,IF(Dashboard!$H$5="All",SUMIFS('Clean Data'!$N$5:$N$504,'Clean Data'!$G$5:$G$504,I6),SUMIFS('Clean Data'!$N$5:$N$504,'Clean Data'!$G$5:$G$504,I6,'Clean Data'!$J$5:$J$504,Dashboard!$H$5)),0)),0)</x:f>
        <x:v>368849</x:v>
      </x:c>
      <x:c r="K6" s="18" t="n">
        <x:f>ROUND(IF(Dashboard!$C$5="All",IF(Dashboard!$H$5="All",SUMIFS('Clean Data'!$Q$5:$Q$504,'Clean Data'!$G$5:$G$504,I6),SUMIFS('Clean Data'!$Q$5:$Q$504,'Clean Data'!$G$5:$G$504,I6,'Clean Data'!$J$5:$J$504,Dashboard!$H$5)),IF(I6=Dashboard!$C$5,IF(Dashboard!$H$5="All",SUMIFS('Clean Data'!$Q$5:$Q$504,'Clean Data'!$G$5:$G$504,I6),SUMIFS('Clean Data'!$Q$5:$Q$504,'Clean Data'!$G$5:$G$504,I6,'Clean Data'!$J$5:$J$504,Dashboard!$H$5)),0)),0)</x:f>
        <x:v>124839</x:v>
      </x:c>
    </x:row>
    <x:row r="7">
      <x:c r="A7" s="13" t="str">
        <x:v>Mar 2025</x:v>
      </x:c>
      <x:c r="B7" s="9" t="n">
        <x:f>ROUND(IF(AND(Dashboard!$C$5="All",Dashboard!$H$5="All"),SUMIFS('Clean Data'!$N$5:$N$504,'Clean Data'!$T$5:$T$504,A7),IF(Dashboard!$C$5="All",SUMIFS('Clean Data'!$N$5:$N$504,'Clean Data'!$T$5:$T$504,A7,'Clean Data'!$J$5:$J$504,Dashboard!$H$5),IF(Dashboard!$H$5="All",SUMIFS('Clean Data'!$N$5:$N$504,'Clean Data'!$T$5:$T$504,A7,'Clean Data'!$G$5:$G$504,Dashboard!$C$5),SUMIFS('Clean Data'!$N$5:$N$504,'Clean Data'!$T$5:$T$504,A7,'Clean Data'!$G$5:$G$504,Dashboard!$C$5,'Clean Data'!$J$5:$J$504,Dashboard!$H$5)))),0)</x:f>
        <x:v>93365</x:v>
      </x:c>
      <x:c r="C7" s="18" t="n">
        <x:f>ROUND(IF(AND(Dashboard!$C$5="All",Dashboard!$H$5="All"),SUMIFS('Clean Data'!$Q$5:$Q$504,'Clean Data'!$T$5:$T$504,A7),IF(Dashboard!$C$5="All",SUMIFS('Clean Data'!$Q$5:$Q$504,'Clean Data'!$T$5:$T$504,A7,'Clean Data'!$J$5:$J$504,Dashboard!$H$5),IF(Dashboard!$H$5="All",SUMIFS('Clean Data'!$Q$5:$Q$504,'Clean Data'!$T$5:$T$504,A7,'Clean Data'!$G$5:$G$504,Dashboard!$C$5),SUMIFS('Clean Data'!$Q$5:$Q$504,'Clean Data'!$T$5:$T$504,A7,'Clean Data'!$G$5:$G$504,Dashboard!$C$5,'Clean Data'!$J$5:$J$504,Dashboard!$H$5)))),0)</x:f>
        <x:v>30615</x:v>
      </x:c>
      <x:c r="D7" s="8"/>
      <x:c r="E7" s="13" t="str">
        <x:v>Home &amp; Kitchen</x:v>
      </x:c>
      <x:c r="F7" s="9" t="n">
        <x:f>ROUND(IF(Dashboard!$H$5="All",IF(Dashboard!$C$5="All",SUMIFS('Clean Data'!$N$5:$N$504,'Clean Data'!$J$5:$J$504,E7),SUMIFS('Clean Data'!$N$5:$N$504,'Clean Data'!$J$5:$J$504,E7,'Clean Data'!$G$5:$G$504,Dashboard!$C$5)),IF(E7=Dashboard!$H$5,IF(Dashboard!$C$5="All",SUMIFS('Clean Data'!$N$5:$N$504,'Clean Data'!$J$5:$J$504,E7),SUMIFS('Clean Data'!$N$5:$N$504,'Clean Data'!$J$5:$J$504,E7,'Clean Data'!$G$5:$G$504,Dashboard!$C$5)),0)),0)</x:f>
        <x:v>350186</x:v>
      </x:c>
      <x:c r="G7" s="18" t="n">
        <x:f>ROUND(IF(Dashboard!$H$5="All",IF(Dashboard!$C$5="All",SUMIFS('Clean Data'!$Q$5:$Q$504,'Clean Data'!$J$5:$J$504,E7),SUMIFS('Clean Data'!$Q$5:$Q$504,'Clean Data'!$J$5:$J$504,E7,'Clean Data'!$G$5:$G$504,Dashboard!$C$5)),IF(E7=Dashboard!$H$5,IF(Dashboard!$C$5="All",SUMIFS('Clean Data'!$Q$5:$Q$504,'Clean Data'!$J$5:$J$504,E7),SUMIFS('Clean Data'!$Q$5:$Q$504,'Clean Data'!$J$5:$J$504,E7,'Clean Data'!$G$5:$G$504,Dashboard!$C$5)),0)),0)</x:f>
        <x:v>120726</x:v>
      </x:c>
      <x:c r="H7" s="8"/>
      <x:c r="I7" s="13" t="str">
        <x:v>East</x:v>
      </x:c>
      <x:c r="J7" s="9" t="n">
        <x:f>ROUND(IF(Dashboard!$C$5="All",IF(Dashboard!$H$5="All",SUMIFS('Clean Data'!$N$5:$N$504,'Clean Data'!$G$5:$G$504,I7),SUMIFS('Clean Data'!$N$5:$N$504,'Clean Data'!$G$5:$G$504,I7,'Clean Data'!$J$5:$J$504,Dashboard!$H$5)),IF(I7=Dashboard!$C$5,IF(Dashboard!$H$5="All",SUMIFS('Clean Data'!$N$5:$N$504,'Clean Data'!$G$5:$G$504,I7),SUMIFS('Clean Data'!$N$5:$N$504,'Clean Data'!$G$5:$G$504,I7,'Clean Data'!$J$5:$J$504,Dashboard!$H$5)),0)),0)</x:f>
        <x:v>92401</x:v>
      </x:c>
      <x:c r="K7" s="18" t="n">
        <x:f>ROUND(IF(Dashboard!$C$5="All",IF(Dashboard!$H$5="All",SUMIFS('Clean Data'!$Q$5:$Q$504,'Clean Data'!$G$5:$G$504,I7),SUMIFS('Clean Data'!$Q$5:$Q$504,'Clean Data'!$G$5:$G$504,I7,'Clean Data'!$J$5:$J$504,Dashboard!$H$5)),IF(I7=Dashboard!$C$5,IF(Dashboard!$H$5="All",SUMIFS('Clean Data'!$Q$5:$Q$504,'Clean Data'!$G$5:$G$504,I7),SUMIFS('Clean Data'!$Q$5:$Q$504,'Clean Data'!$G$5:$G$504,I7,'Clean Data'!$J$5:$J$504,Dashboard!$H$5)),0)),0)</x:f>
        <x:v>31161</x:v>
      </x:c>
    </x:row>
    <x:row r="8">
      <x:c r="A8" s="13" t="str">
        <x:v>Apr 2025</x:v>
      </x:c>
      <x:c r="B8" s="9" t="n">
        <x:f>ROUND(IF(AND(Dashboard!$C$5="All",Dashboard!$H$5="All"),SUMIFS('Clean Data'!$N$5:$N$504,'Clean Data'!$T$5:$T$504,A8),IF(Dashboard!$C$5="All",SUMIFS('Clean Data'!$N$5:$N$504,'Clean Data'!$T$5:$T$504,A8,'Clean Data'!$J$5:$J$504,Dashboard!$H$5),IF(Dashboard!$H$5="All",SUMIFS('Clean Data'!$N$5:$N$504,'Clean Data'!$T$5:$T$504,A8,'Clean Data'!$G$5:$G$504,Dashboard!$C$5),SUMIFS('Clean Data'!$N$5:$N$504,'Clean Data'!$T$5:$T$504,A8,'Clean Data'!$G$5:$G$504,Dashboard!$C$5,'Clean Data'!$J$5:$J$504,Dashboard!$H$5)))),0)</x:f>
        <x:v>87275</x:v>
      </x:c>
      <x:c r="C8" s="18" t="n">
        <x:f>ROUND(IF(AND(Dashboard!$C$5="All",Dashboard!$H$5="All"),SUMIFS('Clean Data'!$Q$5:$Q$504,'Clean Data'!$T$5:$T$504,A8),IF(Dashboard!$C$5="All",SUMIFS('Clean Data'!$Q$5:$Q$504,'Clean Data'!$T$5:$T$504,A8,'Clean Data'!$J$5:$J$504,Dashboard!$H$5),IF(Dashboard!$H$5="All",SUMIFS('Clean Data'!$Q$5:$Q$504,'Clean Data'!$T$5:$T$504,A8,'Clean Data'!$G$5:$G$504,Dashboard!$C$5),SUMIFS('Clean Data'!$Q$5:$Q$504,'Clean Data'!$T$5:$T$504,A8,'Clean Data'!$G$5:$G$504,Dashboard!$C$5,'Clean Data'!$J$5:$J$504,Dashboard!$H$5)))),0)</x:f>
        <x:v>30315</x:v>
      </x:c>
      <x:c r="D8" s="8"/>
      <x:c r="E8" s="13" t="str">
        <x:v>Fashion</x:v>
      </x:c>
      <x:c r="F8" s="9" t="n">
        <x:f>ROUND(IF(Dashboard!$H$5="All",IF(Dashboard!$C$5="All",SUMIFS('Clean Data'!$N$5:$N$504,'Clean Data'!$J$5:$J$504,E8),SUMIFS('Clean Data'!$N$5:$N$504,'Clean Data'!$J$5:$J$504,E8,'Clean Data'!$G$5:$G$504,Dashboard!$C$5)),IF(E8=Dashboard!$H$5,IF(Dashboard!$C$5="All",SUMIFS('Clean Data'!$N$5:$N$504,'Clean Data'!$J$5:$J$504,E8),SUMIFS('Clean Data'!$N$5:$N$504,'Clean Data'!$J$5:$J$504,E8,'Clean Data'!$G$5:$G$504,Dashboard!$C$5)),0)),0)</x:f>
        <x:v>235017</x:v>
      </x:c>
      <x:c r="G8" s="18" t="n">
        <x:f>ROUND(IF(Dashboard!$H$5="All",IF(Dashboard!$C$5="All",SUMIFS('Clean Data'!$Q$5:$Q$504,'Clean Data'!$J$5:$J$504,E8),SUMIFS('Clean Data'!$Q$5:$Q$504,'Clean Data'!$J$5:$J$504,E8,'Clean Data'!$G$5:$G$504,Dashboard!$C$5)),IF(E8=Dashboard!$H$5,IF(Dashboard!$C$5="All",SUMIFS('Clean Data'!$Q$5:$Q$504,'Clean Data'!$J$5:$J$504,E8),SUMIFS('Clean Data'!$Q$5:$Q$504,'Clean Data'!$J$5:$J$504,E8,'Clean Data'!$G$5:$G$504,Dashboard!$C$5)),0)),0)</x:f>
        <x:v>81837</x:v>
      </x:c>
      <x:c r="H8" s="8"/>
      <x:c r="I8" s="15" t="str">
        <x:v>West</x:v>
      </x:c>
      <x:c r="J8" s="19" t="n">
        <x:f>ROUND(IF(Dashboard!$C$5="All",IF(Dashboard!$H$5="All",SUMIFS('Clean Data'!$N$5:$N$504,'Clean Data'!$G$5:$G$504,I8),SUMIFS('Clean Data'!$N$5:$N$504,'Clean Data'!$G$5:$G$504,I8,'Clean Data'!$J$5:$J$504,Dashboard!$H$5)),IF(I8=Dashboard!$C$5,IF(Dashboard!$H$5="All",SUMIFS('Clean Data'!$N$5:$N$504,'Clean Data'!$G$5:$G$504,I8),SUMIFS('Clean Data'!$N$5:$N$504,'Clean Data'!$G$5:$G$504,I8,'Clean Data'!$J$5:$J$504,Dashboard!$H$5)),0)),0)</x:f>
        <x:v>311892</x:v>
      </x:c>
      <x:c r="K8" s="20" t="n">
        <x:f>ROUND(IF(Dashboard!$C$5="All",IF(Dashboard!$H$5="All",SUMIFS('Clean Data'!$Q$5:$Q$504,'Clean Data'!$G$5:$G$504,I8),SUMIFS('Clean Data'!$Q$5:$Q$504,'Clean Data'!$G$5:$G$504,I8,'Clean Data'!$J$5:$J$504,Dashboard!$H$5)),IF(I8=Dashboard!$C$5,IF(Dashboard!$H$5="All",SUMIFS('Clean Data'!$Q$5:$Q$504,'Clean Data'!$G$5:$G$504,I8),SUMIFS('Clean Data'!$Q$5:$Q$504,'Clean Data'!$G$5:$G$504,I8,'Clean Data'!$J$5:$J$504,Dashboard!$H$5)),0)),0)</x:f>
        <x:v>105152</x:v>
      </x:c>
    </x:row>
    <x:row r="9">
      <x:c r="A9" s="13" t="str">
        <x:v>May 2025</x:v>
      </x:c>
      <x:c r="B9" s="9" t="n">
        <x:f>ROUND(IF(AND(Dashboard!$C$5="All",Dashboard!$H$5="All"),SUMIFS('Clean Data'!$N$5:$N$504,'Clean Data'!$T$5:$T$504,A9),IF(Dashboard!$C$5="All",SUMIFS('Clean Data'!$N$5:$N$504,'Clean Data'!$T$5:$T$504,A9,'Clean Data'!$J$5:$J$504,Dashboard!$H$5),IF(Dashboard!$H$5="All",SUMIFS('Clean Data'!$N$5:$N$504,'Clean Data'!$T$5:$T$504,A9,'Clean Data'!$G$5:$G$504,Dashboard!$C$5),SUMIFS('Clean Data'!$N$5:$N$504,'Clean Data'!$T$5:$T$504,A9,'Clean Data'!$G$5:$G$504,Dashboard!$C$5,'Clean Data'!$J$5:$J$504,Dashboard!$H$5)))),0)</x:f>
        <x:v>92751</x:v>
      </x:c>
      <x:c r="C9" s="18" t="n">
        <x:f>ROUND(IF(AND(Dashboard!$C$5="All",Dashboard!$H$5="All"),SUMIFS('Clean Data'!$Q$5:$Q$504,'Clean Data'!$T$5:$T$504,A9),IF(Dashboard!$C$5="All",SUMIFS('Clean Data'!$Q$5:$Q$504,'Clean Data'!$T$5:$T$504,A9,'Clean Data'!$J$5:$J$504,Dashboard!$H$5),IF(Dashboard!$H$5="All",SUMIFS('Clean Data'!$Q$5:$Q$504,'Clean Data'!$T$5:$T$504,A9,'Clean Data'!$G$5:$G$504,Dashboard!$C$5),SUMIFS('Clean Data'!$Q$5:$Q$504,'Clean Data'!$T$5:$T$504,A9,'Clean Data'!$G$5:$G$504,Dashboard!$C$5,'Clean Data'!$J$5:$J$504,Dashboard!$H$5)))),0)</x:f>
        <x:v>32531</x:v>
      </x:c>
      <x:c r="D9" s="8"/>
      <x:c r="E9" s="15" t="str">
        <x:v>Lifestyle</x:v>
      </x:c>
      <x:c r="F9" s="19" t="n">
        <x:f>ROUND(IF(Dashboard!$H$5="All",IF(Dashboard!$C$5="All",SUMIFS('Clean Data'!$N$5:$N$504,'Clean Data'!$J$5:$J$504,E9),SUMIFS('Clean Data'!$N$5:$N$504,'Clean Data'!$J$5:$J$504,E9,'Clean Data'!$G$5:$G$504,Dashboard!$C$5)),IF(E9=Dashboard!$H$5,IF(Dashboard!$C$5="All",SUMIFS('Clean Data'!$N$5:$N$504,'Clean Data'!$J$5:$J$504,E9),SUMIFS('Clean Data'!$N$5:$N$504,'Clean Data'!$J$5:$J$504,E9,'Clean Data'!$G$5:$G$504,Dashboard!$C$5)),0)),0)</x:f>
        <x:v>46182</x:v>
      </x:c>
      <x:c r="G9" s="20" t="n">
        <x:f>ROUND(IF(Dashboard!$H$5="All",IF(Dashboard!$C$5="All",SUMIFS('Clean Data'!$Q$5:$Q$504,'Clean Data'!$J$5:$J$504,E9),SUMIFS('Clean Data'!$Q$5:$Q$504,'Clean Data'!$J$5:$J$504,E9,'Clean Data'!$G$5:$G$504,Dashboard!$C$5)),IF(E9=Dashboard!$H$5,IF(Dashboard!$C$5="All",SUMIFS('Clean Data'!$Q$5:$Q$504,'Clean Data'!$J$5:$J$504,E9),SUMIFS('Clean Data'!$Q$5:$Q$504,'Clean Data'!$J$5:$J$504,E9,'Clean Data'!$G$5:$G$504,Dashboard!$C$5)),0)),0)</x:f>
        <x:v>20762</x:v>
      </x:c>
      <x:c r="H9" s="8"/>
      <x:c r="I9" s="8"/>
      <x:c r="J9" s="8"/>
      <x:c r="K9" s="8"/>
    </x:row>
    <x:row r="10">
      <x:c r="A10" s="13" t="str">
        <x:v>Jun 2025</x:v>
      </x:c>
      <x:c r="B10" s="9" t="n">
        <x:f>ROUND(IF(AND(Dashboard!$C$5="All",Dashboard!$H$5="All"),SUMIFS('Clean Data'!$N$5:$N$504,'Clean Data'!$T$5:$T$504,A10),IF(Dashboard!$C$5="All",SUMIFS('Clean Data'!$N$5:$N$504,'Clean Data'!$T$5:$T$504,A10,'Clean Data'!$J$5:$J$504,Dashboard!$H$5),IF(Dashboard!$H$5="All",SUMIFS('Clean Data'!$N$5:$N$504,'Clean Data'!$T$5:$T$504,A10,'Clean Data'!$G$5:$G$504,Dashboard!$C$5),SUMIFS('Clean Data'!$N$5:$N$504,'Clean Data'!$T$5:$T$504,A10,'Clean Data'!$G$5:$G$504,Dashboard!$C$5,'Clean Data'!$J$5:$J$504,Dashboard!$H$5)))),0)</x:f>
        <x:v>56500</x:v>
      </x:c>
      <x:c r="C10" s="18" t="n">
        <x:f>ROUND(IF(AND(Dashboard!$C$5="All",Dashboard!$H$5="All"),SUMIFS('Clean Data'!$Q$5:$Q$504,'Clean Data'!$T$5:$T$504,A10),IF(Dashboard!$C$5="All",SUMIFS('Clean Data'!$Q$5:$Q$504,'Clean Data'!$T$5:$T$504,A10,'Clean Data'!$J$5:$J$504,Dashboard!$H$5),IF(Dashboard!$H$5="All",SUMIFS('Clean Data'!$Q$5:$Q$504,'Clean Data'!$T$5:$T$504,A10,'Clean Data'!$G$5:$G$504,Dashboard!$C$5),SUMIFS('Clean Data'!$Q$5:$Q$504,'Clean Data'!$T$5:$T$504,A10,'Clean Data'!$G$5:$G$504,Dashboard!$C$5,'Clean Data'!$J$5:$J$504,Dashboard!$H$5)))),0)</x:f>
        <x:v>19270</x:v>
      </x:c>
      <x:c r="D10" s="8"/>
      <x:c r="E10" s="8"/>
      <x:c r="F10" s="8"/>
      <x:c r="G10" s="8"/>
      <x:c r="H10" s="8"/>
      <x:c r="I10" s="8"/>
      <x:c r="J10" s="8"/>
      <x:c r="K10" s="8"/>
    </x:row>
    <x:row r="11">
      <x:c r="A11" s="13" t="str">
        <x:v>Jul 2025</x:v>
      </x:c>
      <x:c r="B11" s="9" t="n">
        <x:f>ROUND(IF(AND(Dashboard!$C$5="All",Dashboard!$H$5="All"),SUMIFS('Clean Data'!$N$5:$N$504,'Clean Data'!$T$5:$T$504,A11),IF(Dashboard!$C$5="All",SUMIFS('Clean Data'!$N$5:$N$504,'Clean Data'!$T$5:$T$504,A11,'Clean Data'!$J$5:$J$504,Dashboard!$H$5),IF(Dashboard!$H$5="All",SUMIFS('Clean Data'!$N$5:$N$504,'Clean Data'!$T$5:$T$504,A11,'Clean Data'!$G$5:$G$504,Dashboard!$C$5),SUMIFS('Clean Data'!$N$5:$N$504,'Clean Data'!$T$5:$T$504,A11,'Clean Data'!$G$5:$G$504,Dashboard!$C$5,'Clean Data'!$J$5:$J$504,Dashboard!$H$5)))),0)</x:f>
        <x:v>108386</x:v>
      </x:c>
      <x:c r="C11" s="18" t="n">
        <x:f>ROUND(IF(AND(Dashboard!$C$5="All",Dashboard!$H$5="All"),SUMIFS('Clean Data'!$Q$5:$Q$504,'Clean Data'!$T$5:$T$504,A11),IF(Dashboard!$C$5="All",SUMIFS('Clean Data'!$Q$5:$Q$504,'Clean Data'!$T$5:$T$504,A11,'Clean Data'!$J$5:$J$504,Dashboard!$H$5),IF(Dashboard!$H$5="All",SUMIFS('Clean Data'!$Q$5:$Q$504,'Clean Data'!$T$5:$T$504,A11,'Clean Data'!$G$5:$G$504,Dashboard!$C$5),SUMIFS('Clean Data'!$Q$5:$Q$504,'Clean Data'!$T$5:$T$504,A11,'Clean Data'!$G$5:$G$504,Dashboard!$C$5,'Clean Data'!$J$5:$J$504,Dashboard!$H$5)))),0)</x:f>
        <x:v>35336</x:v>
      </x:c>
      <x:c r="D11" s="8"/>
      <x:c r="E11" s="8"/>
      <x:c r="F11" s="8"/>
      <x:c r="G11" s="8"/>
      <x:c r="H11" s="8"/>
      <x:c r="I11" s="8"/>
      <x:c r="J11" s="8"/>
      <x:c r="K11" s="8"/>
    </x:row>
    <x:row r="12">
      <x:c r="A12" s="13" t="str">
        <x:v>Aug 2025</x:v>
      </x:c>
      <x:c r="B12" s="9" t="n">
        <x:f>ROUND(IF(AND(Dashboard!$C$5="All",Dashboard!$H$5="All"),SUMIFS('Clean Data'!$N$5:$N$504,'Clean Data'!$T$5:$T$504,A12),IF(Dashboard!$C$5="All",SUMIFS('Clean Data'!$N$5:$N$504,'Clean Data'!$T$5:$T$504,A12,'Clean Data'!$J$5:$J$504,Dashboard!$H$5),IF(Dashboard!$H$5="All",SUMIFS('Clean Data'!$N$5:$N$504,'Clean Data'!$T$5:$T$504,A12,'Clean Data'!$G$5:$G$504,Dashboard!$C$5),SUMIFS('Clean Data'!$N$5:$N$504,'Clean Data'!$T$5:$T$504,A12,'Clean Data'!$G$5:$G$504,Dashboard!$C$5,'Clean Data'!$J$5:$J$504,Dashboard!$H$5)))),0)</x:f>
        <x:v>69117</x:v>
      </x:c>
      <x:c r="C12" s="18" t="n">
        <x:f>ROUND(IF(AND(Dashboard!$C$5="All",Dashboard!$H$5="All"),SUMIFS('Clean Data'!$Q$5:$Q$504,'Clean Data'!$T$5:$T$504,A12),IF(Dashboard!$C$5="All",SUMIFS('Clean Data'!$Q$5:$Q$504,'Clean Data'!$T$5:$T$504,A12,'Clean Data'!$J$5:$J$504,Dashboard!$H$5),IF(Dashboard!$H$5="All",SUMIFS('Clean Data'!$Q$5:$Q$504,'Clean Data'!$T$5:$T$504,A12,'Clean Data'!$G$5:$G$504,Dashboard!$C$5),SUMIFS('Clean Data'!$Q$5:$Q$504,'Clean Data'!$T$5:$T$504,A12,'Clean Data'!$G$5:$G$504,Dashboard!$C$5,'Clean Data'!$J$5:$J$504,Dashboard!$H$5)))),0)</x:f>
        <x:v>23827</x:v>
      </x:c>
      <x:c r="D12" s="8"/>
      <x:c r="E12" s="8"/>
      <x:c r="F12" s="8"/>
      <x:c r="G12" s="8"/>
      <x:c r="H12" s="8"/>
      <x:c r="I12" s="8"/>
      <x:c r="J12" s="8"/>
      <x:c r="K12" s="8"/>
    </x:row>
    <x:row r="13">
      <x:c r="A13" s="13" t="str">
        <x:v>Sep 2025</x:v>
      </x:c>
      <x:c r="B13" s="9" t="n">
        <x:f>ROUND(IF(AND(Dashboard!$C$5="All",Dashboard!$H$5="All"),SUMIFS('Clean Data'!$N$5:$N$504,'Clean Data'!$T$5:$T$504,A13),IF(Dashboard!$C$5="All",SUMIFS('Clean Data'!$N$5:$N$504,'Clean Data'!$T$5:$T$504,A13,'Clean Data'!$J$5:$J$504,Dashboard!$H$5),IF(Dashboard!$H$5="All",SUMIFS('Clean Data'!$N$5:$N$504,'Clean Data'!$T$5:$T$504,A13,'Clean Data'!$G$5:$G$504,Dashboard!$C$5),SUMIFS('Clean Data'!$N$5:$N$504,'Clean Data'!$T$5:$T$504,A13,'Clean Data'!$G$5:$G$504,Dashboard!$C$5,'Clean Data'!$J$5:$J$504,Dashboard!$H$5)))),0)</x:f>
        <x:v>122483</x:v>
      </x:c>
      <x:c r="C13" s="18" t="n">
        <x:f>ROUND(IF(AND(Dashboard!$C$5="All",Dashboard!$H$5="All"),SUMIFS('Clean Data'!$Q$5:$Q$504,'Clean Data'!$T$5:$T$504,A13),IF(Dashboard!$C$5="All",SUMIFS('Clean Data'!$Q$5:$Q$504,'Clean Data'!$T$5:$T$504,A13,'Clean Data'!$J$5:$J$504,Dashboard!$H$5),IF(Dashboard!$H$5="All",SUMIFS('Clean Data'!$Q$5:$Q$504,'Clean Data'!$T$5:$T$504,A13,'Clean Data'!$G$5:$G$504,Dashboard!$C$5),SUMIFS('Clean Data'!$Q$5:$Q$504,'Clean Data'!$T$5:$T$504,A13,'Clean Data'!$G$5:$G$504,Dashboard!$C$5,'Clean Data'!$J$5:$J$504,Dashboard!$H$5)))),0)</x:f>
        <x:v>41543</x:v>
      </x:c>
      <x:c r="D13" s="8"/>
      <x:c r="E13" s="8"/>
      <x:c r="F13" s="8"/>
      <x:c r="G13" s="8"/>
      <x:c r="H13" s="8"/>
      <x:c r="I13" s="8"/>
      <x:c r="J13" s="8"/>
      <x:c r="K13" s="8"/>
    </x:row>
    <x:row r="14">
      <x:c r="A14" s="13" t="str">
        <x:v>Oct 2025</x:v>
      </x:c>
      <x:c r="B14" s="9" t="n">
        <x:f>ROUND(IF(AND(Dashboard!$C$5="All",Dashboard!$H$5="All"),SUMIFS('Clean Data'!$N$5:$N$504,'Clean Data'!$T$5:$T$504,A14),IF(Dashboard!$C$5="All",SUMIFS('Clean Data'!$N$5:$N$504,'Clean Data'!$T$5:$T$504,A14,'Clean Data'!$J$5:$J$504,Dashboard!$H$5),IF(Dashboard!$H$5="All",SUMIFS('Clean Data'!$N$5:$N$504,'Clean Data'!$T$5:$T$504,A14,'Clean Data'!$G$5:$G$504,Dashboard!$C$5),SUMIFS('Clean Data'!$N$5:$N$504,'Clean Data'!$T$5:$T$504,A14,'Clean Data'!$G$5:$G$504,Dashboard!$C$5,'Clean Data'!$J$5:$J$504,Dashboard!$H$5)))),0)</x:f>
        <x:v>123896</x:v>
      </x:c>
      <x:c r="C14" s="18" t="n">
        <x:f>ROUND(IF(AND(Dashboard!$C$5="All",Dashboard!$H$5="All"),SUMIFS('Clean Data'!$Q$5:$Q$504,'Clean Data'!$T$5:$T$504,A14),IF(Dashboard!$C$5="All",SUMIFS('Clean Data'!$Q$5:$Q$504,'Clean Data'!$T$5:$T$504,A14,'Clean Data'!$J$5:$J$504,Dashboard!$H$5),IF(Dashboard!$H$5="All",SUMIFS('Clean Data'!$Q$5:$Q$504,'Clean Data'!$T$5:$T$504,A14,'Clean Data'!$G$5:$G$504,Dashboard!$C$5),SUMIFS('Clean Data'!$Q$5:$Q$504,'Clean Data'!$T$5:$T$504,A14,'Clean Data'!$G$5:$G$504,Dashboard!$C$5,'Clean Data'!$J$5:$J$504,Dashboard!$H$5)))),0)</x:f>
        <x:v>44946</x:v>
      </x:c>
      <x:c r="D14" s="8"/>
      <x:c r="E14" s="8"/>
      <x:c r="F14" s="8"/>
      <x:c r="G14" s="8"/>
      <x:c r="H14" s="8"/>
      <x:c r="I14" s="8"/>
      <x:c r="J14" s="8"/>
      <x:c r="K14" s="8"/>
    </x:row>
    <x:row r="15">
      <x:c r="A15" s="13" t="str">
        <x:v>Nov 2025</x:v>
      </x:c>
      <x:c r="B15" s="9" t="n">
        <x:f>ROUND(IF(AND(Dashboard!$C$5="All",Dashboard!$H$5="All"),SUMIFS('Clean Data'!$N$5:$N$504,'Clean Data'!$T$5:$T$504,A15),IF(Dashboard!$C$5="All",SUMIFS('Clean Data'!$N$5:$N$504,'Clean Data'!$T$5:$T$504,A15,'Clean Data'!$J$5:$J$504,Dashboard!$H$5),IF(Dashboard!$H$5="All",SUMIFS('Clean Data'!$N$5:$N$504,'Clean Data'!$T$5:$T$504,A15,'Clean Data'!$G$5:$G$504,Dashboard!$C$5),SUMIFS('Clean Data'!$N$5:$N$504,'Clean Data'!$T$5:$T$504,A15,'Clean Data'!$G$5:$G$504,Dashboard!$C$5,'Clean Data'!$J$5:$J$504,Dashboard!$H$5)))),0)</x:f>
        <x:v>67695</x:v>
      </x:c>
      <x:c r="C15" s="18" t="n">
        <x:f>ROUND(IF(AND(Dashboard!$C$5="All",Dashboard!$H$5="All"),SUMIFS('Clean Data'!$Q$5:$Q$504,'Clean Data'!$T$5:$T$504,A15),IF(Dashboard!$C$5="All",SUMIFS('Clean Data'!$Q$5:$Q$504,'Clean Data'!$T$5:$T$504,A15,'Clean Data'!$J$5:$J$504,Dashboard!$H$5),IF(Dashboard!$H$5="All",SUMIFS('Clean Data'!$Q$5:$Q$504,'Clean Data'!$T$5:$T$504,A15,'Clean Data'!$G$5:$G$504,Dashboard!$C$5),SUMIFS('Clean Data'!$Q$5:$Q$504,'Clean Data'!$T$5:$T$504,A15,'Clean Data'!$G$5:$G$504,Dashboard!$C$5,'Clean Data'!$J$5:$J$504,Dashboard!$H$5)))),0)</x:f>
        <x:v>22985</x:v>
      </x:c>
      <x:c r="D15" s="8"/>
      <x:c r="E15" s="8"/>
      <x:c r="F15" s="8"/>
      <x:c r="G15" s="8"/>
      <x:c r="H15" s="8"/>
      <x:c r="I15" s="8"/>
      <x:c r="J15" s="8"/>
      <x:c r="K15" s="8"/>
    </x:row>
    <x:row r="16">
      <x:c r="A16" s="15" t="str">
        <x:v>Dec 2025</x:v>
      </x:c>
      <x:c r="B16" s="19" t="n">
        <x:f>ROUND(IF(AND(Dashboard!$C$5="All",Dashboard!$H$5="All"),SUMIFS('Clean Data'!$N$5:$N$504,'Clean Data'!$T$5:$T$504,A16),IF(Dashboard!$C$5="All",SUMIFS('Clean Data'!$N$5:$N$504,'Clean Data'!$T$5:$T$504,A16,'Clean Data'!$J$5:$J$504,Dashboard!$H$5),IF(Dashboard!$H$5="All",SUMIFS('Clean Data'!$N$5:$N$504,'Clean Data'!$T$5:$T$504,A16,'Clean Data'!$G$5:$G$504,Dashboard!$C$5),SUMIFS('Clean Data'!$N$5:$N$504,'Clean Data'!$T$5:$T$504,A16,'Clean Data'!$G$5:$G$504,Dashboard!$C$5,'Clean Data'!$J$5:$J$504,Dashboard!$H$5)))),0)</x:f>
        <x:v>117108</x:v>
      </x:c>
      <x:c r="C16" s="20" t="n">
        <x:f>ROUND(IF(AND(Dashboard!$C$5="All",Dashboard!$H$5="All"),SUMIFS('Clean Data'!$Q$5:$Q$504,'Clean Data'!$T$5:$T$504,A16),IF(Dashboard!$C$5="All",SUMIFS('Clean Data'!$Q$5:$Q$504,'Clean Data'!$T$5:$T$504,A16,'Clean Data'!$J$5:$J$504,Dashboard!$H$5),IF(Dashboard!$H$5="All",SUMIFS('Clean Data'!$Q$5:$Q$504,'Clean Data'!$T$5:$T$504,A16,'Clean Data'!$G$5:$G$504,Dashboard!$C$5),SUMIFS('Clean Data'!$Q$5:$Q$504,'Clean Data'!$T$5:$T$504,A16,'Clean Data'!$G$5:$G$504,Dashboard!$C$5,'Clean Data'!$J$5:$J$504,Dashboard!$H$5)))),0)</x:f>
        <x:v>39308</x:v>
      </x:c>
      <x:c r="D16" s="8"/>
      <x:c r="E16" s="8"/>
      <x:c r="F16" s="8"/>
      <x:c r="G16" s="8"/>
      <x:c r="H16" s="8"/>
      <x:c r="I16" s="8"/>
      <x:c r="J16" s="8"/>
      <x:c r="K16" s="8"/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1000061035156" hidden="0" customWidth="1"/>
    <x:col min="2" max="2" width="25" hidden="0" customWidth="1"/>
    <x:col min="3" max="3" width="44.11000061035156" hidden="0" customWidth="1"/>
    <x:col min="4" max="4" width="44.11000061035156" hidden="0" customWidth="1"/>
    <x:col min="5" max="5" width="44.11000061035156" hidden="0" customWidth="1"/>
    <x:col min="6" max="6" width="44.11000061035156" hidden="0" customWidth="1"/>
    <x:col min="7" max="7" width="28" hidden="0" customWidth="1"/>
    <x:col min="8" max="8" width="44.11000061035156" hidden="0" customWidth="1"/>
    <x:col min="9" max="9" width="44.11000061035156" hidden="0" customWidth="1"/>
    <x:col min="10" max="10" width="44.11000061035156" hidden="0" customWidth="1"/>
    <x:col min="11" max="11" width="44.11000061035156" hidden="0" customWidth="1"/>
    <x:col min="12" max="12" width="44.11000061035156" hidden="0" customWidth="1"/>
    <x:col min="13" max="13" width="44.11000061035156" hidden="0" customWidth="1"/>
    <x:col min="14" max="14" width="44.11000061035156" hidden="0" customWidth="1"/>
  </x:cols>
  <x:sheetData>
    <x:row r="1" ht="34" customHeight="1">
      <x:c r="A1" s="3" t="str">
        <x:v>LOOKUP TABLES</x:v>
      </x:c>
      <x:c r="B1" s="3" t="str">
        <x:v>LOOKUP TABLES</x:v>
      </x:c>
      <x:c r="C1" s="3" t="str">
        <x:v>LOOKUP TABLES</x:v>
      </x:c>
      <x:c r="D1" s="3" t="str">
        <x:v>LOOKUP TABLES</x:v>
      </x:c>
      <x:c r="E1" s="3" t="str">
        <x:v>LOOKUP TABLES</x:v>
      </x:c>
      <x:c r="F1" s="3" t="str">
        <x:v>LOOKUP TABLES</x:v>
      </x:c>
      <x:c r="G1" s="3" t="str">
        <x:v>LOOKUP TABLES</x:v>
      </x:c>
      <x:c r="H1" s="3" t="str">
        <x:v>LOOKUP TABLES</x:v>
      </x:c>
      <x:c r="I1" s="3" t="str">
        <x:v>LOOKUP TABLES</x:v>
      </x:c>
      <x:c r="J1" s="3" t="str">
        <x:v>LOOKUP TABLES</x:v>
      </x:c>
      <x:c r="K1" s="3" t="str">
        <x:v>LOOKUP TABLES</x:v>
      </x:c>
      <x:c r="L1" s="3" t="str">
        <x:v>LOOKUP TABLES</x:v>
      </x:c>
      <x:c r="M1" s="3" t="str">
        <x:v>LOOKUP TABLES</x:v>
      </x:c>
      <x:c r="N1" s="3" t="str">
        <x:v>LOOKUP TABLES</x:v>
      </x:c>
    </x:row>
    <x:row r="2" ht="22" customHeight="1">
      <x:c r="A2" s="5" t="str">
        <x:v>Canonical customer, product and location values used by formulas</x:v>
      </x:c>
      <x:c r="B2" s="5" t="str">
        <x:v>Canonical customer, product and location values used by formulas</x:v>
      </x:c>
      <x:c r="C2" s="5" t="str">
        <x:v>Canonical customer, product and location values used by formulas</x:v>
      </x:c>
      <x:c r="D2" s="5" t="str">
        <x:v>Canonical customer, product and location values used by formulas</x:v>
      </x:c>
      <x:c r="E2" s="5" t="str">
        <x:v>Canonical customer, product and location values used by formulas</x:v>
      </x:c>
      <x:c r="F2" s="5" t="str">
        <x:v>Canonical customer, product and location values used by formulas</x:v>
      </x:c>
      <x:c r="G2" s="5" t="str">
        <x:v>Canonical customer, product and location values used by formulas</x:v>
      </x:c>
      <x:c r="H2" s="5" t="str">
        <x:v>Canonical customer, product and location values used by formulas</x:v>
      </x:c>
      <x:c r="I2" s="5" t="str">
        <x:v>Canonical customer, product and location values used by formulas</x:v>
      </x:c>
      <x:c r="J2" s="5" t="str">
        <x:v>Canonical customer, product and location values used by formulas</x:v>
      </x:c>
      <x:c r="K2" s="5" t="str">
        <x:v>Canonical customer, product and location values used by formulas</x:v>
      </x:c>
      <x:c r="L2" s="5" t="str">
        <x:v>Canonical customer, product and location values used by formulas</x:v>
      </x:c>
      <x:c r="M2" s="5" t="str">
        <x:v>Canonical customer, product and location values used by formulas</x:v>
      </x:c>
      <x:c r="N2" s="5" t="str">
        <x:v>Canonical customer, product and location values used by formulas</x:v>
      </x:c>
    </x:row>
    <x:row r="4" ht="22" customHeight="1">
      <x:c r="A4" s="10" t="str">
        <x:v>Customer ID</x:v>
      </x:c>
      <x:c r="B4" s="11" t="str">
        <x:v>Customer Name</x:v>
      </x:c>
      <x:c r="C4" s="12" t="str">
        <x:v>Segment</x:v>
      </x:c>
      <x:c r="F4" s="10" t="str">
        <x:v>Product ID</x:v>
      </x:c>
      <x:c r="G4" s="11" t="str">
        <x:v>Product Name</x:v>
      </x:c>
      <x:c r="H4" s="11" t="str">
        <x:v>Category</x:v>
      </x:c>
      <x:c r="I4" s="11" t="str">
        <x:v>Unit Price</x:v>
      </x:c>
      <x:c r="J4" s="12" t="str">
        <x:v>Unit Cost</x:v>
      </x:c>
      <x:c r="M4" s="10" t="str">
        <x:v>City</x:v>
      </x:c>
      <x:c r="N4" s="12" t="str">
        <x:v>Region</x:v>
      </x:c>
    </x:row>
    <x:row r="5">
      <x:c r="A5" s="13" t="str">
        <x:v>CUS-001</x:v>
      </x:c>
      <x:c r="B5" s="8" t="str">
        <x:v>Aarav Sharma</x:v>
      </x:c>
      <x:c r="C5" s="14" t="str">
        <x:v>Consumer</x:v>
      </x:c>
      <x:c r="D5" s="8"/>
      <x:c r="E5" s="8"/>
      <x:c r="F5" s="13" t="str">
        <x:v>PRD-001</x:v>
      </x:c>
      <x:c r="G5" s="8" t="str">
        <x:v>Wireless Mouse</x:v>
      </x:c>
      <x:c r="H5" s="8" t="str">
        <x:v>Electronics</x:v>
      </x:c>
      <x:c r="I5" s="9" t="n">
        <x:v>899</x:v>
      </x:c>
      <x:c r="J5" s="18" t="n">
        <x:v>540</x:v>
      </x:c>
      <x:c r="K5" s="8"/>
      <x:c r="L5" s="8"/>
      <x:c r="M5" s="13" t="str">
        <x:v>Lucknow</x:v>
      </x:c>
      <x:c r="N5" s="14" t="str">
        <x:v>North</x:v>
      </x:c>
    </x:row>
    <x:row r="6">
      <x:c r="A6" s="13" t="str">
        <x:v>CUS-002</x:v>
      </x:c>
      <x:c r="B6" s="8" t="str">
        <x:v>Diya Patel</x:v>
      </x:c>
      <x:c r="C6" s="14" t="str">
        <x:v>Corporate</x:v>
      </x:c>
      <x:c r="D6" s="8"/>
      <x:c r="E6" s="8"/>
      <x:c r="F6" s="13" t="str">
        <x:v>PRD-002</x:v>
      </x:c>
      <x:c r="G6" s="8" t="str">
        <x:v>Bluetooth Headphones</x:v>
      </x:c>
      <x:c r="H6" s="8" t="str">
        <x:v>Electronics</x:v>
      </x:c>
      <x:c r="I6" s="9" t="n">
        <x:v>2499</x:v>
      </x:c>
      <x:c r="J6" s="18" t="n">
        <x:v>1620</x:v>
      </x:c>
      <x:c r="K6" s="8"/>
      <x:c r="L6" s="8"/>
      <x:c r="M6" s="13" t="str">
        <x:v>Delhi</x:v>
      </x:c>
      <x:c r="N6" s="14" t="str">
        <x:v>North</x:v>
      </x:c>
    </x:row>
    <x:row r="7">
      <x:c r="A7" s="13" t="str">
        <x:v>CUS-003</x:v>
      </x:c>
      <x:c r="B7" s="8" t="str">
        <x:v>Vihaan Singh</x:v>
      </x:c>
      <x:c r="C7" s="14" t="str">
        <x:v>Small Business</x:v>
      </x:c>
      <x:c r="D7" s="8"/>
      <x:c r="E7" s="8"/>
      <x:c r="F7" s="13" t="str">
        <x:v>PRD-003</x:v>
      </x:c>
      <x:c r="G7" s="8" t="str">
        <x:v>USB-C Hub</x:v>
      </x:c>
      <x:c r="H7" s="8" t="str">
        <x:v>Electronics</x:v>
      </x:c>
      <x:c r="I7" s="9" t="n">
        <x:v>1899</x:v>
      </x:c>
      <x:c r="J7" s="18" t="n">
        <x:v>1180</x:v>
      </x:c>
      <x:c r="K7" s="8"/>
      <x:c r="L7" s="8"/>
      <x:c r="M7" s="13" t="str">
        <x:v>Jaipur</x:v>
      </x:c>
      <x:c r="N7" s="14" t="str">
        <x:v>North</x:v>
      </x:c>
    </x:row>
    <x:row r="8">
      <x:c r="A8" s="13" t="str">
        <x:v>CUS-004</x:v>
      </x:c>
      <x:c r="B8" s="8" t="str">
        <x:v>Ananya Gupta</x:v>
      </x:c>
      <x:c r="C8" s="14" t="str">
        <x:v>Consumer</x:v>
      </x:c>
      <x:c r="D8" s="8"/>
      <x:c r="E8" s="8"/>
      <x:c r="F8" s="13" t="str">
        <x:v>PRD-004</x:v>
      </x:c>
      <x:c r="G8" s="8" t="str">
        <x:v>Laptop Stand</x:v>
      </x:c>
      <x:c r="H8" s="8" t="str">
        <x:v>Office Supplies</x:v>
      </x:c>
      <x:c r="I8" s="9" t="n">
        <x:v>1299</x:v>
      </x:c>
      <x:c r="J8" s="18" t="n">
        <x:v>760</x:v>
      </x:c>
      <x:c r="K8" s="8"/>
      <x:c r="L8" s="8"/>
      <x:c r="M8" s="13" t="str">
        <x:v>Mumbai</x:v>
      </x:c>
      <x:c r="N8" s="14" t="str">
        <x:v>West</x:v>
      </x:c>
    </x:row>
    <x:row r="9">
      <x:c r="A9" s="13" t="str">
        <x:v>CUS-005</x:v>
      </x:c>
      <x:c r="B9" s="8" t="str">
        <x:v>Arjun Verma</x:v>
      </x:c>
      <x:c r="C9" s="14" t="str">
        <x:v>Corporate</x:v>
      </x:c>
      <x:c r="D9" s="8"/>
      <x:c r="E9" s="8"/>
      <x:c r="F9" s="13" t="str">
        <x:v>PRD-005</x:v>
      </x:c>
      <x:c r="G9" s="8" t="str">
        <x:v>Executive Notebook</x:v>
      </x:c>
      <x:c r="H9" s="8" t="str">
        <x:v>Office Supplies</x:v>
      </x:c>
      <x:c r="I9" s="9" t="n">
        <x:v>349</x:v>
      </x:c>
      <x:c r="J9" s="18" t="n">
        <x:v>170</x:v>
      </x:c>
      <x:c r="K9" s="8"/>
      <x:c r="L9" s="8"/>
      <x:c r="M9" s="13" t="str">
        <x:v>Pune</x:v>
      </x:c>
      <x:c r="N9" s="14" t="str">
        <x:v>West</x:v>
      </x:c>
    </x:row>
    <x:row r="10">
      <x:c r="A10" s="13" t="str">
        <x:v>CUS-006</x:v>
      </x:c>
      <x:c r="B10" s="8" t="str">
        <x:v>Isha Mehta</x:v>
      </x:c>
      <x:c r="C10" s="14" t="str">
        <x:v>Small Business</x:v>
      </x:c>
      <x:c r="D10" s="8"/>
      <x:c r="E10" s="8"/>
      <x:c r="F10" s="13" t="str">
        <x:v>PRD-006</x:v>
      </x:c>
      <x:c r="G10" s="8" t="str">
        <x:v>Desk Organiser</x:v>
      </x:c>
      <x:c r="H10" s="8" t="str">
        <x:v>Office Supplies</x:v>
      </x:c>
      <x:c r="I10" s="9" t="n">
        <x:v>699</x:v>
      </x:c>
      <x:c r="J10" s="18" t="n">
        <x:v>390</x:v>
      </x:c>
      <x:c r="K10" s="8"/>
      <x:c r="L10" s="8"/>
      <x:c r="M10" s="13" t="str">
        <x:v>Ahmedabad</x:v>
      </x:c>
      <x:c r="N10" s="14" t="str">
        <x:v>West</x:v>
      </x:c>
    </x:row>
    <x:row r="11">
      <x:c r="A11" s="13" t="str">
        <x:v>CUS-007</x:v>
      </x:c>
      <x:c r="B11" s="8" t="str">
        <x:v>Kabir Khan</x:v>
      </x:c>
      <x:c r="C11" s="14" t="str">
        <x:v>Consumer</x:v>
      </x:c>
      <x:c r="D11" s="8"/>
      <x:c r="E11" s="8"/>
      <x:c r="F11" s="13" t="str">
        <x:v>PRD-007</x:v>
      </x:c>
      <x:c r="G11" s="8" t="str">
        <x:v>Electric Kettle</x:v>
      </x:c>
      <x:c r="H11" s="8" t="str">
        <x:v>Home &amp; Kitchen</x:v>
      </x:c>
      <x:c r="I11" s="9" t="n">
        <x:v>1699</x:v>
      </x:c>
      <x:c r="J11" s="18" t="n">
        <x:v>1040</x:v>
      </x:c>
      <x:c r="K11" s="8"/>
      <x:c r="L11" s="8"/>
      <x:c r="M11" s="13" t="str">
        <x:v>Bengaluru</x:v>
      </x:c>
      <x:c r="N11" s="14" t="str">
        <x:v>South</x:v>
      </x:c>
    </x:row>
    <x:row r="12">
      <x:c r="A12" s="13" t="str">
        <x:v>CUS-008</x:v>
      </x:c>
      <x:c r="B12" s="8" t="str">
        <x:v>Meera Nair</x:v>
      </x:c>
      <x:c r="C12" s="14" t="str">
        <x:v>Corporate</x:v>
      </x:c>
      <x:c r="D12" s="8"/>
      <x:c r="E12" s="8"/>
      <x:c r="F12" s="13" t="str">
        <x:v>PRD-008</x:v>
      </x:c>
      <x:c r="G12" s="8" t="str">
        <x:v>Storage Container Set</x:v>
      </x:c>
      <x:c r="H12" s="8" t="str">
        <x:v>Home &amp; Kitchen</x:v>
      </x:c>
      <x:c r="I12" s="9" t="n">
        <x:v>999</x:v>
      </x:c>
      <x:c r="J12" s="18" t="n">
        <x:v>580</x:v>
      </x:c>
      <x:c r="K12" s="8"/>
      <x:c r="L12" s="8"/>
      <x:c r="M12" s="13" t="str">
        <x:v>Chennai</x:v>
      </x:c>
      <x:c r="N12" s="14" t="str">
        <x:v>South</x:v>
      </x:c>
    </x:row>
    <x:row r="13">
      <x:c r="A13" s="13" t="str">
        <x:v>CUS-009</x:v>
      </x:c>
      <x:c r="B13" s="8" t="str">
        <x:v>Rohan Das</x:v>
      </x:c>
      <x:c r="C13" s="14" t="str">
        <x:v>Small Business</x:v>
      </x:c>
      <x:c r="D13" s="8"/>
      <x:c r="E13" s="8"/>
      <x:c r="F13" s="13" t="str">
        <x:v>PRD-009</x:v>
      </x:c>
      <x:c r="G13" s="8" t="str">
        <x:v>Table Lamp</x:v>
      </x:c>
      <x:c r="H13" s="8" t="str">
        <x:v>Home &amp; Kitchen</x:v>
      </x:c>
      <x:c r="I13" s="9" t="n">
        <x:v>1499</x:v>
      </x:c>
      <x:c r="J13" s="18" t="n">
        <x:v>920</x:v>
      </x:c>
      <x:c r="K13" s="8"/>
      <x:c r="L13" s="8"/>
      <x:c r="M13" s="13" t="str">
        <x:v>Hyderabad</x:v>
      </x:c>
      <x:c r="N13" s="14" t="str">
        <x:v>South</x:v>
      </x:c>
    </x:row>
    <x:row r="14">
      <x:c r="A14" s="13" t="str">
        <x:v>CUS-010</x:v>
      </x:c>
      <x:c r="B14" s="8" t="str">
        <x:v>Saanvi Iyer</x:v>
      </x:c>
      <x:c r="C14" s="14" t="str">
        <x:v>Consumer</x:v>
      </x:c>
      <x:c r="D14" s="8"/>
      <x:c r="E14" s="8"/>
      <x:c r="F14" s="13" t="str">
        <x:v>PRD-010</x:v>
      </x:c>
      <x:c r="G14" s="8" t="str">
        <x:v>Travel Backpack</x:v>
      </x:c>
      <x:c r="H14" s="8" t="str">
        <x:v>Fashion</x:v>
      </x:c>
      <x:c r="I14" s="9" t="n">
        <x:v>2199</x:v>
      </x:c>
      <x:c r="J14" s="18" t="n">
        <x:v>1380</x:v>
      </x:c>
      <x:c r="K14" s="8"/>
      <x:c r="L14" s="8"/>
      <x:c r="M14" s="15" t="str">
        <x:v>Kolkata</x:v>
      </x:c>
      <x:c r="N14" s="17" t="str">
        <x:v>East</x:v>
      </x:c>
    </x:row>
    <x:row r="15">
      <x:c r="A15" s="13" t="str">
        <x:v>CUS-011</x:v>
      </x:c>
      <x:c r="B15" s="8" t="str">
        <x:v>Aditya Joshi</x:v>
      </x:c>
      <x:c r="C15" s="14" t="str">
        <x:v>Corporate</x:v>
      </x:c>
      <x:c r="D15" s="8"/>
      <x:c r="E15" s="8"/>
      <x:c r="F15" s="13" t="str">
        <x:v>PRD-011</x:v>
      </x:c>
      <x:c r="G15" s="8" t="str">
        <x:v>Classic Wallet</x:v>
      </x:c>
      <x:c r="H15" s="8" t="str">
        <x:v>Fashion</x:v>
      </x:c>
      <x:c r="I15" s="9" t="n">
        <x:v>1199</x:v>
      </x:c>
      <x:c r="J15" s="18" t="n">
        <x:v>690</x:v>
      </x:c>
      <x:c r="K15" s="8"/>
      <x:c r="L15" s="8"/>
      <x:c r="M15" s="8"/>
      <x:c r="N15" s="8"/>
    </x:row>
    <x:row r="16">
      <x:c r="A16" s="13" t="str">
        <x:v>CUS-012</x:v>
      </x:c>
      <x:c r="B16" s="8" t="str">
        <x:v>Priya Kapoor</x:v>
      </x:c>
      <x:c r="C16" s="14" t="str">
        <x:v>Small Business</x:v>
      </x:c>
      <x:c r="D16" s="8"/>
      <x:c r="E16" s="8"/>
      <x:c r="F16" s="15" t="str">
        <x:v>PRD-012</x:v>
      </x:c>
      <x:c r="G16" s="16" t="str">
        <x:v>Stainless Water Bottle</x:v>
      </x:c>
      <x:c r="H16" s="16" t="str">
        <x:v>Lifestyle</x:v>
      </x:c>
      <x:c r="I16" s="19" t="n">
        <x:v>799</x:v>
      </x:c>
      <x:c r="J16" s="20" t="n">
        <x:v>410</x:v>
      </x:c>
      <x:c r="K16" s="8"/>
      <x:c r="L16" s="8"/>
      <x:c r="M16" s="8"/>
      <x:c r="N16" s="8"/>
    </x:row>
    <x:row r="17">
      <x:c r="A17" s="13" t="str">
        <x:v>CUS-013</x:v>
      </x:c>
      <x:c r="B17" s="8" t="str">
        <x:v>Rahul Mishra</x:v>
      </x:c>
      <x:c r="C17" s="14" t="str">
        <x:v>Consumer</x:v>
      </x:c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>
      <x:c r="A18" s="13" t="str">
        <x:v>CUS-014</x:v>
      </x:c>
      <x:c r="B18" s="8" t="str">
        <x:v>Neha Rao</x:v>
      </x:c>
      <x:c r="C18" s="14" t="str">
        <x:v>Corporate</x:v>
      </x:c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</x:row>
    <x:row r="19">
      <x:c r="A19" s="13" t="str">
        <x:v>CUS-015</x:v>
      </x:c>
      <x:c r="B19" s="8" t="str">
        <x:v>Karan Malhotra</x:v>
      </x:c>
      <x:c r="C19" s="14" t="str">
        <x:v>Small Business</x:v>
      </x:c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>
      <x:c r="A20" s="13" t="str">
        <x:v>CUS-016</x:v>
      </x:c>
      <x:c r="B20" s="8" t="str">
        <x:v>Pooja Saxena</x:v>
      </x:c>
      <x:c r="C20" s="14" t="str">
        <x:v>Consumer</x:v>
      </x:c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</x:row>
    <x:row r="21">
      <x:c r="A21" s="13" t="str">
        <x:v>CUS-017</x:v>
      </x:c>
      <x:c r="B21" s="8" t="str">
        <x:v>Vikram Yadav</x:v>
      </x:c>
      <x:c r="C21" s="14" t="str">
        <x:v>Corporate</x:v>
      </x:c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>
      <x:c r="A22" s="13" t="str">
        <x:v>CUS-018</x:v>
      </x:c>
      <x:c r="B22" s="8" t="str">
        <x:v>Nisha Bansal</x:v>
      </x:c>
      <x:c r="C22" s="14" t="str">
        <x:v>Small Business</x:v>
      </x:c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</x:row>
    <x:row r="23">
      <x:c r="A23" s="13" t="str">
        <x:v>CUS-019</x:v>
      </x:c>
      <x:c r="B23" s="8" t="str">
        <x:v>Siddharth Jain</x:v>
      </x:c>
      <x:c r="C23" s="14" t="str">
        <x:v>Consumer</x:v>
      </x:c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>
      <x:c r="A24" s="13" t="str">
        <x:v>CUS-020</x:v>
      </x:c>
      <x:c r="B24" s="8" t="str">
        <x:v>Kavya Reddy</x:v>
      </x:c>
      <x:c r="C24" s="14" t="str">
        <x:v>Corporate</x:v>
      </x:c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>
      <x:c r="A25" s="13" t="str">
        <x:v>CUS-021</x:v>
      </x:c>
      <x:c r="B25" s="8" t="str">
        <x:v>Aarav Sharma 2</x:v>
      </x:c>
      <x:c r="C25" s="14" t="str">
        <x:v>Small Business</x:v>
      </x:c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>
      <x:c r="A26" s="13" t="str">
        <x:v>CUS-022</x:v>
      </x:c>
      <x:c r="B26" s="8" t="str">
        <x:v>Diya Patel 2</x:v>
      </x:c>
      <x:c r="C26" s="14" t="str">
        <x:v>Consumer</x:v>
      </x:c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>
      <x:c r="A27" s="13" t="str">
        <x:v>CUS-023</x:v>
      </x:c>
      <x:c r="B27" s="8" t="str">
        <x:v>Vihaan Singh 2</x:v>
      </x:c>
      <x:c r="C27" s="14" t="str">
        <x:v>Corporate</x:v>
      </x:c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>
      <x:c r="A28" s="13" t="str">
        <x:v>CUS-024</x:v>
      </x:c>
      <x:c r="B28" s="8" t="str">
        <x:v>Ananya Gupta 2</x:v>
      </x:c>
      <x:c r="C28" s="14" t="str">
        <x:v>Small Business</x:v>
      </x:c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</x:row>
    <x:row r="29">
      <x:c r="A29" s="13" t="str">
        <x:v>CUS-025</x:v>
      </x:c>
      <x:c r="B29" s="8" t="str">
        <x:v>Arjun Verma 2</x:v>
      </x:c>
      <x:c r="C29" s="14" t="str">
        <x:v>Consumer</x:v>
      </x:c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>
      <x:c r="A30" s="13" t="str">
        <x:v>CUS-026</x:v>
      </x:c>
      <x:c r="B30" s="8" t="str">
        <x:v>Isha Mehta 2</x:v>
      </x:c>
      <x:c r="C30" s="14" t="str">
        <x:v>Corporate</x:v>
      </x:c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</x:row>
    <x:row r="31">
      <x:c r="A31" s="13" t="str">
        <x:v>CUS-027</x:v>
      </x:c>
      <x:c r="B31" s="8" t="str">
        <x:v>Kabir Khan 2</x:v>
      </x:c>
      <x:c r="C31" s="14" t="str">
        <x:v>Small Business</x:v>
      </x:c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</x:row>
    <x:row r="32">
      <x:c r="A32" s="13" t="str">
        <x:v>CUS-028</x:v>
      </x:c>
      <x:c r="B32" s="8" t="str">
        <x:v>Meera Nair 2</x:v>
      </x:c>
      <x:c r="C32" s="14" t="str">
        <x:v>Consumer</x:v>
      </x:c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</x:row>
    <x:row r="33">
      <x:c r="A33" s="13" t="str">
        <x:v>CUS-029</x:v>
      </x:c>
      <x:c r="B33" s="8" t="str">
        <x:v>Rohan Das 2</x:v>
      </x:c>
      <x:c r="C33" s="14" t="str">
        <x:v>Corporate</x:v>
      </x:c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</x:row>
    <x:row r="34">
      <x:c r="A34" s="13" t="str">
        <x:v>CUS-030</x:v>
      </x:c>
      <x:c r="B34" s="8" t="str">
        <x:v>Saanvi Iyer 2</x:v>
      </x:c>
      <x:c r="C34" s="14" t="str">
        <x:v>Small Business</x:v>
      </x:c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</x:row>
    <x:row r="35">
      <x:c r="A35" s="13" t="str">
        <x:v>CUS-031</x:v>
      </x:c>
      <x:c r="B35" s="8" t="str">
        <x:v>Aditya Joshi 2</x:v>
      </x:c>
      <x:c r="C35" s="14" t="str">
        <x:v>Consumer</x:v>
      </x:c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</x:row>
    <x:row r="36">
      <x:c r="A36" s="13" t="str">
        <x:v>CUS-032</x:v>
      </x:c>
      <x:c r="B36" s="8" t="str">
        <x:v>Priya Kapoor 2</x:v>
      </x:c>
      <x:c r="C36" s="14" t="str">
        <x:v>Corporate</x:v>
      </x:c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</x:row>
    <x:row r="37">
      <x:c r="A37" s="13" t="str">
        <x:v>CUS-033</x:v>
      </x:c>
      <x:c r="B37" s="8" t="str">
        <x:v>Rahul Mishra 2</x:v>
      </x:c>
      <x:c r="C37" s="14" t="str">
        <x:v>Small Business</x:v>
      </x:c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</x:row>
    <x:row r="38">
      <x:c r="A38" s="13" t="str">
        <x:v>CUS-034</x:v>
      </x:c>
      <x:c r="B38" s="8" t="str">
        <x:v>Neha Rao 2</x:v>
      </x:c>
      <x:c r="C38" s="14" t="str">
        <x:v>Consumer</x:v>
      </x:c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</x:row>
    <x:row r="39">
      <x:c r="A39" s="13" t="str">
        <x:v>CUS-035</x:v>
      </x:c>
      <x:c r="B39" s="8" t="str">
        <x:v>Karan Malhotra 2</x:v>
      </x:c>
      <x:c r="C39" s="14" t="str">
        <x:v>Corporate</x:v>
      </x:c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</x:row>
    <x:row r="40">
      <x:c r="A40" s="13" t="str">
        <x:v>CUS-036</x:v>
      </x:c>
      <x:c r="B40" s="8" t="str">
        <x:v>Pooja Saxena 2</x:v>
      </x:c>
      <x:c r="C40" s="14" t="str">
        <x:v>Small Business</x:v>
      </x:c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</x:row>
    <x:row r="41">
      <x:c r="A41" s="13" t="str">
        <x:v>CUS-037</x:v>
      </x:c>
      <x:c r="B41" s="8" t="str">
        <x:v>Vikram Yadav 2</x:v>
      </x:c>
      <x:c r="C41" s="14" t="str">
        <x:v>Consumer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</x:row>
    <x:row r="42">
      <x:c r="A42" s="13" t="str">
        <x:v>CUS-038</x:v>
      </x:c>
      <x:c r="B42" s="8" t="str">
        <x:v>Nisha Bansal 2</x:v>
      </x:c>
      <x:c r="C42" s="14" t="str">
        <x:v>Corporate</x:v>
      </x:c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</x:row>
    <x:row r="43">
      <x:c r="A43" s="13" t="str">
        <x:v>CUS-039</x:v>
      </x:c>
      <x:c r="B43" s="8" t="str">
        <x:v>Siddharth Jain 2</x:v>
      </x:c>
      <x:c r="C43" s="14" t="str">
        <x:v>Small Business</x:v>
      </x:c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</x:row>
    <x:row r="44">
      <x:c r="A44" s="13" t="str">
        <x:v>CUS-040</x:v>
      </x:c>
      <x:c r="B44" s="8" t="str">
        <x:v>Kavya Reddy 2</x:v>
      </x:c>
      <x:c r="C44" s="14" t="str">
        <x:v>Consumer</x:v>
      </x:c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</x:row>
    <x:row r="45">
      <x:c r="A45" s="13" t="str">
        <x:v>CUS-041</x:v>
      </x:c>
      <x:c r="B45" s="8" t="str">
        <x:v>Aarav Sharma 3</x:v>
      </x:c>
      <x:c r="C45" s="14" t="str">
        <x:v>Corporate</x:v>
      </x:c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</x:row>
    <x:row r="46">
      <x:c r="A46" s="13" t="str">
        <x:v>CUS-042</x:v>
      </x:c>
      <x:c r="B46" s="8" t="str">
        <x:v>Diya Patel 3</x:v>
      </x:c>
      <x:c r="C46" s="14" t="str">
        <x:v>Small Business</x:v>
      </x:c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</x:row>
    <x:row r="47">
      <x:c r="A47" s="13" t="str">
        <x:v>CUS-043</x:v>
      </x:c>
      <x:c r="B47" s="8" t="str">
        <x:v>Vihaan Singh 3</x:v>
      </x:c>
      <x:c r="C47" s="14" t="str">
        <x:v>Consumer</x:v>
      </x:c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</x:row>
    <x:row r="48">
      <x:c r="A48" s="13" t="str">
        <x:v>CUS-044</x:v>
      </x:c>
      <x:c r="B48" s="8" t="str">
        <x:v>Ananya Gupta 3</x:v>
      </x:c>
      <x:c r="C48" s="14" t="str">
        <x:v>Corporate</x:v>
      </x:c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</x:row>
    <x:row r="49">
      <x:c r="A49" s="13" t="str">
        <x:v>CUS-045</x:v>
      </x:c>
      <x:c r="B49" s="8" t="str">
        <x:v>Arjun Verma 3</x:v>
      </x:c>
      <x:c r="C49" s="14" t="str">
        <x:v>Small Business</x:v>
      </x:c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</x:row>
    <x:row r="50">
      <x:c r="A50" s="13" t="str">
        <x:v>CUS-046</x:v>
      </x:c>
      <x:c r="B50" s="8" t="str">
        <x:v>Isha Mehta 3</x:v>
      </x:c>
      <x:c r="C50" s="14" t="str">
        <x:v>Consumer</x:v>
      </x:c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</x:row>
    <x:row r="51">
      <x:c r="A51" s="13" t="str">
        <x:v>CUS-047</x:v>
      </x:c>
      <x:c r="B51" s="8" t="str">
        <x:v>Kabir Khan 3</x:v>
      </x:c>
      <x:c r="C51" s="14" t="str">
        <x:v>Corporate</x:v>
      </x:c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</x:row>
    <x:row r="52">
      <x:c r="A52" s="13" t="str">
        <x:v>CUS-048</x:v>
      </x:c>
      <x:c r="B52" s="8" t="str">
        <x:v>Meera Nair 3</x:v>
      </x:c>
      <x:c r="C52" s="14" t="str">
        <x:v>Small Business</x:v>
      </x:c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</x:row>
    <x:row r="53">
      <x:c r="A53" s="13" t="str">
        <x:v>CUS-049</x:v>
      </x:c>
      <x:c r="B53" s="8" t="str">
        <x:v>Rohan Das 3</x:v>
      </x:c>
      <x:c r="C53" s="14" t="str">
        <x:v>Consumer</x:v>
      </x:c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</x:row>
    <x:row r="54">
      <x:c r="A54" s="13" t="str">
        <x:v>CUS-050</x:v>
      </x:c>
      <x:c r="B54" s="8" t="str">
        <x:v>Saanvi Iyer 3</x:v>
      </x:c>
      <x:c r="C54" s="14" t="str">
        <x:v>Corporate</x:v>
      </x:c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</x:row>
    <x:row r="55">
      <x:c r="A55" s="13" t="str">
        <x:v>CUS-051</x:v>
      </x:c>
      <x:c r="B55" s="8" t="str">
        <x:v>Aditya Joshi 3</x:v>
      </x:c>
      <x:c r="C55" s="14" t="str">
        <x:v>Small Business</x:v>
      </x:c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</x:row>
    <x:row r="56">
      <x:c r="A56" s="13" t="str">
        <x:v>CUS-052</x:v>
      </x:c>
      <x:c r="B56" s="8" t="str">
        <x:v>Priya Kapoor 3</x:v>
      </x:c>
      <x:c r="C56" s="14" t="str">
        <x:v>Consumer</x:v>
      </x:c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</x:row>
    <x:row r="57">
      <x:c r="A57" s="13" t="str">
        <x:v>CUS-053</x:v>
      </x:c>
      <x:c r="B57" s="8" t="str">
        <x:v>Rahul Mishra 3</x:v>
      </x:c>
      <x:c r="C57" s="14" t="str">
        <x:v>Corporate</x:v>
      </x:c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</x:row>
    <x:row r="58">
      <x:c r="A58" s="13" t="str">
        <x:v>CUS-054</x:v>
      </x:c>
      <x:c r="B58" s="8" t="str">
        <x:v>Neha Rao 3</x:v>
      </x:c>
      <x:c r="C58" s="14" t="str">
        <x:v>Small Business</x:v>
      </x:c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</x:row>
    <x:row r="59">
      <x:c r="A59" s="13" t="str">
        <x:v>CUS-055</x:v>
      </x:c>
      <x:c r="B59" s="8" t="str">
        <x:v>Karan Malhotra 3</x:v>
      </x:c>
      <x:c r="C59" s="14" t="str">
        <x:v>Consumer</x:v>
      </x:c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</x:row>
    <x:row r="60">
      <x:c r="A60" s="13" t="str">
        <x:v>CUS-056</x:v>
      </x:c>
      <x:c r="B60" s="8" t="str">
        <x:v>Pooja Saxena 3</x:v>
      </x:c>
      <x:c r="C60" s="14" t="str">
        <x:v>Corporate</x:v>
      </x:c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</x:row>
    <x:row r="61">
      <x:c r="A61" s="13" t="str">
        <x:v>CUS-057</x:v>
      </x:c>
      <x:c r="B61" s="8" t="str">
        <x:v>Vikram Yadav 3</x:v>
      </x:c>
      <x:c r="C61" s="14" t="str">
        <x:v>Small Business</x:v>
      </x:c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</x:row>
    <x:row r="62">
      <x:c r="A62" s="13" t="str">
        <x:v>CUS-058</x:v>
      </x:c>
      <x:c r="B62" s="8" t="str">
        <x:v>Nisha Bansal 3</x:v>
      </x:c>
      <x:c r="C62" s="14" t="str">
        <x:v>Consumer</x:v>
      </x:c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</x:row>
    <x:row r="63">
      <x:c r="A63" s="13" t="str">
        <x:v>CUS-059</x:v>
      </x:c>
      <x:c r="B63" s="8" t="str">
        <x:v>Siddharth Jain 3</x:v>
      </x:c>
      <x:c r="C63" s="14" t="str">
        <x:v>Corporate</x:v>
      </x:c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</x:row>
    <x:row r="64">
      <x:c r="A64" s="13" t="str">
        <x:v>CUS-060</x:v>
      </x:c>
      <x:c r="B64" s="8" t="str">
        <x:v>Kavya Reddy 3</x:v>
      </x:c>
      <x:c r="C64" s="14" t="str">
        <x:v>Small Business</x:v>
      </x:c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</x:row>
    <x:row r="65">
      <x:c r="A65" s="13" t="str">
        <x:v>CUS-061</x:v>
      </x:c>
      <x:c r="B65" s="8" t="str">
        <x:v>Aarav Sharma 4</x:v>
      </x:c>
      <x:c r="C65" s="14" t="str">
        <x:v>Consumer</x:v>
      </x:c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</x:row>
    <x:row r="66">
      <x:c r="A66" s="13" t="str">
        <x:v>CUS-062</x:v>
      </x:c>
      <x:c r="B66" s="8" t="str">
        <x:v>Diya Patel 4</x:v>
      </x:c>
      <x:c r="C66" s="14" t="str">
        <x:v>Corporate</x:v>
      </x:c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</x:row>
    <x:row r="67">
      <x:c r="A67" s="13" t="str">
        <x:v>CUS-063</x:v>
      </x:c>
      <x:c r="B67" s="8" t="str">
        <x:v>Vihaan Singh 4</x:v>
      </x:c>
      <x:c r="C67" s="14" t="str">
        <x:v>Small Business</x:v>
      </x:c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</x:row>
    <x:row r="68">
      <x:c r="A68" s="13" t="str">
        <x:v>CUS-064</x:v>
      </x:c>
      <x:c r="B68" s="8" t="str">
        <x:v>Ananya Gupta 4</x:v>
      </x:c>
      <x:c r="C68" s="14" t="str">
        <x:v>Consumer</x:v>
      </x:c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</x:row>
    <x:row r="69">
      <x:c r="A69" s="13" t="str">
        <x:v>CUS-065</x:v>
      </x:c>
      <x:c r="B69" s="8" t="str">
        <x:v>Arjun Verma 4</x:v>
      </x:c>
      <x:c r="C69" s="14" t="str">
        <x:v>Corporate</x:v>
      </x:c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</x:row>
    <x:row r="70">
      <x:c r="A70" s="13" t="str">
        <x:v>CUS-066</x:v>
      </x:c>
      <x:c r="B70" s="8" t="str">
        <x:v>Isha Mehta 4</x:v>
      </x:c>
      <x:c r="C70" s="14" t="str">
        <x:v>Small Business</x:v>
      </x:c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</x:row>
    <x:row r="71">
      <x:c r="A71" s="13" t="str">
        <x:v>CUS-067</x:v>
      </x:c>
      <x:c r="B71" s="8" t="str">
        <x:v>Kabir Khan 4</x:v>
      </x:c>
      <x:c r="C71" s="14" t="str">
        <x:v>Consumer</x:v>
      </x:c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</x:row>
    <x:row r="72">
      <x:c r="A72" s="13" t="str">
        <x:v>CUS-068</x:v>
      </x:c>
      <x:c r="B72" s="8" t="str">
        <x:v>Meera Nair 4</x:v>
      </x:c>
      <x:c r="C72" s="14" t="str">
        <x:v>Corporate</x:v>
      </x:c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</x:row>
    <x:row r="73">
      <x:c r="A73" s="13" t="str">
        <x:v>CUS-069</x:v>
      </x:c>
      <x:c r="B73" s="8" t="str">
        <x:v>Rohan Das 4</x:v>
      </x:c>
      <x:c r="C73" s="14" t="str">
        <x:v>Small Business</x:v>
      </x:c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</x:row>
    <x:row r="74">
      <x:c r="A74" s="13" t="str">
        <x:v>CUS-070</x:v>
      </x:c>
      <x:c r="B74" s="8" t="str">
        <x:v>Saanvi Iyer 4</x:v>
      </x:c>
      <x:c r="C74" s="14" t="str">
        <x:v>Consumer</x:v>
      </x:c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</x:row>
    <x:row r="75">
      <x:c r="A75" s="13" t="str">
        <x:v>CUS-071</x:v>
      </x:c>
      <x:c r="B75" s="8" t="str">
        <x:v>Aditya Joshi 4</x:v>
      </x:c>
      <x:c r="C75" s="14" t="str">
        <x:v>Corporate</x:v>
      </x:c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</x:row>
    <x:row r="76">
      <x:c r="A76" s="13" t="str">
        <x:v>CUS-072</x:v>
      </x:c>
      <x:c r="B76" s="8" t="str">
        <x:v>Priya Kapoor 4</x:v>
      </x:c>
      <x:c r="C76" s="14" t="str">
        <x:v>Small Business</x:v>
      </x:c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</x:row>
    <x:row r="77">
      <x:c r="A77" s="13" t="str">
        <x:v>CUS-073</x:v>
      </x:c>
      <x:c r="B77" s="8" t="str">
        <x:v>Rahul Mishra 4</x:v>
      </x:c>
      <x:c r="C77" s="14" t="str">
        <x:v>Consumer</x:v>
      </x:c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</x:row>
    <x:row r="78">
      <x:c r="A78" s="13" t="str">
        <x:v>CUS-074</x:v>
      </x:c>
      <x:c r="B78" s="8" t="str">
        <x:v>Neha Rao 4</x:v>
      </x:c>
      <x:c r="C78" s="14" t="str">
        <x:v>Corporate</x:v>
      </x:c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</x:row>
    <x:row r="79">
      <x:c r="A79" s="13" t="str">
        <x:v>CUS-075</x:v>
      </x:c>
      <x:c r="B79" s="8" t="str">
        <x:v>Karan Malhotra 4</x:v>
      </x:c>
      <x:c r="C79" s="14" t="str">
        <x:v>Small Business</x:v>
      </x:c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</x:row>
    <x:row r="80">
      <x:c r="A80" s="13" t="str">
        <x:v>CUS-076</x:v>
      </x:c>
      <x:c r="B80" s="8" t="str">
        <x:v>Pooja Saxena 4</x:v>
      </x:c>
      <x:c r="C80" s="14" t="str">
        <x:v>Consumer</x:v>
      </x:c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</x:row>
    <x:row r="81">
      <x:c r="A81" s="13" t="str">
        <x:v>CUS-077</x:v>
      </x:c>
      <x:c r="B81" s="8" t="str">
        <x:v>Vikram Yadav 4</x:v>
      </x:c>
      <x:c r="C81" s="14" t="str">
        <x:v>Corporate</x:v>
      </x:c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</x:row>
    <x:row r="82">
      <x:c r="A82" s="13" t="str">
        <x:v>CUS-078</x:v>
      </x:c>
      <x:c r="B82" s="8" t="str">
        <x:v>Nisha Bansal 4</x:v>
      </x:c>
      <x:c r="C82" s="14" t="str">
        <x:v>Small Business</x:v>
      </x:c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</x:row>
    <x:row r="83">
      <x:c r="A83" s="13" t="str">
        <x:v>CUS-079</x:v>
      </x:c>
      <x:c r="B83" s="8" t="str">
        <x:v>Siddharth Jain 4</x:v>
      </x:c>
      <x:c r="C83" s="14" t="str">
        <x:v>Consumer</x:v>
      </x:c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</x:row>
    <x:row r="84">
      <x:c r="A84" s="15" t="str">
        <x:v>CUS-080</x:v>
      </x:c>
      <x:c r="B84" s="16" t="str">
        <x:v>Kavya Reddy 4</x:v>
      </x:c>
      <x:c r="C84" s="17" t="str">
        <x:v>Corporate</x:v>
      </x:c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</x:row>
  </x:sheetData>
  <x:mergeCells>
    <x:mergeCell ref="A1:N1"/>
    <x:mergeCell ref="A2:N2"/>
  </x:mergeCells>
  <x:pageMargins left="0.7" right="0.7" top="0.75" bottom="0.75" header="0.3" footer="0.3"/>
</x:worksheet>
</file>